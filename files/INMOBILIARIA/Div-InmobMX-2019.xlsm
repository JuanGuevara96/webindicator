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webindicator\files\INMOBILIARIA\"/>
    </mc:Choice>
  </mc:AlternateContent>
  <bookViews>
    <workbookView xWindow="0" yWindow="0" windowWidth="28800" windowHeight="10940" tabRatio="752"/>
  </bookViews>
  <sheets>
    <sheet name="INICIO" sheetId="14" r:id="rId1"/>
    <sheet name="DATOS" sheetId="13" state="veryHidden" r:id="rId2"/>
    <sheet name="BDER" sheetId="1" r:id="rId3"/>
    <sheet name="BDBG" sheetId="2" r:id="rId4"/>
    <sheet name="BDPP" sheetId="15" r:id="rId5"/>
    <sheet name="BDFE" sheetId="3" r:id="rId6"/>
    <sheet name="FE" sheetId="6" r:id="rId7"/>
    <sheet name="Fed" sheetId="7" r:id="rId8"/>
    <sheet name="BG" sheetId="5" r:id="rId9"/>
    <sheet name="ER" sheetId="4" r:id="rId10"/>
    <sheet name="Tendencias" sheetId="17" r:id="rId11"/>
    <sheet name="ER Act" sheetId="11" r:id="rId12"/>
    <sheet name="ER AA" sheetId="10" r:id="rId13"/>
    <sheet name="ER Ppto" sheetId="12" r:id="rId14"/>
    <sheet name="Trimestre" sheetId="16" r:id="rId15"/>
    <sheet name="Hoja3" sheetId="20" r:id="rId16"/>
    <sheet name="cobros 2018" sheetId="21" r:id="rId17"/>
    <sheet name="V_Exelco" sheetId="24" r:id="rId18"/>
    <sheet name="V_Silnsa" sheetId="25" r:id="rId19"/>
    <sheet name="Hoja4" sheetId="22" r:id="rId20"/>
    <sheet name="Hoja5" sheetId="23" r:id="rId21"/>
  </sheets>
  <functionGroups builtInGroupCount="18"/>
  <externalReferences>
    <externalReference r:id="rId22"/>
    <externalReference r:id="rId23"/>
  </externalReferences>
  <definedNames>
    <definedName name="_xlnm._FilterDatabase" localSheetId="14" hidden="1">Trimestre!$N$7:$X$12</definedName>
    <definedName name="Actual">[1]IMPRESIONES!$E$18</definedName>
    <definedName name="AÑO">[2]Conexiones!$A$1</definedName>
    <definedName name="Archico_xlsm">[2]Inicio!#REF!</definedName>
    <definedName name="Archivo_Bath">INICIO!$C$8</definedName>
    <definedName name="_xlnm.Print_Area" localSheetId="3">BDBG!$B$3:$M$59</definedName>
    <definedName name="_xlnm.Print_Area" localSheetId="2">BDER!$B$3:$E$27</definedName>
    <definedName name="_xlnm.Print_Area" localSheetId="5">BDFE!$I$4:$N$71</definedName>
    <definedName name="_xlnm.Print_Area" localSheetId="9">ER!$A$84</definedName>
    <definedName name="_xlnm.Print_Area" localSheetId="12">'ER AA'!$U$34:$Z$81</definedName>
    <definedName name="_xlnm.Print_Area" localSheetId="11">'ER Act'!$A$7:$G$87</definedName>
    <definedName name="_xlnm.Print_Area" localSheetId="13">'ER Ppto'!$U$10:$Y$83</definedName>
    <definedName name="_xlnm.Print_Area" localSheetId="6">FE!$C$3:$E$72</definedName>
    <definedName name="_xlnm.Print_Area" localSheetId="7">Fed!$B$3:$K$50</definedName>
    <definedName name="_xlnm.Print_Area" localSheetId="10">Tendencias!$A$1:$M$41</definedName>
    <definedName name="_xlnm.Print_Area" localSheetId="17">V_Exelco!$K$3:$P$9</definedName>
    <definedName name="_xlnm.Print_Area" localSheetId="18">V_Silnsa!$D$5:$H$15</definedName>
    <definedName name="DIF_BG_ACT">BG!$F$56</definedName>
    <definedName name="DIF_ER_ACT">'ER Act'!$AD$10</definedName>
    <definedName name="DIF_FE_ACT">FE!$F$71</definedName>
    <definedName name="Energ_301_600">INICIO!#REF!</definedName>
    <definedName name="Energ_303_600">INICIO!#REF!</definedName>
    <definedName name="Energ_303_605">INICIO!#REF!</definedName>
    <definedName name="Energ_305_600">INICIO!#REF!</definedName>
    <definedName name="Energ_307_600">INICIO!#REF!</definedName>
    <definedName name="Energ_307_605">INICIO!#REF!</definedName>
    <definedName name="Energ_309_600">INICIO!#REF!</definedName>
    <definedName name="ER_A_DIV">ER!$N$7:$X$29</definedName>
    <definedName name="ER_A_INMEXE">ER!$N$65:$X$87</definedName>
    <definedName name="ER_A_SILN">ER!$N$92:$X$114</definedName>
    <definedName name="ER_M_DIV">ER!$B$7:$L$29</definedName>
    <definedName name="ER_M_INMEXE">ER!$B$65:$L$87</definedName>
    <definedName name="ER_M_SILN">ER!$B$92:$L$114</definedName>
    <definedName name="ER_P_DIV">Trimestre!$N$9:$X$31</definedName>
    <definedName name="ER_P_INMEXE">Trimestre!$N$35:$X$57</definedName>
    <definedName name="ER_P_SILN">Trimestre!$N$61:$X$83</definedName>
    <definedName name="ER_T_DIV">Trimestre!$B$9:$L$31</definedName>
    <definedName name="ER_T_INMEXE">Trimestre!$B$35:$L$57</definedName>
    <definedName name="ER_T_SILN">Trimestre!$B$61:$L$83</definedName>
    <definedName name="Fecha_Archivo">[2]Configuraciones!$E$11</definedName>
    <definedName name="Fecha_Pasivos_Eu">[2]Configuraciones!#REF!</definedName>
    <definedName name="Fecha_Pasivos_Eu_Actual">[2]Configuraciones!$D$5</definedName>
    <definedName name="Fecha_ProyeccionT">Trimestre!$R$5</definedName>
    <definedName name="Fecha_Trimestre">Trimestre!$F$5</definedName>
    <definedName name="Inicio_Compañia">INICIO!$C$4</definedName>
    <definedName name="Inicio_Contraseña">INICIO!#REF!</definedName>
    <definedName name="Inicio_Renglones">INICIO!$C$7</definedName>
    <definedName name="Inicio_Reporte">INICIO!$C$5</definedName>
    <definedName name="Inicio_Select">INICIO!$C$6</definedName>
    <definedName name="Inicio_Servidor">INICIO!#REF!</definedName>
    <definedName name="Inicio_Usuario">INICIO!#REF!</definedName>
    <definedName name="INMEXEL_COBRANZA">Tendencias!$O$5:$P$7</definedName>
    <definedName name="INMEXEL_VENTAS">Tendencias!$O$15:$Q$17</definedName>
    <definedName name="Inmob_613_600">BDER!$B$34</definedName>
    <definedName name="Inmob_613_601">BDPP!$B$75</definedName>
    <definedName name="Inmob_613_610">BDBG!$O$7</definedName>
    <definedName name="Inmob_613_650">BDFE!$I$7</definedName>
    <definedName name="Inmob_615_600">BDER!$B$7</definedName>
    <definedName name="Inmob_615_601">BDPP!$B$43</definedName>
    <definedName name="Inmob_615_610">BDBG!$B$7</definedName>
    <definedName name="Inmob_615_650">BDFE!$B$7</definedName>
    <definedName name="L_Reportes_Ejecutivos">INICIO!$F$14</definedName>
    <definedName name="Lista_Empresas_Reportes">INICIO!$C$14</definedName>
    <definedName name="Lista_ER_AA_Empresas">'ER AA'!$B$10</definedName>
    <definedName name="Lista_ER_Mes_Empresas">'ER Act'!$B$10</definedName>
    <definedName name="Lista_ER_Ppto_Empresas">'ER Ppto'!$B$9</definedName>
    <definedName name="MES">[2]Conexiones!$A$2</definedName>
    <definedName name="MES_CIERRE">INICIO!$C$12</definedName>
    <definedName name="Presentacion">INICIO!$C$10</definedName>
    <definedName name="Presentación">INICIO!$C$10</definedName>
    <definedName name="Rango_Inmob_613_600">BDER!$B$34:$T$54</definedName>
    <definedName name="Rango_Inmob_613_601">BDPP!$B$75:$AA$95</definedName>
    <definedName name="Rango_Inmob_613_610">BDBG!$O$7:$Z$59</definedName>
    <definedName name="Rango_Inmob_613_650">BDFE!$I$7:$N$70</definedName>
    <definedName name="Rango_Inmob_615_600">BDER!$B$7:$T$27</definedName>
    <definedName name="Rango_Inmob_615_601">BDPP!$B$43:$AA$63</definedName>
    <definedName name="Rango_Inmob_615_610">BDBG!$B$7:$M$59</definedName>
    <definedName name="Rango_Inmob_615_650">BDFE!$B$7:$G$70</definedName>
    <definedName name="Rep_Aux">INICIO!#REF!</definedName>
    <definedName name="Rep_Aux_AA">INICIO!#REF!</definedName>
    <definedName name="Rep_Aux_Act">INICIO!#REF!</definedName>
    <definedName name="Rep_SA">INICIO!#REF!</definedName>
    <definedName name="SILN_ARRENDAMIENTO">Tendencias!$O$38:$P$40</definedName>
    <definedName name="SILN_VENTAS">Tendencias!$O$26:$P$28</definedName>
    <definedName name="TI">[2]Hoja4!$A$1</definedName>
    <definedName name="V_Exelco">V_Exelco!$C$3:$J$29</definedName>
    <definedName name="V_Silnsa">V_Silnsa!$C$3:$J$31</definedName>
    <definedName name="V_Silsa">V_Silnsa!$C$3:$J$31</definedName>
  </definedNames>
  <calcPr calcId="152511"/>
</workbook>
</file>

<file path=xl/calcChain.xml><?xml version="1.0" encoding="utf-8"?>
<calcChain xmlns="http://schemas.openxmlformats.org/spreadsheetml/2006/main">
  <c r="E38" i="17" l="1"/>
  <c r="E26" i="17"/>
  <c r="E15" i="17"/>
  <c r="E5" i="17"/>
  <c r="D18" i="17" l="1"/>
  <c r="E5" i="25" l="1"/>
  <c r="E18" i="25" s="1"/>
  <c r="F5" i="25"/>
  <c r="G6" i="25"/>
  <c r="G7" i="25"/>
  <c r="G8" i="25"/>
  <c r="G9" i="25"/>
  <c r="G11" i="25"/>
  <c r="G12" i="25"/>
  <c r="G13" i="25"/>
  <c r="G14" i="25"/>
  <c r="E15" i="25"/>
  <c r="F15" i="25"/>
  <c r="G19" i="25"/>
  <c r="G20" i="25"/>
  <c r="G21" i="25"/>
  <c r="G22" i="25"/>
  <c r="G23" i="25"/>
  <c r="G24" i="25"/>
  <c r="G25" i="25"/>
  <c r="G26" i="25"/>
  <c r="G27" i="25"/>
  <c r="G28" i="25"/>
  <c r="G29" i="25"/>
  <c r="E30" i="25"/>
  <c r="F30" i="25"/>
  <c r="G6" i="24"/>
  <c r="G7" i="24"/>
  <c r="F8" i="24"/>
  <c r="E11" i="24"/>
  <c r="E19" i="24" s="1"/>
  <c r="F11" i="24"/>
  <c r="F18" i="25" s="1"/>
  <c r="G12" i="24"/>
  <c r="G13" i="24"/>
  <c r="G14" i="24"/>
  <c r="G15" i="24"/>
  <c r="E16" i="24"/>
  <c r="F16" i="24"/>
  <c r="G20" i="24"/>
  <c r="G21" i="24"/>
  <c r="G22" i="24"/>
  <c r="G23" i="24"/>
  <c r="G24" i="24"/>
  <c r="G25" i="24"/>
  <c r="G26" i="24"/>
  <c r="E27" i="24"/>
  <c r="F27" i="24"/>
  <c r="F19" i="24" l="1"/>
  <c r="G8" i="24"/>
  <c r="E8" i="24"/>
  <c r="G27" i="24"/>
  <c r="G16" i="24"/>
  <c r="G30" i="25"/>
  <c r="G15" i="25"/>
  <c r="D38" i="17"/>
  <c r="D26" i="17"/>
  <c r="D5" i="17"/>
  <c r="D15" i="17"/>
  <c r="AA33" i="4"/>
  <c r="AA34" i="4"/>
  <c r="B2" i="12" l="1"/>
  <c r="B2" i="10"/>
  <c r="B2" i="11"/>
  <c r="E22" i="14" l="1"/>
  <c r="C6" i="14" l="1"/>
  <c r="AC78" i="4"/>
  <c r="AC99" i="4"/>
  <c r="AC106" i="4"/>
  <c r="AC76" i="4"/>
  <c r="AC70" i="4"/>
  <c r="AC103" i="4"/>
  <c r="AC66" i="4"/>
  <c r="AC111" i="4"/>
  <c r="AC72" i="4"/>
  <c r="AC112" i="4"/>
  <c r="AC104" i="4"/>
  <c r="AC94" i="4"/>
  <c r="AC80" i="4"/>
  <c r="AC85" i="4"/>
  <c r="AC93" i="4"/>
  <c r="AC79" i="4"/>
  <c r="AC107" i="4"/>
  <c r="AC77" i="4"/>
  <c r="AC98" i="4"/>
  <c r="AC84" i="4"/>
  <c r="AC71" i="4"/>
  <c r="AC97" i="4"/>
  <c r="AC67" i="4"/>
  <c r="AC105" i="4"/>
  <c r="AC9" i="4" l="1"/>
  <c r="Z64" i="4"/>
  <c r="Z31" i="4"/>
  <c r="N31" i="4"/>
  <c r="B31" i="4"/>
  <c r="AA108" i="4"/>
  <c r="AA100" i="4"/>
  <c r="AA95" i="4"/>
  <c r="AA81" i="4"/>
  <c r="AA73" i="4"/>
  <c r="AA68" i="4"/>
  <c r="AA35" i="4" s="1"/>
  <c r="AA74" i="4" l="1"/>
  <c r="AA87" i="4" s="1"/>
  <c r="AA101" i="4"/>
  <c r="AA114" i="4" s="1"/>
  <c r="B59" i="16"/>
  <c r="Q63" i="16"/>
  <c r="Q74" i="16"/>
  <c r="Q72" i="16"/>
  <c r="Q75" i="16"/>
  <c r="Q76" i="16"/>
  <c r="Q62" i="16"/>
  <c r="Q80" i="16"/>
  <c r="Q66" i="16"/>
  <c r="Q68" i="16"/>
  <c r="Q67" i="16"/>
  <c r="Q73" i="16"/>
  <c r="Q81" i="16"/>
  <c r="AA82" i="4" l="1"/>
  <c r="AA86" i="4" s="1"/>
  <c r="AA109" i="4"/>
  <c r="AA113" i="4" s="1"/>
  <c r="O40" i="17"/>
  <c r="O39" i="17"/>
  <c r="O38" i="17"/>
  <c r="O28" i="17"/>
  <c r="O26" i="17"/>
  <c r="O27" i="17"/>
  <c r="O17" i="17"/>
  <c r="O16" i="17"/>
  <c r="O7" i="17"/>
  <c r="O6" i="17"/>
  <c r="O5" i="17"/>
  <c r="P40" i="17"/>
  <c r="P39" i="17"/>
  <c r="P28" i="17"/>
  <c r="P27" i="17"/>
  <c r="O15" i="17"/>
  <c r="P17" i="17"/>
  <c r="P16" i="17"/>
  <c r="P7" i="17"/>
  <c r="P6" i="17"/>
  <c r="C15" i="23" l="1"/>
  <c r="D15" i="23"/>
  <c r="E15" i="23"/>
  <c r="O15" i="23" s="1"/>
  <c r="F15" i="23"/>
  <c r="G15" i="23"/>
  <c r="H15" i="23"/>
  <c r="I15" i="23"/>
  <c r="J15" i="23"/>
  <c r="K15" i="23"/>
  <c r="L15" i="23"/>
  <c r="M15" i="23"/>
  <c r="N15" i="23"/>
  <c r="C18" i="23"/>
  <c r="D18" i="23"/>
  <c r="E18" i="23"/>
  <c r="F18" i="23"/>
  <c r="G18" i="23"/>
  <c r="H18" i="23"/>
  <c r="I18" i="23"/>
  <c r="J18" i="23"/>
  <c r="K18" i="23"/>
  <c r="L18" i="23"/>
  <c r="M18" i="23"/>
  <c r="N18" i="23"/>
  <c r="C19" i="23"/>
  <c r="D19" i="23"/>
  <c r="E19" i="23"/>
  <c r="F19" i="23"/>
  <c r="G19" i="23"/>
  <c r="H19" i="23"/>
  <c r="I19" i="23"/>
  <c r="J19" i="23"/>
  <c r="K19" i="23"/>
  <c r="L19" i="23"/>
  <c r="M19" i="23"/>
  <c r="N19" i="23"/>
  <c r="C20" i="23"/>
  <c r="D20" i="23"/>
  <c r="E20" i="23"/>
  <c r="F20" i="23"/>
  <c r="G20" i="23"/>
  <c r="H20" i="23"/>
  <c r="I20" i="23"/>
  <c r="J20" i="23"/>
  <c r="K20" i="23"/>
  <c r="L20" i="23"/>
  <c r="M20" i="23"/>
  <c r="N20" i="23"/>
  <c r="O7" i="22"/>
  <c r="O11" i="22"/>
  <c r="E19" i="22"/>
  <c r="E22" i="22" s="1"/>
  <c r="E25" i="22" s="1"/>
  <c r="C23" i="22"/>
  <c r="E23" i="22"/>
  <c r="F23" i="22"/>
  <c r="G23" i="22"/>
  <c r="H23" i="22"/>
  <c r="I23" i="22"/>
  <c r="J23" i="22"/>
  <c r="K23" i="22"/>
  <c r="L23" i="22"/>
  <c r="M23" i="22"/>
  <c r="N23" i="22"/>
  <c r="L17" i="22"/>
  <c r="M17" i="22"/>
  <c r="N17" i="22"/>
  <c r="O17" i="22"/>
  <c r="O18" i="22"/>
  <c r="D23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A30" i="21"/>
  <c r="B30" i="21"/>
  <c r="C30" i="21"/>
  <c r="D30" i="21"/>
  <c r="E30" i="21"/>
  <c r="G30" i="21"/>
  <c r="H30" i="21"/>
  <c r="I30" i="21"/>
  <c r="J31" i="21" s="1"/>
  <c r="C5" i="17" s="1"/>
  <c r="J30" i="21"/>
  <c r="K30" i="21"/>
  <c r="N30" i="21"/>
  <c r="O30" i="21"/>
  <c r="P30" i="21"/>
  <c r="Q30" i="21"/>
  <c r="S30" i="21"/>
  <c r="T30" i="21"/>
  <c r="U30" i="21"/>
  <c r="V30" i="21"/>
  <c r="W30" i="21"/>
  <c r="Y30" i="21"/>
  <c r="Z30" i="21"/>
  <c r="AA30" i="21"/>
  <c r="AB30" i="21"/>
  <c r="AC30" i="21"/>
  <c r="AE30" i="21"/>
  <c r="AF30" i="21"/>
  <c r="AG30" i="21"/>
  <c r="AI31" i="21" s="1"/>
  <c r="AH30" i="21"/>
  <c r="AI30" i="21"/>
  <c r="AL30" i="21"/>
  <c r="AM30" i="21"/>
  <c r="AN30" i="21"/>
  <c r="AO30" i="21"/>
  <c r="AQ30" i="21"/>
  <c r="AU31" i="21" s="1"/>
  <c r="AR30" i="21"/>
  <c r="AS30" i="21"/>
  <c r="AT30" i="21"/>
  <c r="AU30" i="21"/>
  <c r="AW30" i="21"/>
  <c r="AX30" i="21"/>
  <c r="AY30" i="21"/>
  <c r="AZ30" i="21"/>
  <c r="BA30" i="21"/>
  <c r="BC30" i="21"/>
  <c r="BD30" i="21"/>
  <c r="BE30" i="21"/>
  <c r="BG31" i="21" s="1"/>
  <c r="BF30" i="21"/>
  <c r="BG30" i="21"/>
  <c r="BI30" i="21"/>
  <c r="BJ30" i="21"/>
  <c r="BM31" i="21" s="1"/>
  <c r="BK30" i="21"/>
  <c r="BL30" i="21"/>
  <c r="BM30" i="21"/>
  <c r="D31" i="21"/>
  <c r="B5" i="17" s="1"/>
  <c r="AC31" i="21"/>
  <c r="BA31" i="21"/>
  <c r="D34" i="21"/>
  <c r="BO35" i="21"/>
  <c r="BT35" i="21" s="1"/>
  <c r="BT40" i="21" s="1"/>
  <c r="BP35" i="21"/>
  <c r="BQ35" i="21"/>
  <c r="BR35" i="21"/>
  <c r="BS35" i="21"/>
  <c r="BT38" i="21"/>
  <c r="M40" i="21"/>
  <c r="M30" i="21" s="1"/>
  <c r="AK44" i="21"/>
  <c r="AK30" i="21" s="1"/>
  <c r="AO31" i="21" s="1"/>
  <c r="N12" i="20"/>
  <c r="B15" i="20"/>
  <c r="C15" i="20"/>
  <c r="D15" i="20"/>
  <c r="E15" i="20"/>
  <c r="F15" i="20"/>
  <c r="G15" i="20"/>
  <c r="H15" i="20"/>
  <c r="I15" i="20"/>
  <c r="J15" i="20"/>
  <c r="K15" i="20"/>
  <c r="L15" i="20"/>
  <c r="M15" i="20"/>
  <c r="A26" i="20"/>
  <c r="B26" i="20"/>
  <c r="C26" i="20"/>
  <c r="B15" i="17"/>
  <c r="C15" i="17"/>
  <c r="B18" i="17"/>
  <c r="B26" i="17"/>
  <c r="C26" i="17"/>
  <c r="B38" i="17"/>
  <c r="C38" i="17"/>
  <c r="R5" i="16"/>
  <c r="F5" i="16"/>
  <c r="V31" i="21" l="1"/>
  <c r="P31" i="21"/>
  <c r="I19" i="22"/>
  <c r="I22" i="22" s="1"/>
  <c r="I25" i="22" s="1"/>
  <c r="M19" i="22"/>
  <c r="M22" i="22" s="1"/>
  <c r="M25" i="22" s="1"/>
  <c r="N19" i="22"/>
  <c r="N22" i="22" s="1"/>
  <c r="N25" i="22" s="1"/>
  <c r="F19" i="22"/>
  <c r="F22" i="22" s="1"/>
  <c r="F25" i="22" s="1"/>
  <c r="O13" i="22"/>
  <c r="L19" i="22"/>
  <c r="L22" i="22" s="1"/>
  <c r="L25" i="22" s="1"/>
  <c r="H19" i="22"/>
  <c r="H22" i="22" s="1"/>
  <c r="H25" i="22" s="1"/>
  <c r="O15" i="22"/>
  <c r="O14" i="22"/>
  <c r="O8" i="22"/>
  <c r="J19" i="22"/>
  <c r="J22" i="22" s="1"/>
  <c r="J25" i="22" s="1"/>
  <c r="O16" i="22"/>
  <c r="C19" i="22"/>
  <c r="C22" i="22" s="1"/>
  <c r="K19" i="22"/>
  <c r="K22" i="22" s="1"/>
  <c r="K25" i="22" s="1"/>
  <c r="O12" i="22"/>
  <c r="O10" i="22"/>
  <c r="O9" i="22"/>
  <c r="P38" i="17"/>
  <c r="P15" i="17"/>
  <c r="P26" i="17"/>
  <c r="P5" i="17"/>
  <c r="C25" i="22"/>
  <c r="D19" i="22"/>
  <c r="D22" i="22" s="1"/>
  <c r="D25" i="22" s="1"/>
  <c r="G19" i="22"/>
  <c r="G22" i="22" s="1"/>
  <c r="G25" i="22" s="1"/>
  <c r="G80" i="16"/>
  <c r="S62" i="16"/>
  <c r="G73" i="16"/>
  <c r="G81" i="16"/>
  <c r="G62" i="16"/>
  <c r="S81" i="16"/>
  <c r="G63" i="16"/>
  <c r="G66" i="16"/>
  <c r="G68" i="16"/>
  <c r="G75" i="16"/>
  <c r="S68" i="16"/>
  <c r="S72" i="16"/>
  <c r="S76" i="16"/>
  <c r="G74" i="16"/>
  <c r="G72" i="16"/>
  <c r="S66" i="16"/>
  <c r="S73" i="16"/>
  <c r="S80" i="16"/>
  <c r="S63" i="16"/>
  <c r="S75" i="16"/>
  <c r="G67" i="16"/>
  <c r="S67" i="16"/>
  <c r="S74" i="16"/>
  <c r="G76" i="16"/>
  <c r="O19" i="22" l="1"/>
  <c r="O25" i="22"/>
  <c r="G77" i="16"/>
  <c r="G69" i="16"/>
  <c r="G64" i="16"/>
  <c r="G70" i="16" l="1"/>
  <c r="AJ63" i="4"/>
  <c r="AJ5" i="4" s="1"/>
  <c r="AC60" i="4"/>
  <c r="AA60" i="4"/>
  <c r="AE58" i="4"/>
  <c r="AE60" i="4" s="1"/>
  <c r="AE56" i="4"/>
  <c r="AE55" i="4"/>
  <c r="AA52" i="4"/>
  <c r="AA51" i="4"/>
  <c r="AA47" i="4"/>
  <c r="AA46" i="4"/>
  <c r="AA45" i="4"/>
  <c r="AA44" i="4"/>
  <c r="AA43" i="4"/>
  <c r="AA39" i="4"/>
  <c r="AA38" i="4"/>
  <c r="AA37" i="4"/>
  <c r="AB58" i="4"/>
  <c r="AA25" i="4"/>
  <c r="AA17" i="4"/>
  <c r="AA11" i="4"/>
  <c r="AC52" i="4"/>
  <c r="AC51" i="4"/>
  <c r="AC47" i="4"/>
  <c r="AC46" i="4"/>
  <c r="AC45" i="4"/>
  <c r="AC44" i="4"/>
  <c r="AC43" i="4"/>
  <c r="AC41" i="4"/>
  <c r="AC40" i="4"/>
  <c r="AC39" i="4"/>
  <c r="AC38" i="4"/>
  <c r="AC37" i="4"/>
  <c r="AC34" i="4"/>
  <c r="AC33" i="4"/>
  <c r="AB87" i="4"/>
  <c r="AB54" i="4" s="1"/>
  <c r="AB78" i="4"/>
  <c r="AB45" i="4" s="1"/>
  <c r="AA41" i="4"/>
  <c r="AA40" i="4"/>
  <c r="AB66" i="4"/>
  <c r="AB33" i="4" s="1"/>
  <c r="AB80" i="4"/>
  <c r="AB47" i="4" s="1"/>
  <c r="L63" i="4"/>
  <c r="X63" i="4" s="1"/>
  <c r="X5" i="4" s="1"/>
  <c r="L5" i="4" s="1"/>
  <c r="AE94" i="4"/>
  <c r="AE103" i="4"/>
  <c r="AE99" i="4"/>
  <c r="AE112" i="4"/>
  <c r="AE104" i="4"/>
  <c r="AE106" i="4"/>
  <c r="AE105" i="4"/>
  <c r="AE111" i="4"/>
  <c r="AE98" i="4"/>
  <c r="AE93" i="4"/>
  <c r="AE107" i="4"/>
  <c r="AE97" i="4"/>
  <c r="AF98" i="4" l="1"/>
  <c r="AF97" i="4"/>
  <c r="AF94" i="4"/>
  <c r="AE40" i="4"/>
  <c r="AA15" i="4" s="1"/>
  <c r="AE45" i="4"/>
  <c r="AC48" i="4"/>
  <c r="AC49" i="4" s="1"/>
  <c r="AC53" i="4" s="1"/>
  <c r="AC57" i="4" s="1"/>
  <c r="AC59" i="4" s="1"/>
  <c r="AD59" i="4" s="1"/>
  <c r="AB93" i="4"/>
  <c r="AD33" i="4" s="1"/>
  <c r="AE38" i="4"/>
  <c r="AA13" i="4" s="1"/>
  <c r="AE43" i="4"/>
  <c r="AA18" i="4" s="1"/>
  <c r="AE47" i="4"/>
  <c r="AA22" i="4" s="1"/>
  <c r="AE52" i="4"/>
  <c r="AA27" i="4" s="1"/>
  <c r="AB106" i="4"/>
  <c r="AD46" i="4" s="1"/>
  <c r="AC54" i="4"/>
  <c r="AB95" i="4"/>
  <c r="AD35" i="4" s="1"/>
  <c r="AB98" i="4"/>
  <c r="AD38" i="4" s="1"/>
  <c r="AB104" i="4"/>
  <c r="AD44" i="4" s="1"/>
  <c r="AE39" i="4"/>
  <c r="AA14" i="4" s="1"/>
  <c r="AE44" i="4"/>
  <c r="AA19" i="4" s="1"/>
  <c r="AB101" i="4"/>
  <c r="AD41" i="4" s="1"/>
  <c r="AE34" i="4"/>
  <c r="AA9" i="4" s="1"/>
  <c r="AB94" i="4"/>
  <c r="AD34" i="4" s="1"/>
  <c r="AB97" i="4"/>
  <c r="AD37" i="4" s="1"/>
  <c r="AB99" i="4"/>
  <c r="AD39" i="4" s="1"/>
  <c r="AE37" i="4"/>
  <c r="AA12" i="4" s="1"/>
  <c r="AE46" i="4"/>
  <c r="AA21" i="4" s="1"/>
  <c r="AE51" i="4"/>
  <c r="AA26" i="4" s="1"/>
  <c r="AA54" i="4"/>
  <c r="G83" i="16"/>
  <c r="G78" i="16"/>
  <c r="G82" i="16" s="1"/>
  <c r="AE100" i="4"/>
  <c r="AJ100" i="4" s="1"/>
  <c r="AJ97" i="4"/>
  <c r="AJ106" i="4"/>
  <c r="AJ111" i="4"/>
  <c r="AE95" i="4"/>
  <c r="AI95" i="4" s="1"/>
  <c r="AF93" i="4"/>
  <c r="AF104" i="4"/>
  <c r="AF99" i="4"/>
  <c r="AF106" i="4"/>
  <c r="AJ93" i="4"/>
  <c r="AJ98" i="4"/>
  <c r="AJ103" i="4"/>
  <c r="AE108" i="4"/>
  <c r="AJ108" i="4" s="1"/>
  <c r="AJ107" i="4"/>
  <c r="AJ112" i="4"/>
  <c r="AJ94" i="4"/>
  <c r="AJ99" i="4"/>
  <c r="AJ104" i="4"/>
  <c r="AJ105" i="4"/>
  <c r="AD57" i="4"/>
  <c r="AD58" i="4"/>
  <c r="AC35" i="4"/>
  <c r="AE35" i="4" s="1"/>
  <c r="AA10" i="4" s="1"/>
  <c r="AE41" i="4"/>
  <c r="AA16" i="4" s="1"/>
  <c r="AA48" i="4"/>
  <c r="AB55" i="4"/>
  <c r="AB56" i="4"/>
  <c r="AD55" i="4"/>
  <c r="AD56" i="4"/>
  <c r="AE33" i="4"/>
  <c r="AA8" i="4" s="1"/>
  <c r="AC108" i="4"/>
  <c r="AD108" i="4" s="1"/>
  <c r="AC100" i="4"/>
  <c r="AD100" i="4" s="1"/>
  <c r="AC95" i="4"/>
  <c r="AH97" i="4"/>
  <c r="AH103" i="4"/>
  <c r="AG103" i="4"/>
  <c r="AH107" i="4"/>
  <c r="AG107" i="4"/>
  <c r="AH112" i="4"/>
  <c r="AH106" i="4"/>
  <c r="AG98" i="4"/>
  <c r="AH98" i="4"/>
  <c r="AH99" i="4"/>
  <c r="AH104" i="4"/>
  <c r="AH111" i="4"/>
  <c r="AH93" i="4"/>
  <c r="AD93" i="4"/>
  <c r="AD98" i="4"/>
  <c r="AD105" i="4"/>
  <c r="AD103" i="4"/>
  <c r="AH94" i="4"/>
  <c r="AH105" i="4"/>
  <c r="AG105" i="4"/>
  <c r="AB71" i="4"/>
  <c r="AB38" i="4" s="1"/>
  <c r="AB86" i="4"/>
  <c r="AB53" i="4" s="1"/>
  <c r="AB84" i="4"/>
  <c r="AB51" i="4" s="1"/>
  <c r="AB81" i="4"/>
  <c r="AB48" i="4" s="1"/>
  <c r="AB79" i="4"/>
  <c r="AB46" i="4" s="1"/>
  <c r="AB77" i="4"/>
  <c r="AB44" i="4" s="1"/>
  <c r="AB74" i="4"/>
  <c r="AB41" i="4" s="1"/>
  <c r="AB72" i="4"/>
  <c r="AB39" i="4" s="1"/>
  <c r="AB70" i="4"/>
  <c r="AB37" i="4" s="1"/>
  <c r="AB67" i="4"/>
  <c r="AB34" i="4" s="1"/>
  <c r="AB73" i="4"/>
  <c r="AB40" i="4" s="1"/>
  <c r="AB82" i="4"/>
  <c r="AB49" i="4" s="1"/>
  <c r="AB68" i="4"/>
  <c r="AB35" i="4" s="1"/>
  <c r="AB76" i="4"/>
  <c r="AB43" i="4" s="1"/>
  <c r="AB85" i="4"/>
  <c r="AB52" i="4" s="1"/>
  <c r="AI107" i="4"/>
  <c r="AG111" i="4"/>
  <c r="AI93" i="4"/>
  <c r="AG94" i="4"/>
  <c r="AG97" i="4"/>
  <c r="AI98" i="4"/>
  <c r="AG99" i="4"/>
  <c r="AI103" i="4"/>
  <c r="AG104" i="4"/>
  <c r="AI105" i="4"/>
  <c r="AG106" i="4"/>
  <c r="AF107" i="4"/>
  <c r="AB109" i="4"/>
  <c r="AD49" i="4" s="1"/>
  <c r="AD111" i="4"/>
  <c r="AB112" i="4"/>
  <c r="AD52" i="4" s="1"/>
  <c r="AF112" i="4"/>
  <c r="AB114" i="4"/>
  <c r="AD54" i="4" s="1"/>
  <c r="AI112" i="4"/>
  <c r="AD94" i="4"/>
  <c r="AD97" i="4"/>
  <c r="AD99" i="4"/>
  <c r="AB100" i="4"/>
  <c r="AD40" i="4" s="1"/>
  <c r="AB103" i="4"/>
  <c r="AD43" i="4" s="1"/>
  <c r="AF103" i="4"/>
  <c r="AD104" i="4"/>
  <c r="AB105" i="4"/>
  <c r="AD45" i="4" s="1"/>
  <c r="AF105" i="4"/>
  <c r="AD106" i="4"/>
  <c r="AB107" i="4"/>
  <c r="AD47" i="4" s="1"/>
  <c r="AI111" i="4"/>
  <c r="AG112" i="4"/>
  <c r="AA20" i="4"/>
  <c r="AG93" i="4"/>
  <c r="AI94" i="4"/>
  <c r="AI97" i="4"/>
  <c r="AI99" i="4"/>
  <c r="AI104" i="4"/>
  <c r="AI106" i="4"/>
  <c r="AD107" i="4"/>
  <c r="AB108" i="4"/>
  <c r="AD48" i="4" s="1"/>
  <c r="AB111" i="4"/>
  <c r="AD51" i="4" s="1"/>
  <c r="AF111" i="4"/>
  <c r="AD112" i="4"/>
  <c r="AB113" i="4"/>
  <c r="AD53" i="4" s="1"/>
  <c r="AF95" i="4" l="1"/>
  <c r="AE48" i="4"/>
  <c r="AA23" i="4" s="1"/>
  <c r="AE54" i="4"/>
  <c r="AF54" i="4" s="1"/>
  <c r="AA49" i="4"/>
  <c r="AE49" i="4" s="1"/>
  <c r="AA24" i="4" s="1"/>
  <c r="AI100" i="4"/>
  <c r="AI108" i="4"/>
  <c r="AE101" i="4"/>
  <c r="AF101" i="4" s="1"/>
  <c r="AF100" i="4"/>
  <c r="AF108" i="4"/>
  <c r="AC101" i="4"/>
  <c r="AD101" i="4" s="1"/>
  <c r="AF58" i="4"/>
  <c r="AF51" i="4"/>
  <c r="AF46" i="4"/>
  <c r="AF44" i="4"/>
  <c r="AF41" i="4"/>
  <c r="AF39" i="4"/>
  <c r="AF37" i="4"/>
  <c r="AF34" i="4"/>
  <c r="AF56" i="4"/>
  <c r="AF55" i="4"/>
  <c r="AF52" i="4"/>
  <c r="AF47" i="4"/>
  <c r="AF45" i="4"/>
  <c r="AF43" i="4"/>
  <c r="AF40" i="4"/>
  <c r="AF38" i="4"/>
  <c r="AF35" i="4"/>
  <c r="AF33" i="4"/>
  <c r="AD95" i="4"/>
  <c r="AG95" i="4"/>
  <c r="AH95" i="4"/>
  <c r="AH108" i="4"/>
  <c r="AG108" i="4"/>
  <c r="AG100" i="4"/>
  <c r="AH100" i="4"/>
  <c r="AJ95" i="4"/>
  <c r="N7" i="16"/>
  <c r="Z56" i="10"/>
  <c r="Z55" i="10"/>
  <c r="Z54" i="10"/>
  <c r="Z53" i="10"/>
  <c r="Z51" i="10"/>
  <c r="Z50" i="10"/>
  <c r="Z49" i="10"/>
  <c r="Z48" i="10"/>
  <c r="Z47" i="10"/>
  <c r="Z46" i="10"/>
  <c r="Z45" i="10"/>
  <c r="Z43" i="10"/>
  <c r="Z42" i="10"/>
  <c r="Z41" i="10"/>
  <c r="Z40" i="10"/>
  <c r="Z39" i="10"/>
  <c r="Z37" i="10"/>
  <c r="Z36" i="10"/>
  <c r="Z35" i="10"/>
  <c r="X56" i="10"/>
  <c r="X55" i="10"/>
  <c r="X54" i="10"/>
  <c r="X53" i="10"/>
  <c r="X51" i="10"/>
  <c r="X50" i="10"/>
  <c r="X49" i="10"/>
  <c r="X48" i="10"/>
  <c r="X47" i="10"/>
  <c r="X46" i="10"/>
  <c r="X45" i="10"/>
  <c r="X43" i="10"/>
  <c r="X42" i="10"/>
  <c r="X41" i="10"/>
  <c r="X40" i="10"/>
  <c r="X39" i="10"/>
  <c r="X37" i="10"/>
  <c r="X36" i="10"/>
  <c r="X35" i="10"/>
  <c r="V56" i="10"/>
  <c r="V55" i="10"/>
  <c r="V54" i="10"/>
  <c r="V53" i="10"/>
  <c r="V51" i="10"/>
  <c r="V50" i="10"/>
  <c r="V49" i="10"/>
  <c r="V48" i="10"/>
  <c r="V47" i="10"/>
  <c r="V46" i="10"/>
  <c r="V45" i="10"/>
  <c r="V43" i="10"/>
  <c r="V42" i="10"/>
  <c r="V41" i="10"/>
  <c r="V40" i="10"/>
  <c r="V39" i="10"/>
  <c r="V37" i="10"/>
  <c r="V36" i="10"/>
  <c r="V35" i="10"/>
  <c r="T56" i="10"/>
  <c r="T55" i="10"/>
  <c r="T54" i="10"/>
  <c r="T53" i="10"/>
  <c r="T51" i="10"/>
  <c r="T50" i="10"/>
  <c r="T49" i="10"/>
  <c r="T48" i="10"/>
  <c r="T47" i="10"/>
  <c r="T46" i="10"/>
  <c r="T45" i="10"/>
  <c r="T43" i="10"/>
  <c r="T42" i="10"/>
  <c r="T41" i="10"/>
  <c r="T40" i="10"/>
  <c r="T39" i="10"/>
  <c r="T37" i="10"/>
  <c r="T36" i="10"/>
  <c r="T35" i="10"/>
  <c r="R56" i="10"/>
  <c r="R55" i="10"/>
  <c r="R54" i="10"/>
  <c r="R53" i="10"/>
  <c r="R51" i="10"/>
  <c r="R50" i="10"/>
  <c r="R49" i="10"/>
  <c r="R48" i="10"/>
  <c r="R47" i="10"/>
  <c r="R46" i="10"/>
  <c r="R45" i="10"/>
  <c r="R43" i="10"/>
  <c r="R42" i="10"/>
  <c r="R41" i="10"/>
  <c r="R40" i="10"/>
  <c r="R39" i="10"/>
  <c r="R37" i="10"/>
  <c r="R36" i="10"/>
  <c r="R35" i="10"/>
  <c r="P56" i="10"/>
  <c r="P55" i="10"/>
  <c r="P54" i="10"/>
  <c r="P53" i="10"/>
  <c r="P51" i="10"/>
  <c r="P50" i="10"/>
  <c r="P49" i="10"/>
  <c r="P48" i="10"/>
  <c r="P47" i="10"/>
  <c r="P46" i="10"/>
  <c r="P45" i="10"/>
  <c r="P43" i="10"/>
  <c r="P42" i="10"/>
  <c r="P41" i="10"/>
  <c r="P40" i="10"/>
  <c r="P39" i="10"/>
  <c r="P37" i="10"/>
  <c r="P36" i="10"/>
  <c r="P35" i="10"/>
  <c r="N56" i="10"/>
  <c r="N55" i="10"/>
  <c r="N54" i="10"/>
  <c r="N53" i="10"/>
  <c r="N51" i="10"/>
  <c r="N50" i="10"/>
  <c r="N49" i="10"/>
  <c r="N48" i="10"/>
  <c r="N47" i="10"/>
  <c r="N46" i="10"/>
  <c r="N45" i="10"/>
  <c r="N43" i="10"/>
  <c r="N42" i="10"/>
  <c r="N41" i="10"/>
  <c r="N40" i="10"/>
  <c r="N39" i="10"/>
  <c r="N37" i="10"/>
  <c r="N36" i="10"/>
  <c r="N35" i="10"/>
  <c r="L56" i="10"/>
  <c r="L55" i="10"/>
  <c r="L54" i="10"/>
  <c r="L53" i="10"/>
  <c r="L51" i="10"/>
  <c r="L50" i="10"/>
  <c r="L49" i="10"/>
  <c r="L48" i="10"/>
  <c r="L47" i="10"/>
  <c r="L46" i="10"/>
  <c r="L45" i="10"/>
  <c r="L43" i="10"/>
  <c r="L42" i="10"/>
  <c r="L41" i="10"/>
  <c r="L40" i="10"/>
  <c r="L39" i="10"/>
  <c r="L37" i="10"/>
  <c r="L36" i="10"/>
  <c r="L35" i="10"/>
  <c r="J56" i="10"/>
  <c r="J55" i="10"/>
  <c r="J54" i="10"/>
  <c r="J53" i="10"/>
  <c r="J51" i="10"/>
  <c r="J50" i="10"/>
  <c r="J49" i="10"/>
  <c r="J48" i="10"/>
  <c r="J47" i="10"/>
  <c r="J46" i="10"/>
  <c r="J45" i="10"/>
  <c r="J43" i="10"/>
  <c r="J42" i="10"/>
  <c r="J41" i="10"/>
  <c r="J40" i="10"/>
  <c r="J39" i="10"/>
  <c r="J37" i="10"/>
  <c r="J36" i="10"/>
  <c r="J35" i="10"/>
  <c r="H56" i="10"/>
  <c r="H55" i="10"/>
  <c r="H54" i="10"/>
  <c r="H53" i="10"/>
  <c r="H51" i="10"/>
  <c r="H50" i="10"/>
  <c r="H49" i="10"/>
  <c r="H48" i="10"/>
  <c r="H47" i="10"/>
  <c r="H46" i="10"/>
  <c r="H45" i="10"/>
  <c r="H43" i="10"/>
  <c r="H42" i="10"/>
  <c r="H41" i="10"/>
  <c r="H40" i="10"/>
  <c r="H39" i="10"/>
  <c r="H37" i="10"/>
  <c r="H36" i="10"/>
  <c r="H35" i="10"/>
  <c r="F56" i="10"/>
  <c r="F55" i="10"/>
  <c r="F54" i="10"/>
  <c r="F53" i="10"/>
  <c r="F51" i="10"/>
  <c r="F50" i="10"/>
  <c r="F49" i="10"/>
  <c r="F48" i="10"/>
  <c r="F47" i="10"/>
  <c r="F46" i="10"/>
  <c r="F45" i="10"/>
  <c r="F43" i="10"/>
  <c r="F42" i="10"/>
  <c r="F41" i="10"/>
  <c r="F40" i="10"/>
  <c r="F39" i="10"/>
  <c r="F37" i="10"/>
  <c r="F36" i="10"/>
  <c r="F35" i="10"/>
  <c r="D56" i="10"/>
  <c r="D55" i="10"/>
  <c r="D54" i="10"/>
  <c r="D53" i="10"/>
  <c r="D51" i="10"/>
  <c r="D50" i="10"/>
  <c r="D49" i="10"/>
  <c r="D48" i="10"/>
  <c r="D47" i="10"/>
  <c r="D46" i="10"/>
  <c r="D45" i="10"/>
  <c r="D43" i="10"/>
  <c r="D42" i="10"/>
  <c r="D41" i="10"/>
  <c r="D40" i="10"/>
  <c r="D39" i="10"/>
  <c r="D37" i="10"/>
  <c r="D36" i="10"/>
  <c r="D35" i="10"/>
  <c r="D81" i="10"/>
  <c r="D80" i="10"/>
  <c r="D79" i="10"/>
  <c r="D78" i="10"/>
  <c r="D76" i="10"/>
  <c r="D75" i="10"/>
  <c r="D74" i="10"/>
  <c r="D73" i="10"/>
  <c r="D72" i="10"/>
  <c r="D71" i="10"/>
  <c r="D70" i="10"/>
  <c r="D68" i="10"/>
  <c r="D67" i="10"/>
  <c r="D66" i="10"/>
  <c r="D65" i="10"/>
  <c r="D64" i="10"/>
  <c r="D62" i="10"/>
  <c r="D61" i="10"/>
  <c r="D60" i="10"/>
  <c r="F81" i="10"/>
  <c r="F80" i="10"/>
  <c r="F79" i="10"/>
  <c r="F78" i="10"/>
  <c r="F76" i="10"/>
  <c r="F75" i="10"/>
  <c r="F74" i="10"/>
  <c r="F73" i="10"/>
  <c r="F72" i="10"/>
  <c r="F71" i="10"/>
  <c r="F70" i="10"/>
  <c r="F68" i="10"/>
  <c r="F67" i="10"/>
  <c r="F66" i="10"/>
  <c r="F65" i="10"/>
  <c r="F64" i="10"/>
  <c r="F62" i="10"/>
  <c r="F61" i="10"/>
  <c r="F60" i="10"/>
  <c r="H81" i="10"/>
  <c r="H80" i="10"/>
  <c r="H79" i="10"/>
  <c r="H78" i="10"/>
  <c r="H76" i="10"/>
  <c r="H75" i="10"/>
  <c r="H74" i="10"/>
  <c r="H73" i="10"/>
  <c r="H72" i="10"/>
  <c r="H71" i="10"/>
  <c r="H70" i="10"/>
  <c r="H68" i="10"/>
  <c r="H67" i="10"/>
  <c r="H66" i="10"/>
  <c r="H65" i="10"/>
  <c r="H64" i="10"/>
  <c r="H62" i="10"/>
  <c r="H61" i="10"/>
  <c r="H60" i="10"/>
  <c r="J81" i="10"/>
  <c r="J80" i="10"/>
  <c r="J79" i="10"/>
  <c r="J78" i="10"/>
  <c r="J76" i="10"/>
  <c r="J75" i="10"/>
  <c r="J74" i="10"/>
  <c r="J73" i="10"/>
  <c r="J72" i="10"/>
  <c r="J71" i="10"/>
  <c r="J70" i="10"/>
  <c r="J68" i="10"/>
  <c r="J67" i="10"/>
  <c r="J66" i="10"/>
  <c r="J65" i="10"/>
  <c r="J64" i="10"/>
  <c r="J62" i="10"/>
  <c r="J61" i="10"/>
  <c r="J60" i="10"/>
  <c r="L81" i="10"/>
  <c r="L80" i="10"/>
  <c r="L79" i="10"/>
  <c r="L78" i="10"/>
  <c r="L76" i="10"/>
  <c r="L75" i="10"/>
  <c r="L74" i="10"/>
  <c r="L73" i="10"/>
  <c r="L72" i="10"/>
  <c r="L71" i="10"/>
  <c r="L70" i="10"/>
  <c r="L68" i="10"/>
  <c r="L67" i="10"/>
  <c r="L66" i="10"/>
  <c r="L65" i="10"/>
  <c r="L64" i="10"/>
  <c r="L62" i="10"/>
  <c r="L61" i="10"/>
  <c r="L60" i="10"/>
  <c r="N81" i="10"/>
  <c r="N80" i="10"/>
  <c r="N79" i="10"/>
  <c r="N78" i="10"/>
  <c r="N76" i="10"/>
  <c r="N75" i="10"/>
  <c r="N74" i="10"/>
  <c r="N73" i="10"/>
  <c r="N72" i="10"/>
  <c r="N71" i="10"/>
  <c r="N70" i="10"/>
  <c r="N68" i="10"/>
  <c r="N67" i="10"/>
  <c r="N66" i="10"/>
  <c r="N65" i="10"/>
  <c r="N64" i="10"/>
  <c r="N62" i="10"/>
  <c r="N61" i="10"/>
  <c r="N60" i="10"/>
  <c r="P81" i="10"/>
  <c r="P80" i="10"/>
  <c r="P79" i="10"/>
  <c r="P78" i="10"/>
  <c r="P76" i="10"/>
  <c r="P75" i="10"/>
  <c r="P74" i="10"/>
  <c r="P73" i="10"/>
  <c r="P72" i="10"/>
  <c r="P71" i="10"/>
  <c r="P70" i="10"/>
  <c r="P68" i="10"/>
  <c r="P67" i="10"/>
  <c r="P66" i="10"/>
  <c r="P65" i="10"/>
  <c r="P64" i="10"/>
  <c r="P62" i="10"/>
  <c r="P61" i="10"/>
  <c r="P60" i="10"/>
  <c r="R81" i="10"/>
  <c r="R80" i="10"/>
  <c r="R79" i="10"/>
  <c r="R78" i="10"/>
  <c r="R76" i="10"/>
  <c r="R75" i="10"/>
  <c r="R74" i="10"/>
  <c r="R73" i="10"/>
  <c r="R72" i="10"/>
  <c r="R71" i="10"/>
  <c r="R70" i="10"/>
  <c r="R68" i="10"/>
  <c r="R67" i="10"/>
  <c r="R66" i="10"/>
  <c r="R65" i="10"/>
  <c r="R64" i="10"/>
  <c r="R62" i="10"/>
  <c r="R61" i="10"/>
  <c r="R60" i="10"/>
  <c r="T81" i="10"/>
  <c r="T80" i="10"/>
  <c r="T79" i="10"/>
  <c r="T78" i="10"/>
  <c r="T76" i="10"/>
  <c r="T75" i="10"/>
  <c r="T74" i="10"/>
  <c r="T73" i="10"/>
  <c r="T72" i="10"/>
  <c r="T71" i="10"/>
  <c r="T70" i="10"/>
  <c r="T68" i="10"/>
  <c r="T67" i="10"/>
  <c r="T66" i="10"/>
  <c r="T65" i="10"/>
  <c r="T64" i="10"/>
  <c r="T62" i="10"/>
  <c r="T61" i="10"/>
  <c r="T60" i="10"/>
  <c r="V81" i="10"/>
  <c r="V80" i="10"/>
  <c r="V79" i="10"/>
  <c r="V78" i="10"/>
  <c r="V76" i="10"/>
  <c r="V75" i="10"/>
  <c r="V74" i="10"/>
  <c r="V73" i="10"/>
  <c r="V72" i="10"/>
  <c r="V71" i="10"/>
  <c r="V70" i="10"/>
  <c r="V68" i="10"/>
  <c r="V67" i="10"/>
  <c r="V66" i="10"/>
  <c r="V65" i="10"/>
  <c r="V64" i="10"/>
  <c r="V62" i="10"/>
  <c r="V61" i="10"/>
  <c r="V60" i="10"/>
  <c r="X81" i="10"/>
  <c r="X80" i="10"/>
  <c r="X79" i="10"/>
  <c r="X78" i="10"/>
  <c r="X76" i="10"/>
  <c r="X75" i="10"/>
  <c r="X74" i="10"/>
  <c r="X73" i="10"/>
  <c r="X72" i="10"/>
  <c r="X71" i="10"/>
  <c r="X70" i="10"/>
  <c r="X68" i="10"/>
  <c r="X67" i="10"/>
  <c r="X66" i="10"/>
  <c r="X65" i="10"/>
  <c r="X64" i="10"/>
  <c r="X62" i="10"/>
  <c r="X61" i="10"/>
  <c r="X60" i="10"/>
  <c r="Z81" i="10"/>
  <c r="Z80" i="10"/>
  <c r="Z79" i="10"/>
  <c r="Z78" i="10"/>
  <c r="Z76" i="10"/>
  <c r="Z75" i="10"/>
  <c r="Z74" i="10"/>
  <c r="Z73" i="10"/>
  <c r="Z72" i="10"/>
  <c r="Z71" i="10"/>
  <c r="Z70" i="10"/>
  <c r="Z68" i="10"/>
  <c r="Z67" i="10"/>
  <c r="Z66" i="10"/>
  <c r="Z65" i="10"/>
  <c r="Z64" i="10"/>
  <c r="Z62" i="10"/>
  <c r="Z61" i="10"/>
  <c r="Z60" i="10"/>
  <c r="AF48" i="4" l="1"/>
  <c r="AA29" i="4"/>
  <c r="AF49" i="4"/>
  <c r="AA53" i="4"/>
  <c r="AA57" i="4" s="1"/>
  <c r="AB57" i="4" s="1"/>
  <c r="AE109" i="4"/>
  <c r="AF109" i="4" s="1"/>
  <c r="AE114" i="4"/>
  <c r="AF114" i="4" s="1"/>
  <c r="AC109" i="4"/>
  <c r="AD109" i="4" s="1"/>
  <c r="AC114" i="4"/>
  <c r="AD114" i="4" s="1"/>
  <c r="AH101" i="4"/>
  <c r="AG101" i="4"/>
  <c r="AB9" i="4"/>
  <c r="AJ101" i="4"/>
  <c r="AI101" i="4"/>
  <c r="O11" i="16"/>
  <c r="O10" i="16"/>
  <c r="O14" i="16"/>
  <c r="O16" i="16"/>
  <c r="O15" i="16"/>
  <c r="O21" i="16"/>
  <c r="O23" i="16"/>
  <c r="O20" i="16"/>
  <c r="O22" i="16"/>
  <c r="O24" i="16"/>
  <c r="P81" i="16"/>
  <c r="P76" i="16"/>
  <c r="P74" i="16"/>
  <c r="P72" i="16"/>
  <c r="P67" i="16"/>
  <c r="P62" i="16"/>
  <c r="P80" i="16"/>
  <c r="P75" i="16"/>
  <c r="P73" i="16"/>
  <c r="P68" i="16"/>
  <c r="P66" i="16"/>
  <c r="P63" i="16"/>
  <c r="O64" i="16"/>
  <c r="O69" i="16"/>
  <c r="P69" i="16" s="1"/>
  <c r="O43" i="16"/>
  <c r="P43" i="16" s="1"/>
  <c r="O77" i="16"/>
  <c r="O38" i="16"/>
  <c r="O12" i="16" s="1"/>
  <c r="P47" i="16"/>
  <c r="P42" i="16"/>
  <c r="P37" i="16"/>
  <c r="P41" i="16"/>
  <c r="P40" i="16"/>
  <c r="P50" i="16"/>
  <c r="P46" i="16"/>
  <c r="P36" i="16"/>
  <c r="P49" i="16"/>
  <c r="P48" i="16"/>
  <c r="O51" i="16"/>
  <c r="P51" i="16" s="1"/>
  <c r="AE53" i="4" l="1"/>
  <c r="AE113" i="4"/>
  <c r="AF113" i="4" s="1"/>
  <c r="AC113" i="4"/>
  <c r="AD113" i="4" s="1"/>
  <c r="AA59" i="4"/>
  <c r="AE57" i="4"/>
  <c r="AF57" i="4" s="1"/>
  <c r="AH109" i="4"/>
  <c r="AG109" i="4"/>
  <c r="AH114" i="4"/>
  <c r="AG114" i="4"/>
  <c r="AB29" i="4"/>
  <c r="AB27" i="4"/>
  <c r="AB16" i="4"/>
  <c r="AB14" i="4"/>
  <c r="AB12" i="4"/>
  <c r="AB24" i="4"/>
  <c r="AB22" i="4"/>
  <c r="AB20" i="4"/>
  <c r="AB18" i="4"/>
  <c r="AB26" i="4"/>
  <c r="AB15" i="4"/>
  <c r="AB13" i="4"/>
  <c r="AB21" i="4"/>
  <c r="AB10" i="4"/>
  <c r="AB19" i="4"/>
  <c r="AB8" i="4"/>
  <c r="AB23" i="4"/>
  <c r="AJ109" i="4"/>
  <c r="AI109" i="4"/>
  <c r="AJ114" i="4"/>
  <c r="AI114" i="4"/>
  <c r="P23" i="16"/>
  <c r="P24" i="16"/>
  <c r="P20" i="16"/>
  <c r="P15" i="16"/>
  <c r="P10" i="16"/>
  <c r="P22" i="16"/>
  <c r="P21" i="16"/>
  <c r="P16" i="16"/>
  <c r="P14" i="16"/>
  <c r="P11" i="16"/>
  <c r="O17" i="16"/>
  <c r="O70" i="16"/>
  <c r="O44" i="16"/>
  <c r="P12" i="16"/>
  <c r="O25" i="16"/>
  <c r="P38" i="16"/>
  <c r="P77" i="16"/>
  <c r="P64" i="16"/>
  <c r="AE59" i="4" l="1"/>
  <c r="AF59" i="4" s="1"/>
  <c r="AB59" i="4"/>
  <c r="AA28" i="4"/>
  <c r="AB28" i="4" s="1"/>
  <c r="AF53" i="4"/>
  <c r="AG113" i="4"/>
  <c r="AH113" i="4"/>
  <c r="AJ113" i="4"/>
  <c r="AI113" i="4"/>
  <c r="O57" i="16"/>
  <c r="O52" i="16"/>
  <c r="O18" i="16"/>
  <c r="P44" i="16"/>
  <c r="O83" i="16"/>
  <c r="O78" i="16"/>
  <c r="P70" i="16"/>
  <c r="P17" i="16"/>
  <c r="P25" i="16"/>
  <c r="O82" i="16" l="1"/>
  <c r="P78" i="16"/>
  <c r="P83" i="16"/>
  <c r="O26" i="16"/>
  <c r="P52" i="16"/>
  <c r="P18" i="16"/>
  <c r="O31" i="16"/>
  <c r="P57" i="16"/>
  <c r="P31" i="16" l="1"/>
  <c r="P26" i="16"/>
  <c r="P82" i="16"/>
  <c r="Z33" i="15" l="1"/>
  <c r="Z32" i="15"/>
  <c r="Z31" i="15"/>
  <c r="Z30" i="15"/>
  <c r="Z29" i="15"/>
  <c r="Z28" i="15"/>
  <c r="Z27" i="15"/>
  <c r="Z26" i="15"/>
  <c r="Z25" i="15"/>
  <c r="Z24" i="15"/>
  <c r="Z23" i="15"/>
  <c r="Z22" i="15"/>
  <c r="Z21" i="15"/>
  <c r="Z20" i="15"/>
  <c r="Z19" i="15"/>
  <c r="Z18" i="15"/>
  <c r="Z17" i="15"/>
  <c r="Z16" i="15"/>
  <c r="Z15" i="15"/>
  <c r="Z14" i="15"/>
  <c r="Z13" i="15"/>
  <c r="AA13" i="15" s="1"/>
  <c r="X33" i="15"/>
  <c r="X32" i="15"/>
  <c r="X31" i="15"/>
  <c r="X30" i="15"/>
  <c r="X29" i="15"/>
  <c r="X28" i="15"/>
  <c r="X27" i="15"/>
  <c r="X26" i="15"/>
  <c r="X25" i="15"/>
  <c r="X24" i="15"/>
  <c r="X23" i="15"/>
  <c r="X22" i="15"/>
  <c r="X21" i="15"/>
  <c r="X20" i="15"/>
  <c r="X19" i="15"/>
  <c r="X18" i="15"/>
  <c r="X17" i="15"/>
  <c r="X16" i="15"/>
  <c r="X15" i="15"/>
  <c r="X14" i="15"/>
  <c r="X13" i="15"/>
  <c r="Y13" i="15" s="1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W13" i="15" s="1"/>
  <c r="T33" i="15"/>
  <c r="T32" i="15"/>
  <c r="T31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U13" i="15" s="1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S13" i="15" s="1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P17" i="15"/>
  <c r="P16" i="15"/>
  <c r="P15" i="15"/>
  <c r="P14" i="15"/>
  <c r="P13" i="15"/>
  <c r="Q13" i="15" s="1"/>
  <c r="N33" i="15"/>
  <c r="N32" i="15"/>
  <c r="N31" i="15"/>
  <c r="N30" i="15"/>
  <c r="N29" i="15"/>
  <c r="N28" i="15"/>
  <c r="N27" i="15"/>
  <c r="N26" i="15"/>
  <c r="N25" i="15"/>
  <c r="N24" i="15"/>
  <c r="N23" i="15"/>
  <c r="N22" i="15"/>
  <c r="N21" i="15"/>
  <c r="N20" i="15"/>
  <c r="N19" i="15"/>
  <c r="N18" i="15"/>
  <c r="N17" i="15"/>
  <c r="N16" i="15"/>
  <c r="N15" i="15"/>
  <c r="N14" i="15"/>
  <c r="N13" i="15"/>
  <c r="O13" i="15" s="1"/>
  <c r="L33" i="15"/>
  <c r="L32" i="15"/>
  <c r="L31" i="15"/>
  <c r="L30" i="15"/>
  <c r="L29" i="15"/>
  <c r="L28" i="15"/>
  <c r="L27" i="15"/>
  <c r="L26" i="15"/>
  <c r="L25" i="15"/>
  <c r="L24" i="15"/>
  <c r="L23" i="15"/>
  <c r="L22" i="15"/>
  <c r="L21" i="15"/>
  <c r="L20" i="15"/>
  <c r="L19" i="15"/>
  <c r="L18" i="15"/>
  <c r="L17" i="15"/>
  <c r="L16" i="15"/>
  <c r="L15" i="15"/>
  <c r="L14" i="15"/>
  <c r="L13" i="15"/>
  <c r="M13" i="15" s="1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K13" i="15" s="1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I13" i="15" s="1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G13" i="15" s="1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E13" i="15" s="1"/>
  <c r="K15" i="15" l="1"/>
  <c r="S15" i="15"/>
  <c r="S19" i="15"/>
  <c r="Y16" i="15"/>
  <c r="K19" i="15"/>
  <c r="K23" i="15"/>
  <c r="S23" i="15"/>
  <c r="Y20" i="15"/>
  <c r="Y24" i="15"/>
  <c r="K27" i="15"/>
  <c r="K31" i="15"/>
  <c r="S27" i="15"/>
  <c r="AA15" i="15"/>
  <c r="S31" i="15"/>
  <c r="AA19" i="15"/>
  <c r="E17" i="15"/>
  <c r="AA23" i="15"/>
  <c r="AA27" i="15"/>
  <c r="K16" i="15"/>
  <c r="K20" i="15"/>
  <c r="K24" i="15"/>
  <c r="K28" i="15"/>
  <c r="K32" i="15"/>
  <c r="S16" i="15"/>
  <c r="S20" i="15"/>
  <c r="S24" i="15"/>
  <c r="S28" i="15"/>
  <c r="S32" i="15"/>
  <c r="E21" i="15"/>
  <c r="E33" i="15"/>
  <c r="E14" i="15"/>
  <c r="E18" i="15"/>
  <c r="E22" i="15"/>
  <c r="E26" i="15"/>
  <c r="E30" i="15"/>
  <c r="G17" i="15"/>
  <c r="I16" i="15"/>
  <c r="I20" i="15"/>
  <c r="I24" i="15"/>
  <c r="I28" i="15"/>
  <c r="I32" i="15"/>
  <c r="M14" i="15"/>
  <c r="M18" i="15"/>
  <c r="M22" i="15"/>
  <c r="M26" i="15"/>
  <c r="M30" i="15"/>
  <c r="O17" i="15"/>
  <c r="Q16" i="15"/>
  <c r="Q20" i="15"/>
  <c r="Q24" i="15"/>
  <c r="Q28" i="15"/>
  <c r="Q32" i="15"/>
  <c r="U14" i="15"/>
  <c r="U18" i="15"/>
  <c r="U22" i="15"/>
  <c r="U26" i="15"/>
  <c r="U30" i="15"/>
  <c r="W25" i="15"/>
  <c r="Y28" i="15"/>
  <c r="Y32" i="15"/>
  <c r="AA31" i="15"/>
  <c r="E23" i="15"/>
  <c r="M19" i="15"/>
  <c r="M23" i="15"/>
  <c r="M31" i="15"/>
  <c r="U15" i="15"/>
  <c r="U19" i="15"/>
  <c r="E25" i="15"/>
  <c r="E29" i="15"/>
  <c r="E15" i="15"/>
  <c r="E19" i="15"/>
  <c r="E27" i="15"/>
  <c r="E31" i="15"/>
  <c r="I17" i="15"/>
  <c r="M15" i="15"/>
  <c r="M27" i="15"/>
  <c r="E16" i="15"/>
  <c r="E20" i="15"/>
  <c r="E24" i="15"/>
  <c r="E28" i="15"/>
  <c r="E32" i="15"/>
  <c r="M16" i="15"/>
  <c r="M20" i="15"/>
  <c r="M24" i="15"/>
  <c r="M28" i="15"/>
  <c r="M32" i="15"/>
  <c r="U16" i="15"/>
  <c r="U20" i="15"/>
  <c r="U24" i="15"/>
  <c r="U28" i="15"/>
  <c r="U32" i="15"/>
  <c r="Y14" i="15"/>
  <c r="Y18" i="15"/>
  <c r="Y22" i="15"/>
  <c r="Y26" i="15"/>
  <c r="Y30" i="15"/>
  <c r="G25" i="15"/>
  <c r="O21" i="15"/>
  <c r="O29" i="15"/>
  <c r="W21" i="15"/>
  <c r="W33" i="15"/>
  <c r="G18" i="15"/>
  <c r="G30" i="15"/>
  <c r="I21" i="15"/>
  <c r="I33" i="15"/>
  <c r="O14" i="15"/>
  <c r="O18" i="15"/>
  <c r="O22" i="15"/>
  <c r="O26" i="15"/>
  <c r="O30" i="15"/>
  <c r="Q17" i="15"/>
  <c r="Q21" i="15"/>
  <c r="Q25" i="15"/>
  <c r="Q29" i="15"/>
  <c r="Q33" i="15"/>
  <c r="U23" i="15"/>
  <c r="U27" i="15"/>
  <c r="U31" i="15"/>
  <c r="W14" i="15"/>
  <c r="W18" i="15"/>
  <c r="W22" i="15"/>
  <c r="W26" i="15"/>
  <c r="W30" i="15"/>
  <c r="Y17" i="15"/>
  <c r="Y21" i="15"/>
  <c r="Y25" i="15"/>
  <c r="Y29" i="15"/>
  <c r="Y33" i="15"/>
  <c r="AA16" i="15"/>
  <c r="AA20" i="15"/>
  <c r="AA24" i="15"/>
  <c r="AA28" i="15"/>
  <c r="AA32" i="15"/>
  <c r="G29" i="15"/>
  <c r="G22" i="15"/>
  <c r="I29" i="15"/>
  <c r="G19" i="15"/>
  <c r="G27" i="15"/>
  <c r="I14" i="15"/>
  <c r="I22" i="15"/>
  <c r="I30" i="15"/>
  <c r="K17" i="15"/>
  <c r="K21" i="15"/>
  <c r="K25" i="15"/>
  <c r="K29" i="15"/>
  <c r="K33" i="15"/>
  <c r="O15" i="15"/>
  <c r="O19" i="15"/>
  <c r="O23" i="15"/>
  <c r="O27" i="15"/>
  <c r="O31" i="15"/>
  <c r="Q14" i="15"/>
  <c r="Q18" i="15"/>
  <c r="Q22" i="15"/>
  <c r="Q26" i="15"/>
  <c r="Q30" i="15"/>
  <c r="S17" i="15"/>
  <c r="S21" i="15"/>
  <c r="S25" i="15"/>
  <c r="S29" i="15"/>
  <c r="S33" i="15"/>
  <c r="W15" i="15"/>
  <c r="W19" i="15"/>
  <c r="W23" i="15"/>
  <c r="W27" i="15"/>
  <c r="W31" i="15"/>
  <c r="AA17" i="15"/>
  <c r="AA21" i="15"/>
  <c r="AA25" i="15"/>
  <c r="AA29" i="15"/>
  <c r="AA33" i="15"/>
  <c r="G21" i="15"/>
  <c r="G33" i="15"/>
  <c r="O25" i="15"/>
  <c r="O33" i="15"/>
  <c r="W17" i="15"/>
  <c r="W29" i="15"/>
  <c r="G14" i="15"/>
  <c r="G26" i="15"/>
  <c r="I25" i="15"/>
  <c r="G15" i="15"/>
  <c r="G23" i="15"/>
  <c r="G31" i="15"/>
  <c r="I18" i="15"/>
  <c r="I26" i="15"/>
  <c r="G16" i="15"/>
  <c r="G20" i="15"/>
  <c r="G24" i="15"/>
  <c r="G28" i="15"/>
  <c r="G32" i="15"/>
  <c r="I15" i="15"/>
  <c r="I19" i="15"/>
  <c r="I23" i="15"/>
  <c r="I27" i="15"/>
  <c r="I31" i="15"/>
  <c r="K14" i="15"/>
  <c r="K18" i="15"/>
  <c r="K22" i="15"/>
  <c r="K26" i="15"/>
  <c r="K30" i="15"/>
  <c r="M17" i="15"/>
  <c r="M21" i="15"/>
  <c r="M25" i="15"/>
  <c r="M29" i="15"/>
  <c r="M33" i="15"/>
  <c r="O16" i="15"/>
  <c r="O20" i="15"/>
  <c r="O24" i="15"/>
  <c r="O28" i="15"/>
  <c r="O32" i="15"/>
  <c r="Q15" i="15"/>
  <c r="Q19" i="15"/>
  <c r="Q23" i="15"/>
  <c r="Q27" i="15"/>
  <c r="Q31" i="15"/>
  <c r="S14" i="15"/>
  <c r="S18" i="15"/>
  <c r="S22" i="15"/>
  <c r="S26" i="15"/>
  <c r="S30" i="15"/>
  <c r="U17" i="15"/>
  <c r="U21" i="15"/>
  <c r="U25" i="15"/>
  <c r="U29" i="15"/>
  <c r="U33" i="15"/>
  <c r="W16" i="15"/>
  <c r="W20" i="15"/>
  <c r="W24" i="15"/>
  <c r="W28" i="15"/>
  <c r="W32" i="15"/>
  <c r="Y15" i="15"/>
  <c r="Y19" i="15"/>
  <c r="Y23" i="15"/>
  <c r="Y27" i="15"/>
  <c r="Y31" i="15"/>
  <c r="AA14" i="15"/>
  <c r="AA18" i="15"/>
  <c r="AA22" i="15"/>
  <c r="AA26" i="15"/>
  <c r="AA30" i="15"/>
  <c r="AA81" i="10" l="1"/>
  <c r="AA80" i="10"/>
  <c r="AA79" i="10"/>
  <c r="AA78" i="10"/>
  <c r="AA76" i="10"/>
  <c r="AA75" i="10"/>
  <c r="AA74" i="10"/>
  <c r="AA73" i="10"/>
  <c r="AA72" i="10"/>
  <c r="AA71" i="10"/>
  <c r="AA70" i="10"/>
  <c r="AA68" i="10"/>
  <c r="AA67" i="10"/>
  <c r="AA66" i="10"/>
  <c r="AA65" i="10"/>
  <c r="AA64" i="10"/>
  <c r="AA62" i="10"/>
  <c r="AA61" i="10"/>
  <c r="AA60" i="10"/>
  <c r="AA56" i="10"/>
  <c r="AA55" i="10"/>
  <c r="AA54" i="10"/>
  <c r="AA53" i="10"/>
  <c r="AA51" i="10"/>
  <c r="AA50" i="10"/>
  <c r="AA49" i="10"/>
  <c r="AA48" i="10"/>
  <c r="AA47" i="10"/>
  <c r="AA46" i="10"/>
  <c r="AA45" i="10"/>
  <c r="AA43" i="10"/>
  <c r="AA42" i="10"/>
  <c r="AA41" i="10"/>
  <c r="AA40" i="10"/>
  <c r="AA39" i="10"/>
  <c r="AA37" i="10"/>
  <c r="AA36" i="10"/>
  <c r="AA35" i="10"/>
  <c r="AB61" i="10" l="1"/>
  <c r="AB60" i="10"/>
  <c r="W74" i="16"/>
  <c r="X74" i="16"/>
  <c r="W63" i="16"/>
  <c r="X63" i="16"/>
  <c r="W75" i="16"/>
  <c r="X75" i="16"/>
  <c r="S69" i="16"/>
  <c r="T69" i="16" s="1"/>
  <c r="X66" i="16"/>
  <c r="W66" i="16"/>
  <c r="S77" i="16"/>
  <c r="T77" i="16" s="1"/>
  <c r="X72" i="16"/>
  <c r="W72" i="16"/>
  <c r="X67" i="16"/>
  <c r="W67" i="16"/>
  <c r="X80" i="16"/>
  <c r="W80" i="16"/>
  <c r="X68" i="16"/>
  <c r="W68" i="16"/>
  <c r="W73" i="16"/>
  <c r="X73" i="16"/>
  <c r="W76" i="16"/>
  <c r="X76" i="16"/>
  <c r="S64" i="16"/>
  <c r="T64" i="16" s="1"/>
  <c r="T62" i="16"/>
  <c r="X62" i="16"/>
  <c r="W62" i="16"/>
  <c r="W81" i="16"/>
  <c r="X81" i="16"/>
  <c r="U68" i="16"/>
  <c r="V68" i="16"/>
  <c r="U74" i="16"/>
  <c r="V74" i="16"/>
  <c r="U80" i="16"/>
  <c r="V80" i="16"/>
  <c r="V67" i="16"/>
  <c r="U67" i="16"/>
  <c r="V66" i="16"/>
  <c r="Q69" i="16"/>
  <c r="U66" i="16"/>
  <c r="V76" i="16"/>
  <c r="U76" i="16"/>
  <c r="V81" i="16"/>
  <c r="U81" i="16"/>
  <c r="U73" i="16"/>
  <c r="V73" i="16"/>
  <c r="U72" i="16"/>
  <c r="Q77" i="16"/>
  <c r="V72" i="16"/>
  <c r="U75" i="16"/>
  <c r="V75" i="16"/>
  <c r="R73" i="16"/>
  <c r="R76" i="16"/>
  <c r="R66" i="16"/>
  <c r="Q64" i="16"/>
  <c r="V62" i="16"/>
  <c r="R68" i="16"/>
  <c r="R72" i="16"/>
  <c r="R74" i="16"/>
  <c r="R63" i="16"/>
  <c r="R67" i="16"/>
  <c r="U62" i="16"/>
  <c r="R75" i="16"/>
  <c r="R81" i="16"/>
  <c r="R80" i="16"/>
  <c r="R62" i="16"/>
  <c r="U63" i="16"/>
  <c r="V63" i="16"/>
  <c r="N59" i="16"/>
  <c r="T63" i="16"/>
  <c r="T68" i="16"/>
  <c r="T72" i="16"/>
  <c r="T75" i="16"/>
  <c r="T67" i="16"/>
  <c r="T74" i="16"/>
  <c r="T81" i="16"/>
  <c r="T66" i="16"/>
  <c r="T73" i="16"/>
  <c r="T76" i="16"/>
  <c r="T80" i="16"/>
  <c r="AB55" i="10"/>
  <c r="AB50" i="10"/>
  <c r="AB46" i="10"/>
  <c r="AB41" i="10"/>
  <c r="AB36" i="10"/>
  <c r="AB54" i="10"/>
  <c r="AB49" i="10"/>
  <c r="AB45" i="10"/>
  <c r="AB40" i="10"/>
  <c r="AB35" i="10"/>
  <c r="AB51" i="10"/>
  <c r="AB47" i="10"/>
  <c r="AB37" i="10"/>
  <c r="AB53" i="10"/>
  <c r="AB48" i="10"/>
  <c r="AB43" i="10"/>
  <c r="AB39" i="10"/>
  <c r="AB56" i="10"/>
  <c r="AB42" i="10"/>
  <c r="H63" i="16"/>
  <c r="H74" i="16"/>
  <c r="H75" i="16"/>
  <c r="H73" i="16"/>
  <c r="H68" i="16"/>
  <c r="H66" i="16"/>
  <c r="H81" i="16"/>
  <c r="H76" i="16"/>
  <c r="H72" i="16"/>
  <c r="H67" i="16"/>
  <c r="H62" i="16"/>
  <c r="H80" i="16"/>
  <c r="AA11" i="10"/>
  <c r="AB11" i="10" s="1"/>
  <c r="L80" i="16"/>
  <c r="H77" i="16"/>
  <c r="L76" i="16"/>
  <c r="H69" i="16"/>
  <c r="H64" i="16"/>
  <c r="AB81" i="10"/>
  <c r="AB80" i="10"/>
  <c r="AB79" i="10"/>
  <c r="AB78" i="10"/>
  <c r="AB76" i="10"/>
  <c r="AB75" i="10"/>
  <c r="AB74" i="10"/>
  <c r="AB73" i="10"/>
  <c r="AB72" i="10"/>
  <c r="AB71" i="10"/>
  <c r="AB70" i="10"/>
  <c r="AB68" i="10"/>
  <c r="AB67" i="10"/>
  <c r="AB66" i="10"/>
  <c r="AB65" i="10"/>
  <c r="AB64" i="10"/>
  <c r="AB62" i="10"/>
  <c r="AA59" i="10"/>
  <c r="AA34" i="10"/>
  <c r="AA32" i="10"/>
  <c r="AA31" i="10"/>
  <c r="AA30" i="10"/>
  <c r="AA29" i="10"/>
  <c r="AA27" i="10"/>
  <c r="AA26" i="10"/>
  <c r="AA25" i="10"/>
  <c r="AA24" i="10"/>
  <c r="AA23" i="10"/>
  <c r="AA22" i="10"/>
  <c r="AA21" i="10"/>
  <c r="AA19" i="10"/>
  <c r="AA18" i="10"/>
  <c r="AA17" i="10"/>
  <c r="AA16" i="10"/>
  <c r="AA15" i="10"/>
  <c r="AA13" i="10"/>
  <c r="AA12" i="10"/>
  <c r="Y32" i="10"/>
  <c r="Y31" i="10"/>
  <c r="Y30" i="10"/>
  <c r="Y29" i="10"/>
  <c r="Y27" i="10"/>
  <c r="Y26" i="10"/>
  <c r="Y25" i="10"/>
  <c r="Y24" i="10"/>
  <c r="Y23" i="10"/>
  <c r="Y22" i="10"/>
  <c r="Y21" i="10"/>
  <c r="Y19" i="10"/>
  <c r="Y18" i="10"/>
  <c r="Y17" i="10"/>
  <c r="Y16" i="10"/>
  <c r="Y15" i="10"/>
  <c r="Y13" i="10"/>
  <c r="Y12" i="10"/>
  <c r="Y11" i="10"/>
  <c r="Z30" i="10" s="1"/>
  <c r="W32" i="10"/>
  <c r="W31" i="10"/>
  <c r="W30" i="10"/>
  <c r="W29" i="10"/>
  <c r="W27" i="10"/>
  <c r="W26" i="10"/>
  <c r="W25" i="10"/>
  <c r="W24" i="10"/>
  <c r="W23" i="10"/>
  <c r="W22" i="10"/>
  <c r="W21" i="10"/>
  <c r="W19" i="10"/>
  <c r="W18" i="10"/>
  <c r="W17" i="10"/>
  <c r="W16" i="10"/>
  <c r="W15" i="10"/>
  <c r="W13" i="10"/>
  <c r="W12" i="10"/>
  <c r="W11" i="10"/>
  <c r="U32" i="10"/>
  <c r="U31" i="10"/>
  <c r="U30" i="10"/>
  <c r="U29" i="10"/>
  <c r="U27" i="10"/>
  <c r="U26" i="10"/>
  <c r="U25" i="10"/>
  <c r="U24" i="10"/>
  <c r="U23" i="10"/>
  <c r="U22" i="10"/>
  <c r="U21" i="10"/>
  <c r="U19" i="10"/>
  <c r="U18" i="10"/>
  <c r="U17" i="10"/>
  <c r="U16" i="10"/>
  <c r="U15" i="10"/>
  <c r="U13" i="10"/>
  <c r="U12" i="10"/>
  <c r="U11" i="10"/>
  <c r="S32" i="10"/>
  <c r="S31" i="10"/>
  <c r="S30" i="10"/>
  <c r="S29" i="10"/>
  <c r="S27" i="10"/>
  <c r="S26" i="10"/>
  <c r="S25" i="10"/>
  <c r="S24" i="10"/>
  <c r="S23" i="10"/>
  <c r="S22" i="10"/>
  <c r="S21" i="10"/>
  <c r="S19" i="10"/>
  <c r="S18" i="10"/>
  <c r="S17" i="10"/>
  <c r="S16" i="10"/>
  <c r="S15" i="10"/>
  <c r="S13" i="10"/>
  <c r="S12" i="10"/>
  <c r="S11" i="10"/>
  <c r="Q32" i="10"/>
  <c r="Q31" i="10"/>
  <c r="Q30" i="10"/>
  <c r="Q29" i="10"/>
  <c r="Q27" i="10"/>
  <c r="Q26" i="10"/>
  <c r="Q25" i="10"/>
  <c r="Q24" i="10"/>
  <c r="Q23" i="10"/>
  <c r="Q22" i="10"/>
  <c r="Q21" i="10"/>
  <c r="Q19" i="10"/>
  <c r="Q18" i="10"/>
  <c r="Q17" i="10"/>
  <c r="Q16" i="10"/>
  <c r="Q15" i="10"/>
  <c r="Q13" i="10"/>
  <c r="Q12" i="10"/>
  <c r="Q11" i="10"/>
  <c r="R30" i="10" s="1"/>
  <c r="O32" i="10"/>
  <c r="O31" i="10"/>
  <c r="O30" i="10"/>
  <c r="O29" i="10"/>
  <c r="O27" i="10"/>
  <c r="O26" i="10"/>
  <c r="O25" i="10"/>
  <c r="O24" i="10"/>
  <c r="O23" i="10"/>
  <c r="O22" i="10"/>
  <c r="O21" i="10"/>
  <c r="O19" i="10"/>
  <c r="O18" i="10"/>
  <c r="O17" i="10"/>
  <c r="O16" i="10"/>
  <c r="O15" i="10"/>
  <c r="O13" i="10"/>
  <c r="O12" i="10"/>
  <c r="O11" i="10"/>
  <c r="M32" i="10"/>
  <c r="M31" i="10"/>
  <c r="M30" i="10"/>
  <c r="M29" i="10"/>
  <c r="M27" i="10"/>
  <c r="M26" i="10"/>
  <c r="M25" i="10"/>
  <c r="M24" i="10"/>
  <c r="M23" i="10"/>
  <c r="M22" i="10"/>
  <c r="M21" i="10"/>
  <c r="M19" i="10"/>
  <c r="M18" i="10"/>
  <c r="M17" i="10"/>
  <c r="M16" i="10"/>
  <c r="M15" i="10"/>
  <c r="M13" i="10"/>
  <c r="M12" i="10"/>
  <c r="M11" i="10"/>
  <c r="K32" i="10"/>
  <c r="K31" i="10"/>
  <c r="K30" i="10"/>
  <c r="K29" i="10"/>
  <c r="K27" i="10"/>
  <c r="K26" i="10"/>
  <c r="K25" i="10"/>
  <c r="K24" i="10"/>
  <c r="K23" i="10"/>
  <c r="K22" i="10"/>
  <c r="K21" i="10"/>
  <c r="K19" i="10"/>
  <c r="K18" i="10"/>
  <c r="K17" i="10"/>
  <c r="K16" i="10"/>
  <c r="K15" i="10"/>
  <c r="K13" i="10"/>
  <c r="K12" i="10"/>
  <c r="K11" i="10"/>
  <c r="I32" i="10"/>
  <c r="I31" i="10"/>
  <c r="I30" i="10"/>
  <c r="I29" i="10"/>
  <c r="I27" i="10"/>
  <c r="I26" i="10"/>
  <c r="I25" i="10"/>
  <c r="I24" i="10"/>
  <c r="I23" i="10"/>
  <c r="I22" i="10"/>
  <c r="I21" i="10"/>
  <c r="I19" i="10"/>
  <c r="I18" i="10"/>
  <c r="I17" i="10"/>
  <c r="I16" i="10"/>
  <c r="I15" i="10"/>
  <c r="I13" i="10"/>
  <c r="I12" i="10"/>
  <c r="I11" i="10"/>
  <c r="G32" i="10"/>
  <c r="G31" i="10"/>
  <c r="G30" i="10"/>
  <c r="G29" i="10"/>
  <c r="G27" i="10"/>
  <c r="G26" i="10"/>
  <c r="G25" i="10"/>
  <c r="G24" i="10"/>
  <c r="G23" i="10"/>
  <c r="G22" i="10"/>
  <c r="G21" i="10"/>
  <c r="G19" i="10"/>
  <c r="G18" i="10"/>
  <c r="G17" i="10"/>
  <c r="G16" i="10"/>
  <c r="G15" i="10"/>
  <c r="G13" i="10"/>
  <c r="G12" i="10"/>
  <c r="G11" i="10"/>
  <c r="E32" i="10"/>
  <c r="E31" i="10"/>
  <c r="E30" i="10"/>
  <c r="E29" i="10"/>
  <c r="E27" i="10"/>
  <c r="E26" i="10"/>
  <c r="E25" i="10"/>
  <c r="E24" i="10"/>
  <c r="E23" i="10"/>
  <c r="E22" i="10"/>
  <c r="E21" i="10"/>
  <c r="E19" i="10"/>
  <c r="E18" i="10"/>
  <c r="E17" i="10"/>
  <c r="E16" i="10"/>
  <c r="E15" i="10"/>
  <c r="E13" i="10"/>
  <c r="E12" i="10"/>
  <c r="E11" i="10"/>
  <c r="C32" i="10"/>
  <c r="C31" i="10"/>
  <c r="C30" i="10"/>
  <c r="C29" i="10"/>
  <c r="C27" i="10"/>
  <c r="C26" i="10"/>
  <c r="C25" i="10"/>
  <c r="C24" i="10"/>
  <c r="C23" i="10"/>
  <c r="C22" i="10"/>
  <c r="C21" i="10"/>
  <c r="C19" i="10"/>
  <c r="C18" i="10"/>
  <c r="C17" i="10"/>
  <c r="C16" i="10"/>
  <c r="C15" i="10"/>
  <c r="C13" i="10"/>
  <c r="C12" i="10"/>
  <c r="C11" i="10"/>
  <c r="D21" i="10" s="1"/>
  <c r="J30" i="10" l="1"/>
  <c r="R77" i="16"/>
  <c r="U77" i="16"/>
  <c r="V77" i="16"/>
  <c r="W64" i="16"/>
  <c r="X64" i="16"/>
  <c r="S70" i="16"/>
  <c r="X69" i="16"/>
  <c r="W69" i="16"/>
  <c r="R64" i="16"/>
  <c r="Q70" i="16"/>
  <c r="U64" i="16"/>
  <c r="V64" i="16"/>
  <c r="R69" i="16"/>
  <c r="U69" i="16"/>
  <c r="V69" i="16"/>
  <c r="W77" i="16"/>
  <c r="X77" i="16"/>
  <c r="AB13" i="10"/>
  <c r="AB18" i="10"/>
  <c r="AB23" i="10"/>
  <c r="AB27" i="10"/>
  <c r="AB32" i="10"/>
  <c r="AB15" i="10"/>
  <c r="AB19" i="10"/>
  <c r="AB24" i="10"/>
  <c r="AB29" i="10"/>
  <c r="AB16" i="10"/>
  <c r="AB21" i="10"/>
  <c r="AB25" i="10"/>
  <c r="AB30" i="10"/>
  <c r="AB12" i="10"/>
  <c r="AB17" i="10"/>
  <c r="AB22" i="10"/>
  <c r="AB26" i="10"/>
  <c r="AB31" i="10"/>
  <c r="X29" i="10"/>
  <c r="V32" i="10"/>
  <c r="P29" i="10"/>
  <c r="N32" i="10"/>
  <c r="L31" i="10"/>
  <c r="T31" i="10"/>
  <c r="J12" i="10"/>
  <c r="J17" i="10"/>
  <c r="J22" i="10"/>
  <c r="J26" i="10"/>
  <c r="J31" i="10"/>
  <c r="L13" i="10"/>
  <c r="L18" i="10"/>
  <c r="L23" i="10"/>
  <c r="L27" i="10"/>
  <c r="L32" i="10"/>
  <c r="N15" i="10"/>
  <c r="N19" i="10"/>
  <c r="N24" i="10"/>
  <c r="N29" i="10"/>
  <c r="P11" i="10"/>
  <c r="P16" i="10"/>
  <c r="P21" i="10"/>
  <c r="P25" i="10"/>
  <c r="P30" i="10"/>
  <c r="R12" i="10"/>
  <c r="R17" i="10"/>
  <c r="R22" i="10"/>
  <c r="R26" i="10"/>
  <c r="R31" i="10"/>
  <c r="T13" i="10"/>
  <c r="T18" i="10"/>
  <c r="T23" i="10"/>
  <c r="T27" i="10"/>
  <c r="T32" i="10"/>
  <c r="V15" i="10"/>
  <c r="V19" i="10"/>
  <c r="V24" i="10"/>
  <c r="V29" i="10"/>
  <c r="X11" i="10"/>
  <c r="X16" i="10"/>
  <c r="X21" i="10"/>
  <c r="X25" i="10"/>
  <c r="X30" i="10"/>
  <c r="Z12" i="10"/>
  <c r="Z17" i="10"/>
  <c r="Z22" i="10"/>
  <c r="Z26" i="10"/>
  <c r="Z31" i="10"/>
  <c r="J13" i="10"/>
  <c r="J18" i="10"/>
  <c r="J23" i="10"/>
  <c r="J27" i="10"/>
  <c r="J32" i="10"/>
  <c r="L15" i="10"/>
  <c r="L19" i="10"/>
  <c r="L24" i="10"/>
  <c r="L29" i="10"/>
  <c r="N11" i="10"/>
  <c r="N16" i="10"/>
  <c r="N21" i="10"/>
  <c r="N25" i="10"/>
  <c r="N30" i="10"/>
  <c r="P12" i="10"/>
  <c r="P17" i="10"/>
  <c r="P22" i="10"/>
  <c r="P26" i="10"/>
  <c r="P31" i="10"/>
  <c r="R13" i="10"/>
  <c r="R18" i="10"/>
  <c r="R23" i="10"/>
  <c r="R27" i="10"/>
  <c r="R32" i="10"/>
  <c r="T15" i="10"/>
  <c r="T19" i="10"/>
  <c r="T24" i="10"/>
  <c r="T29" i="10"/>
  <c r="V11" i="10"/>
  <c r="V16" i="10"/>
  <c r="V21" i="10"/>
  <c r="V25" i="10"/>
  <c r="V30" i="10"/>
  <c r="X12" i="10"/>
  <c r="X17" i="10"/>
  <c r="X22" i="10"/>
  <c r="X26" i="10"/>
  <c r="X31" i="10"/>
  <c r="Z13" i="10"/>
  <c r="Z18" i="10"/>
  <c r="Z23" i="10"/>
  <c r="Z27" i="10"/>
  <c r="Z32" i="10"/>
  <c r="J15" i="10"/>
  <c r="J19" i="10"/>
  <c r="J24" i="10"/>
  <c r="J29" i="10"/>
  <c r="L11" i="10"/>
  <c r="L16" i="10"/>
  <c r="L21" i="10"/>
  <c r="L25" i="10"/>
  <c r="L30" i="10"/>
  <c r="N12" i="10"/>
  <c r="N17" i="10"/>
  <c r="N22" i="10"/>
  <c r="N26" i="10"/>
  <c r="N31" i="10"/>
  <c r="P13" i="10"/>
  <c r="P18" i="10"/>
  <c r="P23" i="10"/>
  <c r="P27" i="10"/>
  <c r="P32" i="10"/>
  <c r="R15" i="10"/>
  <c r="R19" i="10"/>
  <c r="R24" i="10"/>
  <c r="R29" i="10"/>
  <c r="T11" i="10"/>
  <c r="T16" i="10"/>
  <c r="T21" i="10"/>
  <c r="T25" i="10"/>
  <c r="T30" i="10"/>
  <c r="V12" i="10"/>
  <c r="V17" i="10"/>
  <c r="V22" i="10"/>
  <c r="V26" i="10"/>
  <c r="V31" i="10"/>
  <c r="X13" i="10"/>
  <c r="X18" i="10"/>
  <c r="X23" i="10"/>
  <c r="X27" i="10"/>
  <c r="X32" i="10"/>
  <c r="Z15" i="10"/>
  <c r="Z19" i="10"/>
  <c r="Z24" i="10"/>
  <c r="Z29" i="10"/>
  <c r="J11" i="10"/>
  <c r="J16" i="10"/>
  <c r="J21" i="10"/>
  <c r="J25" i="10"/>
  <c r="L12" i="10"/>
  <c r="L17" i="10"/>
  <c r="L22" i="10"/>
  <c r="L26" i="10"/>
  <c r="N13" i="10"/>
  <c r="N18" i="10"/>
  <c r="N23" i="10"/>
  <c r="N27" i="10"/>
  <c r="P15" i="10"/>
  <c r="P19" i="10"/>
  <c r="P24" i="10"/>
  <c r="R11" i="10"/>
  <c r="R16" i="10"/>
  <c r="R21" i="10"/>
  <c r="R25" i="10"/>
  <c r="T12" i="10"/>
  <c r="T17" i="10"/>
  <c r="T22" i="10"/>
  <c r="T26" i="10"/>
  <c r="V13" i="10"/>
  <c r="V18" i="10"/>
  <c r="V23" i="10"/>
  <c r="V27" i="10"/>
  <c r="X15" i="10"/>
  <c r="X19" i="10"/>
  <c r="X24" i="10"/>
  <c r="Z11" i="10"/>
  <c r="Z16" i="10"/>
  <c r="Z21" i="10"/>
  <c r="Z25" i="10"/>
  <c r="H70" i="16"/>
  <c r="L81" i="16"/>
  <c r="L66" i="16"/>
  <c r="L75" i="16"/>
  <c r="L73" i="16"/>
  <c r="H18" i="10"/>
  <c r="H27" i="10"/>
  <c r="H32" i="10"/>
  <c r="H13" i="10"/>
  <c r="H23" i="10"/>
  <c r="H31" i="10"/>
  <c r="H15" i="10"/>
  <c r="H19" i="10"/>
  <c r="H24" i="10"/>
  <c r="H29" i="10"/>
  <c r="H11" i="10"/>
  <c r="H16" i="10"/>
  <c r="H21" i="10"/>
  <c r="H25" i="10"/>
  <c r="H30" i="10"/>
  <c r="H12" i="10"/>
  <c r="H17" i="10"/>
  <c r="H22" i="10"/>
  <c r="H26" i="10"/>
  <c r="D29" i="10"/>
  <c r="D25" i="10"/>
  <c r="D17" i="10"/>
  <c r="D26" i="10"/>
  <c r="D11" i="10"/>
  <c r="D30" i="10"/>
  <c r="D12" i="10"/>
  <c r="D22" i="10"/>
  <c r="D31" i="10"/>
  <c r="D16" i="10"/>
  <c r="D13" i="10"/>
  <c r="D18" i="10"/>
  <c r="D23" i="10"/>
  <c r="D27" i="10"/>
  <c r="D32" i="10"/>
  <c r="D15" i="10"/>
  <c r="D19" i="10"/>
  <c r="D24" i="10"/>
  <c r="F22" i="10"/>
  <c r="F26" i="10"/>
  <c r="F13" i="10"/>
  <c r="F17" i="10"/>
  <c r="F31" i="10"/>
  <c r="F12" i="10"/>
  <c r="F18" i="10"/>
  <c r="F27" i="10"/>
  <c r="F15" i="10"/>
  <c r="F19" i="10"/>
  <c r="F24" i="10"/>
  <c r="F29" i="10"/>
  <c r="F11" i="10"/>
  <c r="F23" i="10"/>
  <c r="F32" i="10"/>
  <c r="F16" i="10"/>
  <c r="F21" i="10"/>
  <c r="F25" i="10"/>
  <c r="F30" i="10"/>
  <c r="Y32" i="12"/>
  <c r="Y31" i="12"/>
  <c r="Y30" i="12"/>
  <c r="Y29" i="12"/>
  <c r="Y27" i="12"/>
  <c r="Y26" i="12"/>
  <c r="Y25" i="12"/>
  <c r="Y24" i="12"/>
  <c r="Y23" i="12"/>
  <c r="Y22" i="12"/>
  <c r="Y21" i="12"/>
  <c r="Y19" i="12"/>
  <c r="Y18" i="12"/>
  <c r="Y17" i="12"/>
  <c r="Y16" i="12"/>
  <c r="Y15" i="12"/>
  <c r="Y13" i="12"/>
  <c r="Y12" i="12"/>
  <c r="Y11" i="12"/>
  <c r="W32" i="12"/>
  <c r="W31" i="12"/>
  <c r="W30" i="12"/>
  <c r="W29" i="12"/>
  <c r="W27" i="12"/>
  <c r="W26" i="12"/>
  <c r="W25" i="12"/>
  <c r="W24" i="12"/>
  <c r="W23" i="12"/>
  <c r="W22" i="12"/>
  <c r="W21" i="12"/>
  <c r="W19" i="12"/>
  <c r="W18" i="12"/>
  <c r="W17" i="12"/>
  <c r="W16" i="12"/>
  <c r="W15" i="12"/>
  <c r="W13" i="12"/>
  <c r="W12" i="12"/>
  <c r="W11" i="12"/>
  <c r="U32" i="12"/>
  <c r="U31" i="12"/>
  <c r="U30" i="12"/>
  <c r="U29" i="12"/>
  <c r="U27" i="12"/>
  <c r="U26" i="12"/>
  <c r="U25" i="12"/>
  <c r="U24" i="12"/>
  <c r="U23" i="12"/>
  <c r="U22" i="12"/>
  <c r="U21" i="12"/>
  <c r="U19" i="12"/>
  <c r="U18" i="12"/>
  <c r="U17" i="12"/>
  <c r="U16" i="12"/>
  <c r="U15" i="12"/>
  <c r="U13" i="12"/>
  <c r="U12" i="12"/>
  <c r="U11" i="12"/>
  <c r="S32" i="12"/>
  <c r="S31" i="12"/>
  <c r="S30" i="12"/>
  <c r="S29" i="12"/>
  <c r="S27" i="12"/>
  <c r="S26" i="12"/>
  <c r="S25" i="12"/>
  <c r="S24" i="12"/>
  <c r="S23" i="12"/>
  <c r="S22" i="12"/>
  <c r="S21" i="12"/>
  <c r="S19" i="12"/>
  <c r="S18" i="12"/>
  <c r="S17" i="12"/>
  <c r="S16" i="12"/>
  <c r="S15" i="12"/>
  <c r="S13" i="12"/>
  <c r="S12" i="12"/>
  <c r="S11" i="12"/>
  <c r="Q32" i="12"/>
  <c r="Q31" i="12"/>
  <c r="Q30" i="12"/>
  <c r="Q29" i="12"/>
  <c r="Q27" i="12"/>
  <c r="Q26" i="12"/>
  <c r="Q25" i="12"/>
  <c r="Q24" i="12"/>
  <c r="Q23" i="12"/>
  <c r="Q22" i="12"/>
  <c r="Q21" i="12"/>
  <c r="Q19" i="12"/>
  <c r="Q18" i="12"/>
  <c r="Q17" i="12"/>
  <c r="Q16" i="12"/>
  <c r="Q15" i="12"/>
  <c r="Q13" i="12"/>
  <c r="Q12" i="12"/>
  <c r="Q11" i="12"/>
  <c r="O32" i="12"/>
  <c r="O31" i="12"/>
  <c r="O30" i="12"/>
  <c r="O29" i="12"/>
  <c r="O27" i="12"/>
  <c r="O26" i="12"/>
  <c r="O25" i="12"/>
  <c r="O24" i="12"/>
  <c r="O23" i="12"/>
  <c r="O22" i="12"/>
  <c r="O21" i="12"/>
  <c r="O19" i="12"/>
  <c r="O18" i="12"/>
  <c r="O17" i="12"/>
  <c r="O16" i="12"/>
  <c r="O15" i="12"/>
  <c r="O13" i="12"/>
  <c r="O12" i="12"/>
  <c r="O11" i="12"/>
  <c r="M32" i="12"/>
  <c r="M31" i="12"/>
  <c r="M30" i="12"/>
  <c r="M29" i="12"/>
  <c r="M27" i="12"/>
  <c r="M26" i="12"/>
  <c r="M25" i="12"/>
  <c r="M24" i="12"/>
  <c r="M23" i="12"/>
  <c r="M22" i="12"/>
  <c r="M21" i="12"/>
  <c r="M19" i="12"/>
  <c r="M18" i="12"/>
  <c r="M17" i="12"/>
  <c r="M16" i="12"/>
  <c r="M15" i="12"/>
  <c r="M13" i="12"/>
  <c r="M12" i="12"/>
  <c r="M11" i="12"/>
  <c r="K32" i="12"/>
  <c r="K31" i="12"/>
  <c r="K30" i="12"/>
  <c r="K29" i="12"/>
  <c r="K27" i="12"/>
  <c r="K26" i="12"/>
  <c r="K25" i="12"/>
  <c r="K24" i="12"/>
  <c r="K23" i="12"/>
  <c r="K22" i="12"/>
  <c r="K21" i="12"/>
  <c r="K19" i="12"/>
  <c r="K18" i="12"/>
  <c r="K17" i="12"/>
  <c r="K16" i="12"/>
  <c r="K15" i="12"/>
  <c r="K13" i="12"/>
  <c r="K12" i="12"/>
  <c r="K11" i="12"/>
  <c r="I32" i="12"/>
  <c r="I31" i="12"/>
  <c r="I30" i="12"/>
  <c r="I29" i="12"/>
  <c r="I27" i="12"/>
  <c r="I26" i="12"/>
  <c r="I25" i="12"/>
  <c r="I24" i="12"/>
  <c r="I23" i="12"/>
  <c r="I22" i="12"/>
  <c r="I21" i="12"/>
  <c r="I19" i="12"/>
  <c r="I18" i="12"/>
  <c r="I17" i="12"/>
  <c r="I16" i="12"/>
  <c r="I15" i="12"/>
  <c r="I13" i="12"/>
  <c r="I12" i="12"/>
  <c r="I11" i="12"/>
  <c r="G32" i="12"/>
  <c r="G31" i="12"/>
  <c r="G30" i="12"/>
  <c r="G29" i="12"/>
  <c r="G27" i="12"/>
  <c r="G26" i="12"/>
  <c r="G25" i="12"/>
  <c r="G24" i="12"/>
  <c r="G23" i="12"/>
  <c r="G22" i="12"/>
  <c r="G21" i="12"/>
  <c r="G19" i="12"/>
  <c r="G18" i="12"/>
  <c r="G17" i="12"/>
  <c r="G16" i="12"/>
  <c r="G15" i="12"/>
  <c r="G13" i="12"/>
  <c r="G12" i="12"/>
  <c r="G11" i="12"/>
  <c r="E32" i="12"/>
  <c r="E31" i="12"/>
  <c r="E30" i="12"/>
  <c r="E29" i="12"/>
  <c r="E27" i="12"/>
  <c r="E26" i="12"/>
  <c r="E25" i="12"/>
  <c r="E24" i="12"/>
  <c r="E23" i="12"/>
  <c r="E22" i="12"/>
  <c r="E21" i="12"/>
  <c r="E19" i="12"/>
  <c r="E18" i="12"/>
  <c r="E17" i="12"/>
  <c r="E16" i="12"/>
  <c r="E15" i="12"/>
  <c r="E13" i="12"/>
  <c r="E12" i="12"/>
  <c r="E11" i="12"/>
  <c r="C32" i="12"/>
  <c r="C31" i="12"/>
  <c r="C30" i="12"/>
  <c r="C29" i="12"/>
  <c r="C27" i="12"/>
  <c r="C26" i="12"/>
  <c r="C25" i="12"/>
  <c r="C24" i="12"/>
  <c r="C23" i="12"/>
  <c r="C22" i="12"/>
  <c r="C21" i="12"/>
  <c r="C19" i="12"/>
  <c r="C18" i="12"/>
  <c r="C17" i="12"/>
  <c r="C16" i="12"/>
  <c r="C15" i="12"/>
  <c r="C13" i="12"/>
  <c r="C12" i="12"/>
  <c r="C11" i="12"/>
  <c r="AA10" i="12"/>
  <c r="AA36" i="12" s="1"/>
  <c r="AA10" i="11"/>
  <c r="Q78" i="16" l="1"/>
  <c r="V70" i="16"/>
  <c r="Q83" i="16"/>
  <c r="U70" i="16"/>
  <c r="R70" i="16"/>
  <c r="S78" i="16"/>
  <c r="W70" i="16"/>
  <c r="S83" i="16"/>
  <c r="X70" i="16"/>
  <c r="T70" i="16"/>
  <c r="H83" i="16"/>
  <c r="H78" i="16"/>
  <c r="AA36" i="11"/>
  <c r="Y32" i="11"/>
  <c r="Y31" i="11"/>
  <c r="Y30" i="11"/>
  <c r="Y29" i="11"/>
  <c r="Y27" i="11"/>
  <c r="Y26" i="11"/>
  <c r="Y25" i="11"/>
  <c r="Y24" i="11"/>
  <c r="Y23" i="11"/>
  <c r="Y22" i="11"/>
  <c r="Y21" i="11"/>
  <c r="Y19" i="11"/>
  <c r="Y18" i="11"/>
  <c r="Y17" i="11"/>
  <c r="Y16" i="11"/>
  <c r="Y15" i="11"/>
  <c r="Y13" i="11"/>
  <c r="Y12" i="11"/>
  <c r="Y11" i="11"/>
  <c r="W32" i="11"/>
  <c r="W31" i="11"/>
  <c r="W30" i="11"/>
  <c r="W29" i="11"/>
  <c r="W27" i="11"/>
  <c r="W26" i="11"/>
  <c r="W25" i="11"/>
  <c r="W24" i="11"/>
  <c r="W23" i="11"/>
  <c r="W22" i="11"/>
  <c r="W21" i="11"/>
  <c r="W19" i="11"/>
  <c r="W18" i="11"/>
  <c r="W17" i="11"/>
  <c r="W16" i="11"/>
  <c r="W15" i="11"/>
  <c r="W13" i="11"/>
  <c r="W12" i="11"/>
  <c r="W11" i="11"/>
  <c r="U32" i="11"/>
  <c r="U31" i="11"/>
  <c r="U30" i="11"/>
  <c r="U29" i="11"/>
  <c r="U27" i="11"/>
  <c r="U26" i="11"/>
  <c r="U25" i="11"/>
  <c r="U24" i="11"/>
  <c r="U23" i="11"/>
  <c r="U22" i="11"/>
  <c r="U21" i="11"/>
  <c r="U19" i="11"/>
  <c r="U18" i="11"/>
  <c r="U17" i="11"/>
  <c r="U16" i="11"/>
  <c r="U15" i="11"/>
  <c r="U13" i="11"/>
  <c r="U12" i="11"/>
  <c r="U11" i="11"/>
  <c r="S32" i="11"/>
  <c r="S31" i="11"/>
  <c r="S30" i="11"/>
  <c r="S29" i="11"/>
  <c r="S27" i="11"/>
  <c r="S26" i="11"/>
  <c r="S25" i="11"/>
  <c r="S24" i="11"/>
  <c r="S23" i="11"/>
  <c r="S22" i="11"/>
  <c r="S21" i="11"/>
  <c r="S19" i="11"/>
  <c r="S18" i="11"/>
  <c r="S17" i="11"/>
  <c r="S16" i="11"/>
  <c r="S15" i="11"/>
  <c r="S13" i="11"/>
  <c r="S12" i="11"/>
  <c r="S11" i="11"/>
  <c r="Q32" i="11"/>
  <c r="Q31" i="11"/>
  <c r="Q30" i="11"/>
  <c r="Q29" i="11"/>
  <c r="Q27" i="11"/>
  <c r="Q26" i="11"/>
  <c r="Q25" i="11"/>
  <c r="Q24" i="11"/>
  <c r="Q23" i="11"/>
  <c r="Q22" i="11"/>
  <c r="Q21" i="11"/>
  <c r="Q19" i="11"/>
  <c r="Q18" i="11"/>
  <c r="Q17" i="11"/>
  <c r="Q16" i="11"/>
  <c r="Q15" i="11"/>
  <c r="Q13" i="11"/>
  <c r="Q12" i="11"/>
  <c r="Q11" i="11"/>
  <c r="O32" i="11"/>
  <c r="O31" i="11"/>
  <c r="O30" i="11"/>
  <c r="O29" i="11"/>
  <c r="O27" i="11"/>
  <c r="O26" i="11"/>
  <c r="O25" i="11"/>
  <c r="O24" i="11"/>
  <c r="O23" i="11"/>
  <c r="O22" i="11"/>
  <c r="O21" i="11"/>
  <c r="O19" i="11"/>
  <c r="O18" i="11"/>
  <c r="O17" i="11"/>
  <c r="O16" i="11"/>
  <c r="O15" i="11"/>
  <c r="O13" i="11"/>
  <c r="O12" i="11"/>
  <c r="O11" i="11"/>
  <c r="M32" i="11"/>
  <c r="M31" i="11"/>
  <c r="M30" i="11"/>
  <c r="M29" i="11"/>
  <c r="M27" i="11"/>
  <c r="M26" i="11"/>
  <c r="M25" i="11"/>
  <c r="M24" i="11"/>
  <c r="M23" i="11"/>
  <c r="M22" i="11"/>
  <c r="M21" i="11"/>
  <c r="M19" i="11"/>
  <c r="M18" i="11"/>
  <c r="M17" i="11"/>
  <c r="M16" i="11"/>
  <c r="M15" i="11"/>
  <c r="M13" i="11"/>
  <c r="M12" i="11"/>
  <c r="M11" i="11"/>
  <c r="K32" i="11"/>
  <c r="K31" i="11"/>
  <c r="K30" i="11"/>
  <c r="K29" i="11"/>
  <c r="K27" i="11"/>
  <c r="K26" i="11"/>
  <c r="K25" i="11"/>
  <c r="K24" i="11"/>
  <c r="K23" i="11"/>
  <c r="K22" i="11"/>
  <c r="K21" i="11"/>
  <c r="K19" i="11"/>
  <c r="K18" i="11"/>
  <c r="K17" i="11"/>
  <c r="K16" i="11"/>
  <c r="K15" i="11"/>
  <c r="K13" i="11"/>
  <c r="K12" i="11"/>
  <c r="K11" i="11"/>
  <c r="I32" i="11"/>
  <c r="I31" i="11"/>
  <c r="I30" i="11"/>
  <c r="I29" i="11"/>
  <c r="I27" i="11"/>
  <c r="I26" i="11"/>
  <c r="I25" i="11"/>
  <c r="I24" i="11"/>
  <c r="I23" i="11"/>
  <c r="I22" i="11"/>
  <c r="I21" i="11"/>
  <c r="I19" i="11"/>
  <c r="I18" i="11"/>
  <c r="I17" i="11"/>
  <c r="I16" i="11"/>
  <c r="I15" i="11"/>
  <c r="I13" i="11"/>
  <c r="I12" i="11"/>
  <c r="I11" i="11"/>
  <c r="G32" i="11"/>
  <c r="G31" i="11"/>
  <c r="G30" i="11"/>
  <c r="G29" i="11"/>
  <c r="G27" i="11"/>
  <c r="G26" i="11"/>
  <c r="G25" i="11"/>
  <c r="G24" i="11"/>
  <c r="G23" i="11"/>
  <c r="G22" i="11"/>
  <c r="G21" i="11"/>
  <c r="G19" i="11"/>
  <c r="G18" i="11"/>
  <c r="G17" i="11"/>
  <c r="G16" i="11"/>
  <c r="G15" i="11"/>
  <c r="G13" i="11"/>
  <c r="G12" i="11"/>
  <c r="G11" i="11"/>
  <c r="E32" i="11"/>
  <c r="E31" i="11"/>
  <c r="E30" i="11"/>
  <c r="E29" i="11"/>
  <c r="E27" i="11"/>
  <c r="E26" i="11"/>
  <c r="E25" i="11"/>
  <c r="E24" i="11"/>
  <c r="E23" i="11"/>
  <c r="E22" i="11"/>
  <c r="E21" i="11"/>
  <c r="E19" i="11"/>
  <c r="E18" i="11"/>
  <c r="E17" i="11"/>
  <c r="E16" i="11"/>
  <c r="E15" i="11"/>
  <c r="E13" i="11"/>
  <c r="E12" i="11"/>
  <c r="E11" i="11"/>
  <c r="C32" i="11"/>
  <c r="C31" i="11"/>
  <c r="C30" i="11"/>
  <c r="C29" i="11"/>
  <c r="C27" i="11"/>
  <c r="C26" i="11"/>
  <c r="C25" i="11"/>
  <c r="C24" i="11"/>
  <c r="C23" i="11"/>
  <c r="C22" i="11"/>
  <c r="C21" i="11"/>
  <c r="C19" i="11"/>
  <c r="C18" i="11"/>
  <c r="C17" i="11"/>
  <c r="C16" i="11"/>
  <c r="C15" i="11"/>
  <c r="C13" i="11"/>
  <c r="C12" i="11"/>
  <c r="C11" i="11"/>
  <c r="R83" i="16" l="1"/>
  <c r="V83" i="16"/>
  <c r="U83" i="16"/>
  <c r="X83" i="16"/>
  <c r="W83" i="16"/>
  <c r="T83" i="16"/>
  <c r="S82" i="16"/>
  <c r="W78" i="16"/>
  <c r="X78" i="16"/>
  <c r="T78" i="16"/>
  <c r="Q82" i="16"/>
  <c r="U78" i="16"/>
  <c r="V78" i="16"/>
  <c r="R78" i="16"/>
  <c r="H82" i="16"/>
  <c r="AA11" i="11"/>
  <c r="S58" i="4"/>
  <c r="S56" i="4"/>
  <c r="S55" i="4"/>
  <c r="Q112" i="4"/>
  <c r="Q111" i="4"/>
  <c r="Q99" i="4"/>
  <c r="Q98" i="4"/>
  <c r="O87" i="4"/>
  <c r="O86" i="4"/>
  <c r="O85" i="4"/>
  <c r="O84" i="4"/>
  <c r="O82" i="4"/>
  <c r="O81" i="4"/>
  <c r="O80" i="4"/>
  <c r="O79" i="4"/>
  <c r="O78" i="4"/>
  <c r="O77" i="4"/>
  <c r="O76" i="4"/>
  <c r="O74" i="4"/>
  <c r="O73" i="4"/>
  <c r="O72" i="4"/>
  <c r="O71" i="4"/>
  <c r="O70" i="4"/>
  <c r="O68" i="4"/>
  <c r="O67" i="4"/>
  <c r="O66" i="4"/>
  <c r="O33" i="4" s="1"/>
  <c r="G58" i="4"/>
  <c r="G60" i="4" s="1"/>
  <c r="G56" i="4"/>
  <c r="G55" i="4"/>
  <c r="G86" i="4"/>
  <c r="C87" i="4"/>
  <c r="C86" i="4"/>
  <c r="C85" i="4"/>
  <c r="C84" i="4"/>
  <c r="R82" i="16" l="1"/>
  <c r="V82" i="16"/>
  <c r="U82" i="16"/>
  <c r="X82" i="16"/>
  <c r="W82" i="16"/>
  <c r="T82" i="16"/>
  <c r="C82" i="4"/>
  <c r="C81" i="4"/>
  <c r="C80" i="4"/>
  <c r="C79" i="4"/>
  <c r="C78" i="4"/>
  <c r="C77" i="4"/>
  <c r="C76" i="4"/>
  <c r="C74" i="4"/>
  <c r="C73" i="4"/>
  <c r="C72" i="4"/>
  <c r="C71" i="4"/>
  <c r="C70" i="4"/>
  <c r="C68" i="4"/>
  <c r="C67" i="4"/>
  <c r="C66" i="4"/>
  <c r="D66" i="4" l="1"/>
  <c r="D67" i="4"/>
  <c r="C39" i="4" l="1"/>
  <c r="Q76" i="4"/>
  <c r="E76" i="4"/>
  <c r="Q114" i="4"/>
  <c r="Q113" i="4"/>
  <c r="Q109" i="4"/>
  <c r="Q108" i="4"/>
  <c r="Q106" i="4"/>
  <c r="Q105" i="4"/>
  <c r="Q104" i="4"/>
  <c r="Q103" i="4"/>
  <c r="Q101" i="4"/>
  <c r="Q100" i="4"/>
  <c r="Q97" i="4"/>
  <c r="Q95" i="4"/>
  <c r="Q94" i="4"/>
  <c r="Q93" i="4"/>
  <c r="E114" i="4"/>
  <c r="E113" i="4"/>
  <c r="E112" i="4"/>
  <c r="E111" i="4"/>
  <c r="E109" i="4"/>
  <c r="E108" i="4"/>
  <c r="E106" i="4"/>
  <c r="E105" i="4"/>
  <c r="E104" i="4"/>
  <c r="E103" i="4"/>
  <c r="E101" i="4"/>
  <c r="E100" i="4"/>
  <c r="E99" i="4"/>
  <c r="E98" i="4"/>
  <c r="E97" i="4"/>
  <c r="E95" i="4"/>
  <c r="E94" i="4"/>
  <c r="E93" i="4"/>
  <c r="Q87" i="4"/>
  <c r="Q86" i="4"/>
  <c r="Q85" i="4"/>
  <c r="Q84" i="4"/>
  <c r="Q26" i="4" s="1"/>
  <c r="Q82" i="4"/>
  <c r="U82" i="4" s="1"/>
  <c r="Q81" i="4"/>
  <c r="Q80" i="4"/>
  <c r="Q22" i="4" s="1"/>
  <c r="Q79" i="4"/>
  <c r="Q78" i="4"/>
  <c r="Q77" i="4"/>
  <c r="V77" i="4" s="1"/>
  <c r="Q74" i="4"/>
  <c r="Q73" i="4"/>
  <c r="Q72" i="4"/>
  <c r="Q14" i="4" s="1"/>
  <c r="Q71" i="4"/>
  <c r="Q13" i="4" s="1"/>
  <c r="Q70" i="4"/>
  <c r="Q68" i="4"/>
  <c r="Q67" i="4"/>
  <c r="E87" i="4"/>
  <c r="E86" i="4"/>
  <c r="E85" i="4"/>
  <c r="E84" i="4"/>
  <c r="J84" i="4" s="1"/>
  <c r="E82" i="4"/>
  <c r="E81" i="4"/>
  <c r="E80" i="4"/>
  <c r="E22" i="4" s="1"/>
  <c r="E79" i="4"/>
  <c r="E78" i="4"/>
  <c r="E77" i="4"/>
  <c r="J77" i="4" s="1"/>
  <c r="E74" i="4"/>
  <c r="E73" i="4"/>
  <c r="E72" i="4"/>
  <c r="E71" i="4"/>
  <c r="E70" i="4"/>
  <c r="E68" i="4"/>
  <c r="E67" i="4"/>
  <c r="J67" i="4" s="1"/>
  <c r="Q66" i="4"/>
  <c r="E66" i="4"/>
  <c r="S97" i="4"/>
  <c r="G87" i="4"/>
  <c r="G82" i="4"/>
  <c r="G74" i="4"/>
  <c r="G68" i="4"/>
  <c r="G67" i="4"/>
  <c r="G66" i="4"/>
  <c r="E16" i="6"/>
  <c r="D12" i="7" s="1"/>
  <c r="S108" i="4"/>
  <c r="O108" i="4"/>
  <c r="S87" i="4"/>
  <c r="S86" i="4"/>
  <c r="S82" i="4"/>
  <c r="S74" i="4"/>
  <c r="S68" i="4"/>
  <c r="S67" i="4"/>
  <c r="S66" i="4"/>
  <c r="C41" i="4"/>
  <c r="C40" i="4"/>
  <c r="C34" i="4"/>
  <c r="G103" i="4"/>
  <c r="G105" i="4"/>
  <c r="G104" i="4"/>
  <c r="O106" i="4"/>
  <c r="Q46" i="4" s="1"/>
  <c r="S104" i="4"/>
  <c r="S100" i="4"/>
  <c r="S94" i="4"/>
  <c r="S93" i="4"/>
  <c r="S99" i="4"/>
  <c r="S81" i="4"/>
  <c r="C94" i="4"/>
  <c r="E44" i="6"/>
  <c r="G93" i="4"/>
  <c r="C93" i="4"/>
  <c r="G94" i="4"/>
  <c r="G97" i="4"/>
  <c r="O97" i="4"/>
  <c r="O94" i="4"/>
  <c r="O93" i="4"/>
  <c r="E50" i="6"/>
  <c r="E40" i="6"/>
  <c r="AA15" i="11"/>
  <c r="AA16" i="11"/>
  <c r="AA17" i="11"/>
  <c r="AA21" i="11"/>
  <c r="AA22" i="11"/>
  <c r="AA23" i="11"/>
  <c r="AA24" i="11"/>
  <c r="AA25" i="11"/>
  <c r="AA26" i="11"/>
  <c r="AA29" i="11"/>
  <c r="AA30" i="11"/>
  <c r="AA64" i="11"/>
  <c r="AA63" i="11"/>
  <c r="AA75" i="11"/>
  <c r="J57" i="11"/>
  <c r="AA81" i="11"/>
  <c r="AA78" i="11"/>
  <c r="AA76" i="11"/>
  <c r="AA74" i="11"/>
  <c r="AA69" i="11"/>
  <c r="AA67" i="11"/>
  <c r="H57" i="11"/>
  <c r="D31" i="11"/>
  <c r="I67" i="6"/>
  <c r="J49" i="7" s="1"/>
  <c r="B83" i="12"/>
  <c r="B82" i="12"/>
  <c r="B81" i="12"/>
  <c r="B80" i="12"/>
  <c r="B78" i="12"/>
  <c r="B77" i="12"/>
  <c r="B76" i="12"/>
  <c r="B75" i="12"/>
  <c r="B74" i="12"/>
  <c r="AA73" i="12"/>
  <c r="B73" i="12"/>
  <c r="B72" i="12"/>
  <c r="B70" i="12"/>
  <c r="B69" i="12"/>
  <c r="B68" i="12"/>
  <c r="B67" i="12"/>
  <c r="B66" i="12"/>
  <c r="B64" i="12"/>
  <c r="B63" i="12"/>
  <c r="B62" i="12"/>
  <c r="AA61" i="12"/>
  <c r="B58" i="12"/>
  <c r="B57" i="12"/>
  <c r="B56" i="12"/>
  <c r="B55" i="12"/>
  <c r="B53" i="12"/>
  <c r="B52" i="12"/>
  <c r="AA51" i="12"/>
  <c r="B51" i="12"/>
  <c r="B50" i="12"/>
  <c r="B49" i="12"/>
  <c r="B48" i="12"/>
  <c r="B47" i="12"/>
  <c r="B45" i="12"/>
  <c r="B44" i="12"/>
  <c r="B43" i="12"/>
  <c r="B42" i="12"/>
  <c r="B41" i="12"/>
  <c r="B39" i="12"/>
  <c r="B38" i="12"/>
  <c r="B37" i="12"/>
  <c r="Y10" i="11"/>
  <c r="W10" i="11"/>
  <c r="U10" i="11"/>
  <c r="S10" i="11"/>
  <c r="Q10" i="11"/>
  <c r="O10" i="11"/>
  <c r="M10" i="11"/>
  <c r="K10" i="11"/>
  <c r="AA82" i="11"/>
  <c r="AA77" i="11"/>
  <c r="AA73" i="11"/>
  <c r="AA68" i="11"/>
  <c r="Z83" i="11"/>
  <c r="X83" i="11"/>
  <c r="V83" i="11"/>
  <c r="T83" i="11"/>
  <c r="R83" i="11"/>
  <c r="P83" i="11"/>
  <c r="N83" i="11"/>
  <c r="L83" i="11"/>
  <c r="J83" i="11"/>
  <c r="F83" i="11"/>
  <c r="D83" i="11"/>
  <c r="AA62" i="11"/>
  <c r="Y62" i="11"/>
  <c r="W62" i="11"/>
  <c r="U62" i="11"/>
  <c r="S62" i="11"/>
  <c r="Q62" i="11"/>
  <c r="O62" i="11"/>
  <c r="M62" i="11"/>
  <c r="K62" i="11"/>
  <c r="AA58" i="11"/>
  <c r="AA57" i="11"/>
  <c r="AA56" i="11"/>
  <c r="AA55" i="11"/>
  <c r="AA53" i="11"/>
  <c r="AA52" i="11"/>
  <c r="AA51" i="11"/>
  <c r="AA50" i="11"/>
  <c r="AA49" i="11"/>
  <c r="AA48" i="11"/>
  <c r="AA47" i="11"/>
  <c r="AA45" i="11"/>
  <c r="AA44" i="11"/>
  <c r="AA43" i="11"/>
  <c r="AA42" i="11"/>
  <c r="AA41" i="11"/>
  <c r="AA39" i="11"/>
  <c r="AA38" i="11"/>
  <c r="Z57" i="11"/>
  <c r="X57" i="11"/>
  <c r="V57" i="11"/>
  <c r="T57" i="11"/>
  <c r="R37" i="11"/>
  <c r="R57" i="11"/>
  <c r="P37" i="11"/>
  <c r="P57" i="11"/>
  <c r="N37" i="11"/>
  <c r="N57" i="11"/>
  <c r="L37" i="11"/>
  <c r="L57" i="11"/>
  <c r="J37" i="11"/>
  <c r="H37" i="11"/>
  <c r="F37" i="11"/>
  <c r="F57" i="11"/>
  <c r="D37" i="11"/>
  <c r="D57" i="11"/>
  <c r="I40" i="6"/>
  <c r="J31" i="7" s="1"/>
  <c r="O99" i="4"/>
  <c r="Q39" i="4" s="1"/>
  <c r="O98" i="4"/>
  <c r="S60" i="4"/>
  <c r="C51" i="4"/>
  <c r="G84" i="4"/>
  <c r="C46" i="4"/>
  <c r="C44" i="4"/>
  <c r="C43" i="4"/>
  <c r="O51" i="4"/>
  <c r="O47" i="4"/>
  <c r="O45" i="4"/>
  <c r="O43" i="4"/>
  <c r="O38" i="4"/>
  <c r="H5" i="6"/>
  <c r="D5" i="6"/>
  <c r="H6" i="6"/>
  <c r="D12" i="6"/>
  <c r="C9" i="7" s="1"/>
  <c r="H12" i="6"/>
  <c r="I9" i="7" s="1"/>
  <c r="D13" i="6"/>
  <c r="C10" i="7" s="1"/>
  <c r="H13" i="6"/>
  <c r="I10" i="7" s="1"/>
  <c r="D15" i="6"/>
  <c r="H15" i="6"/>
  <c r="D14" i="6"/>
  <c r="H14" i="6"/>
  <c r="D61" i="6"/>
  <c r="C42" i="7" s="1"/>
  <c r="H61" i="6"/>
  <c r="D18" i="6"/>
  <c r="H18" i="6"/>
  <c r="I14" i="7" s="1"/>
  <c r="D20" i="6"/>
  <c r="H20" i="6"/>
  <c r="D23" i="6"/>
  <c r="H23" i="6"/>
  <c r="D26" i="6"/>
  <c r="H26" i="6"/>
  <c r="D32" i="6"/>
  <c r="C24" i="7" s="1"/>
  <c r="H32" i="6"/>
  <c r="I24" i="7" s="1"/>
  <c r="D34" i="6"/>
  <c r="C26" i="7" s="1"/>
  <c r="H34" i="6"/>
  <c r="I26" i="7" s="1"/>
  <c r="D36" i="6"/>
  <c r="C27" i="7" s="1"/>
  <c r="H36" i="6"/>
  <c r="I27" i="7" s="1"/>
  <c r="D33" i="6"/>
  <c r="C25" i="7" s="1"/>
  <c r="H33" i="6"/>
  <c r="I25" i="7" s="1"/>
  <c r="I38" i="7"/>
  <c r="J55" i="6"/>
  <c r="J56" i="6"/>
  <c r="J57" i="6"/>
  <c r="J58" i="6"/>
  <c r="J59" i="6"/>
  <c r="J60" i="6"/>
  <c r="F52" i="6"/>
  <c r="F55" i="6"/>
  <c r="E39" i="7" s="1"/>
  <c r="F56" i="6"/>
  <c r="F57" i="6"/>
  <c r="F58" i="6"/>
  <c r="F59" i="6"/>
  <c r="E41" i="7" s="1"/>
  <c r="F60" i="6"/>
  <c r="H67" i="6"/>
  <c r="I49" i="7" s="1"/>
  <c r="D67" i="6"/>
  <c r="C49" i="7" s="1"/>
  <c r="D5" i="5"/>
  <c r="D6" i="5"/>
  <c r="C114" i="4"/>
  <c r="G107" i="4"/>
  <c r="C113" i="4"/>
  <c r="S112" i="4"/>
  <c r="X112" i="4" s="1"/>
  <c r="O112" i="4"/>
  <c r="Q52" i="4" s="1"/>
  <c r="G112" i="4"/>
  <c r="C112" i="4"/>
  <c r="E52" i="4" s="1"/>
  <c r="S111" i="4"/>
  <c r="O111" i="4"/>
  <c r="Q51" i="4" s="1"/>
  <c r="G111" i="4"/>
  <c r="C111" i="4"/>
  <c r="C109" i="4"/>
  <c r="C108" i="4"/>
  <c r="S107" i="4"/>
  <c r="X107" i="4" s="1"/>
  <c r="O107" i="4"/>
  <c r="Q47" i="4" s="1"/>
  <c r="V107" i="4"/>
  <c r="G80" i="4"/>
  <c r="L80" i="4" s="1"/>
  <c r="C107" i="4"/>
  <c r="J107" i="4"/>
  <c r="S106" i="4"/>
  <c r="X106" i="4" s="1"/>
  <c r="G106" i="4"/>
  <c r="C106" i="4"/>
  <c r="E46" i="4" s="1"/>
  <c r="S105" i="4"/>
  <c r="O105" i="4"/>
  <c r="Q45" i="4" s="1"/>
  <c r="C105" i="4"/>
  <c r="O104" i="4"/>
  <c r="C104" i="4"/>
  <c r="E44" i="4" s="1"/>
  <c r="S103" i="4"/>
  <c r="O103" i="4"/>
  <c r="Q43" i="4" s="1"/>
  <c r="C103" i="4"/>
  <c r="C101" i="4"/>
  <c r="E41" i="4" s="1"/>
  <c r="G100" i="4"/>
  <c r="G73" i="4"/>
  <c r="C100" i="4"/>
  <c r="G99" i="4"/>
  <c r="C99" i="4"/>
  <c r="S98" i="4"/>
  <c r="G98" i="4"/>
  <c r="C98" i="4"/>
  <c r="C97" i="4"/>
  <c r="E37" i="4" s="1"/>
  <c r="C95" i="4"/>
  <c r="E35" i="4" s="1"/>
  <c r="G78" i="4"/>
  <c r="G76" i="4"/>
  <c r="I5" i="6"/>
  <c r="I6" i="6"/>
  <c r="I41" i="6"/>
  <c r="J32" i="7" s="1"/>
  <c r="I42" i="6"/>
  <c r="I43" i="6"/>
  <c r="J33" i="7" s="1"/>
  <c r="I44" i="6"/>
  <c r="I45" i="6"/>
  <c r="J34" i="7" s="1"/>
  <c r="I46" i="6"/>
  <c r="I47" i="6"/>
  <c r="J35" i="7" s="1"/>
  <c r="I48" i="6"/>
  <c r="I49" i="6"/>
  <c r="I50" i="6"/>
  <c r="I51" i="6"/>
  <c r="J37" i="7" s="1"/>
  <c r="I53" i="6"/>
  <c r="J53" i="6" s="1"/>
  <c r="K38" i="7" s="1"/>
  <c r="I54" i="6"/>
  <c r="I63" i="6"/>
  <c r="J44" i="7" s="1"/>
  <c r="I15" i="6"/>
  <c r="D55" i="5"/>
  <c r="D54" i="5"/>
  <c r="D53" i="5"/>
  <c r="D52" i="5"/>
  <c r="D51" i="5"/>
  <c r="D50" i="5"/>
  <c r="D49" i="5"/>
  <c r="D48" i="5"/>
  <c r="D46" i="5"/>
  <c r="D45" i="5"/>
  <c r="D43" i="5"/>
  <c r="D42" i="5"/>
  <c r="D41" i="5"/>
  <c r="D40" i="5"/>
  <c r="D38" i="5"/>
  <c r="D37" i="5"/>
  <c r="D36" i="5"/>
  <c r="D35" i="5"/>
  <c r="D34" i="5"/>
  <c r="D33" i="5"/>
  <c r="D31" i="5"/>
  <c r="D30" i="5"/>
  <c r="D29" i="5"/>
  <c r="E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2" i="5"/>
  <c r="D11" i="5"/>
  <c r="D10" i="5"/>
  <c r="D9" i="5"/>
  <c r="D8" i="5"/>
  <c r="D7" i="5"/>
  <c r="D63" i="6"/>
  <c r="F63" i="6" s="1"/>
  <c r="E44" i="7" s="1"/>
  <c r="D54" i="6"/>
  <c r="D51" i="6"/>
  <c r="C37" i="7" s="1"/>
  <c r="D50" i="6"/>
  <c r="D49" i="6"/>
  <c r="C36" i="7" s="1"/>
  <c r="D48" i="6"/>
  <c r="D47" i="6"/>
  <c r="C35" i="7" s="1"/>
  <c r="D46" i="6"/>
  <c r="D45" i="6"/>
  <c r="C34" i="7" s="1"/>
  <c r="D44" i="6"/>
  <c r="D43" i="6"/>
  <c r="C33" i="7" s="1"/>
  <c r="D42" i="6"/>
  <c r="D41" i="6"/>
  <c r="C32" i="7" s="1"/>
  <c r="D40" i="6"/>
  <c r="D6" i="6"/>
  <c r="D25" i="6"/>
  <c r="D24" i="6"/>
  <c r="C17" i="7" s="1"/>
  <c r="D22" i="6"/>
  <c r="D19" i="6"/>
  <c r="D17" i="6"/>
  <c r="C13" i="7" s="1"/>
  <c r="D16" i="6"/>
  <c r="C12" i="7" s="1"/>
  <c r="H63" i="6"/>
  <c r="I44" i="7" s="1"/>
  <c r="H54" i="6"/>
  <c r="H51" i="6"/>
  <c r="I37" i="7" s="1"/>
  <c r="H50" i="6"/>
  <c r="H49" i="6"/>
  <c r="I36" i="7" s="1"/>
  <c r="H48" i="6"/>
  <c r="H47" i="6"/>
  <c r="I35" i="7" s="1"/>
  <c r="H46" i="6"/>
  <c r="H45" i="6"/>
  <c r="I34" i="7" s="1"/>
  <c r="H44" i="6"/>
  <c r="H43" i="6"/>
  <c r="H42" i="6"/>
  <c r="H41" i="6"/>
  <c r="H25" i="6"/>
  <c r="H24" i="6"/>
  <c r="I17" i="7" s="1"/>
  <c r="H22" i="6"/>
  <c r="H19" i="6"/>
  <c r="H17" i="6"/>
  <c r="I13" i="7" s="1"/>
  <c r="H16" i="6"/>
  <c r="I12" i="7" s="1"/>
  <c r="E5" i="6"/>
  <c r="E6" i="6"/>
  <c r="E67" i="6"/>
  <c r="D49" i="7" s="1"/>
  <c r="I10" i="6"/>
  <c r="J8" i="7" s="1"/>
  <c r="I12" i="6"/>
  <c r="J9" i="7" s="1"/>
  <c r="I13" i="6"/>
  <c r="J10" i="7" s="1"/>
  <c r="I14" i="6"/>
  <c r="I16" i="6"/>
  <c r="J12" i="7" s="1"/>
  <c r="I17" i="6"/>
  <c r="J13" i="7" s="1"/>
  <c r="I18" i="6"/>
  <c r="J14" i="7" s="1"/>
  <c r="I19" i="6"/>
  <c r="I20" i="6"/>
  <c r="I22" i="6"/>
  <c r="I23" i="6"/>
  <c r="I24" i="6"/>
  <c r="J17" i="7" s="1"/>
  <c r="I25" i="6"/>
  <c r="I26" i="6"/>
  <c r="I30" i="6"/>
  <c r="J22" i="7" s="1"/>
  <c r="I32" i="6"/>
  <c r="J24" i="7" s="1"/>
  <c r="I33" i="6"/>
  <c r="J25" i="7" s="1"/>
  <c r="I34" i="6"/>
  <c r="J26" i="7" s="1"/>
  <c r="I36" i="6"/>
  <c r="J27" i="7" s="1"/>
  <c r="J62" i="6"/>
  <c r="J52" i="6"/>
  <c r="J35" i="6"/>
  <c r="J31" i="6"/>
  <c r="J21" i="6"/>
  <c r="J11" i="6"/>
  <c r="E6" i="5"/>
  <c r="E7" i="5"/>
  <c r="E8" i="5"/>
  <c r="E9" i="5"/>
  <c r="E10" i="5"/>
  <c r="E11" i="5"/>
  <c r="E12" i="5"/>
  <c r="E14" i="5"/>
  <c r="E15" i="5"/>
  <c r="E16" i="5"/>
  <c r="E17" i="5"/>
  <c r="E18" i="5"/>
  <c r="E19" i="5"/>
  <c r="E20" i="5"/>
  <c r="E21" i="5"/>
  <c r="E22" i="5"/>
  <c r="E24" i="5"/>
  <c r="E25" i="5"/>
  <c r="E26" i="5"/>
  <c r="E27" i="5"/>
  <c r="E28" i="5"/>
  <c r="E30" i="5"/>
  <c r="E31" i="5"/>
  <c r="E33" i="5"/>
  <c r="E34" i="5"/>
  <c r="E35" i="5"/>
  <c r="E36" i="5"/>
  <c r="E37" i="5"/>
  <c r="E38" i="5"/>
  <c r="E40" i="5"/>
  <c r="E41" i="5"/>
  <c r="E42" i="5"/>
  <c r="E43" i="5"/>
  <c r="E45" i="5"/>
  <c r="E46" i="5"/>
  <c r="E48" i="5"/>
  <c r="E49" i="5"/>
  <c r="E50" i="5"/>
  <c r="E51" i="5"/>
  <c r="E52" i="5"/>
  <c r="E53" i="5"/>
  <c r="E54" i="5"/>
  <c r="E55" i="5"/>
  <c r="D56" i="5"/>
  <c r="E56" i="5"/>
  <c r="E5" i="5"/>
  <c r="E41" i="6"/>
  <c r="D32" i="7" s="1"/>
  <c r="E42" i="6"/>
  <c r="E43" i="6"/>
  <c r="D33" i="7" s="1"/>
  <c r="E45" i="6"/>
  <c r="E46" i="6"/>
  <c r="E47" i="6"/>
  <c r="D35" i="7" s="1"/>
  <c r="E48" i="6"/>
  <c r="E54" i="6"/>
  <c r="E49" i="6"/>
  <c r="E51" i="6"/>
  <c r="D37" i="7" s="1"/>
  <c r="E53" i="6"/>
  <c r="D38" i="7" s="1"/>
  <c r="E10" i="6"/>
  <c r="F11" i="6"/>
  <c r="E12" i="6"/>
  <c r="D9" i="7" s="1"/>
  <c r="E13" i="6"/>
  <c r="D10" i="7" s="1"/>
  <c r="E14" i="6"/>
  <c r="E15" i="6"/>
  <c r="E17" i="6"/>
  <c r="D13" i="7" s="1"/>
  <c r="E18" i="6"/>
  <c r="D14" i="7" s="1"/>
  <c r="E19" i="6"/>
  <c r="E20" i="6"/>
  <c r="F21" i="6"/>
  <c r="E22" i="6"/>
  <c r="E23" i="6"/>
  <c r="E24" i="6"/>
  <c r="D17" i="7" s="1"/>
  <c r="E25" i="6"/>
  <c r="E26" i="6"/>
  <c r="E30" i="6"/>
  <c r="D22" i="7" s="1"/>
  <c r="F31" i="6"/>
  <c r="E32" i="6"/>
  <c r="D24" i="7" s="1"/>
  <c r="E33" i="6"/>
  <c r="E34" i="6"/>
  <c r="F34" i="6" s="1"/>
  <c r="E26" i="7" s="1"/>
  <c r="F35" i="6"/>
  <c r="E36" i="6"/>
  <c r="D27" i="7" s="1"/>
  <c r="F62" i="6"/>
  <c r="E43" i="7" s="1"/>
  <c r="Q3" i="3"/>
  <c r="X3" i="3" s="1"/>
  <c r="B63" i="4"/>
  <c r="D39" i="7"/>
  <c r="D40" i="7"/>
  <c r="D41" i="7"/>
  <c r="D42" i="7"/>
  <c r="D43" i="7"/>
  <c r="J39" i="7"/>
  <c r="J40" i="7"/>
  <c r="J41" i="7"/>
  <c r="J42" i="7"/>
  <c r="J43" i="7"/>
  <c r="I39" i="7"/>
  <c r="I40" i="7"/>
  <c r="I41" i="7"/>
  <c r="I43" i="7"/>
  <c r="C38" i="7"/>
  <c r="C39" i="7"/>
  <c r="C40" i="7"/>
  <c r="C41" i="7"/>
  <c r="C43" i="7"/>
  <c r="K39" i="7"/>
  <c r="K40" i="7"/>
  <c r="K41" i="7"/>
  <c r="K43" i="7"/>
  <c r="E40" i="7"/>
  <c r="K4" i="7"/>
  <c r="K23" i="7"/>
  <c r="C4" i="7"/>
  <c r="D4" i="7"/>
  <c r="E4" i="7"/>
  <c r="I4" i="7"/>
  <c r="J4" i="7"/>
  <c r="C23" i="7"/>
  <c r="D23" i="7"/>
  <c r="E23" i="7"/>
  <c r="I23" i="7"/>
  <c r="J23" i="7"/>
  <c r="C3" i="7"/>
  <c r="I3" i="7"/>
  <c r="G70" i="4"/>
  <c r="S70" i="4"/>
  <c r="G72" i="4"/>
  <c r="S72" i="4"/>
  <c r="S73" i="4"/>
  <c r="G77" i="4"/>
  <c r="S77" i="4"/>
  <c r="X77" i="4" s="1"/>
  <c r="S78" i="4"/>
  <c r="S79" i="4"/>
  <c r="G81" i="4"/>
  <c r="G85" i="4"/>
  <c r="G79" i="4"/>
  <c r="D30" i="6"/>
  <c r="C22" i="7" s="1"/>
  <c r="H40" i="6"/>
  <c r="H10" i="6"/>
  <c r="I8" i="7" s="1"/>
  <c r="D10" i="6"/>
  <c r="C8" i="7" s="1"/>
  <c r="H30" i="6"/>
  <c r="I22" i="7" s="1"/>
  <c r="G71" i="4"/>
  <c r="S80" i="4"/>
  <c r="X80" i="4" s="1"/>
  <c r="S84" i="4"/>
  <c r="X84" i="4" s="1"/>
  <c r="S85" i="4"/>
  <c r="X85" i="4" s="1"/>
  <c r="S71" i="4"/>
  <c r="S76" i="4"/>
  <c r="C60" i="4"/>
  <c r="O60" i="4"/>
  <c r="E60" i="4"/>
  <c r="Q60" i="4"/>
  <c r="AA23" i="12"/>
  <c r="V23" i="12"/>
  <c r="AA52" i="12"/>
  <c r="AA57" i="12"/>
  <c r="AA49" i="12"/>
  <c r="AA75" i="12"/>
  <c r="X12" i="12"/>
  <c r="AA11" i="12"/>
  <c r="AB11" i="12" s="1"/>
  <c r="AA22" i="12"/>
  <c r="X45" i="12"/>
  <c r="AA55" i="12"/>
  <c r="AA68" i="12"/>
  <c r="T52" i="12"/>
  <c r="P52" i="12"/>
  <c r="L52" i="12"/>
  <c r="Z52" i="12"/>
  <c r="V52" i="12"/>
  <c r="R52" i="12"/>
  <c r="N50" i="12"/>
  <c r="J52" i="12"/>
  <c r="F52" i="12"/>
  <c r="H48" i="12"/>
  <c r="AA38" i="12"/>
  <c r="X70" i="12"/>
  <c r="AA15" i="12"/>
  <c r="AA30" i="12"/>
  <c r="AA41" i="12"/>
  <c r="AA43" i="12"/>
  <c r="V62" i="12"/>
  <c r="X66" i="12"/>
  <c r="AA67" i="12"/>
  <c r="Z69" i="12"/>
  <c r="AA17" i="12"/>
  <c r="AA24" i="12"/>
  <c r="D48" i="12"/>
  <c r="AA39" i="12"/>
  <c r="AA45" i="12"/>
  <c r="AA47" i="12"/>
  <c r="AA48" i="12"/>
  <c r="AA50" i="12"/>
  <c r="AA56" i="12"/>
  <c r="AA80" i="12"/>
  <c r="AA18" i="12"/>
  <c r="AA25" i="12"/>
  <c r="AA64" i="12"/>
  <c r="AA69" i="12"/>
  <c r="AA72" i="12"/>
  <c r="AA74" i="12"/>
  <c r="AA76" i="12"/>
  <c r="AA81" i="12"/>
  <c r="F30" i="12"/>
  <c r="F29" i="12"/>
  <c r="F25" i="12"/>
  <c r="F24" i="12"/>
  <c r="F23" i="12"/>
  <c r="F22" i="12"/>
  <c r="F19" i="12"/>
  <c r="F18" i="12"/>
  <c r="F17" i="12"/>
  <c r="F16" i="12"/>
  <c r="F15" i="12"/>
  <c r="F12" i="12"/>
  <c r="F11" i="12"/>
  <c r="F38" i="12"/>
  <c r="J38" i="12"/>
  <c r="N38" i="12"/>
  <c r="R38" i="12"/>
  <c r="Z38" i="12"/>
  <c r="D41" i="12"/>
  <c r="H41" i="12"/>
  <c r="L41" i="12"/>
  <c r="P41" i="12"/>
  <c r="T41" i="12"/>
  <c r="V41" i="12"/>
  <c r="Z41" i="12"/>
  <c r="D43" i="12"/>
  <c r="H43" i="12"/>
  <c r="L43" i="12"/>
  <c r="P43" i="12"/>
  <c r="T43" i="12"/>
  <c r="X43" i="12"/>
  <c r="D45" i="12"/>
  <c r="H45" i="12"/>
  <c r="L45" i="12"/>
  <c r="P45" i="12"/>
  <c r="T45" i="12"/>
  <c r="F48" i="12"/>
  <c r="J48" i="12"/>
  <c r="N48" i="12"/>
  <c r="R48" i="12"/>
  <c r="X48" i="12"/>
  <c r="D50" i="12"/>
  <c r="H50" i="12"/>
  <c r="L50" i="12"/>
  <c r="P50" i="12"/>
  <c r="D52" i="12"/>
  <c r="H52" i="12"/>
  <c r="N52" i="12"/>
  <c r="X52" i="12"/>
  <c r="D55" i="12"/>
  <c r="F55" i="12"/>
  <c r="H55" i="12"/>
  <c r="J55" i="12"/>
  <c r="L55" i="12"/>
  <c r="N55" i="12"/>
  <c r="P55" i="12"/>
  <c r="R55" i="12"/>
  <c r="T55" i="12"/>
  <c r="X55" i="12"/>
  <c r="Z55" i="12"/>
  <c r="D57" i="12"/>
  <c r="F57" i="12"/>
  <c r="H57" i="12"/>
  <c r="J57" i="12"/>
  <c r="L57" i="12"/>
  <c r="N57" i="12"/>
  <c r="P57" i="12"/>
  <c r="R57" i="12"/>
  <c r="T57" i="12"/>
  <c r="X57" i="12"/>
  <c r="Z57" i="12"/>
  <c r="D37" i="12"/>
  <c r="F37" i="12"/>
  <c r="H37" i="12"/>
  <c r="J37" i="12"/>
  <c r="L37" i="12"/>
  <c r="N37" i="12"/>
  <c r="P37" i="12"/>
  <c r="R37" i="12"/>
  <c r="T37" i="12"/>
  <c r="X37" i="12"/>
  <c r="Z37" i="12"/>
  <c r="D39" i="12"/>
  <c r="F39" i="12"/>
  <c r="H39" i="12"/>
  <c r="J39" i="12"/>
  <c r="L39" i="12"/>
  <c r="N39" i="12"/>
  <c r="P39" i="12"/>
  <c r="R39" i="12"/>
  <c r="T39" i="12"/>
  <c r="X39" i="12"/>
  <c r="Z39" i="12"/>
  <c r="D42" i="12"/>
  <c r="F42" i="12"/>
  <c r="H42" i="12"/>
  <c r="J42" i="12"/>
  <c r="L42" i="12"/>
  <c r="N42" i="12"/>
  <c r="P42" i="12"/>
  <c r="R42" i="12"/>
  <c r="T42" i="12"/>
  <c r="X42" i="12"/>
  <c r="Z42" i="12"/>
  <c r="D44" i="12"/>
  <c r="F44" i="12"/>
  <c r="H44" i="12"/>
  <c r="J44" i="12"/>
  <c r="L44" i="12"/>
  <c r="N44" i="12"/>
  <c r="P44" i="12"/>
  <c r="R44" i="12"/>
  <c r="T44" i="12"/>
  <c r="X44" i="12"/>
  <c r="Z44" i="12"/>
  <c r="D47" i="12"/>
  <c r="F47" i="12"/>
  <c r="H47" i="12"/>
  <c r="J47" i="12"/>
  <c r="L47" i="12"/>
  <c r="N47" i="12"/>
  <c r="P47" i="12"/>
  <c r="R47" i="12"/>
  <c r="T47" i="12"/>
  <c r="X47" i="12"/>
  <c r="Z47" i="12"/>
  <c r="D49" i="12"/>
  <c r="F49" i="12"/>
  <c r="H49" i="12"/>
  <c r="J49" i="12"/>
  <c r="L49" i="12"/>
  <c r="N49" i="12"/>
  <c r="P49" i="12"/>
  <c r="R49" i="12"/>
  <c r="T49" i="12"/>
  <c r="X49" i="12"/>
  <c r="Z49" i="12"/>
  <c r="D51" i="12"/>
  <c r="F51" i="12"/>
  <c r="H51" i="12"/>
  <c r="J51" i="12"/>
  <c r="L51" i="12"/>
  <c r="N51" i="12"/>
  <c r="P51" i="12"/>
  <c r="R51" i="12"/>
  <c r="T51" i="12"/>
  <c r="X51" i="12"/>
  <c r="Z51" i="12"/>
  <c r="D53" i="12"/>
  <c r="F53" i="12"/>
  <c r="H53" i="12"/>
  <c r="J53" i="12"/>
  <c r="L53" i="12"/>
  <c r="N53" i="12"/>
  <c r="P53" i="12"/>
  <c r="R53" i="12"/>
  <c r="T53" i="12"/>
  <c r="D56" i="12"/>
  <c r="F56" i="12"/>
  <c r="H56" i="12"/>
  <c r="J56" i="12"/>
  <c r="L56" i="12"/>
  <c r="N56" i="12"/>
  <c r="P56" i="12"/>
  <c r="R56" i="12"/>
  <c r="T56" i="12"/>
  <c r="X56" i="12"/>
  <c r="Z56" i="12"/>
  <c r="D58" i="12"/>
  <c r="F58" i="12"/>
  <c r="H58" i="12"/>
  <c r="J58" i="12"/>
  <c r="L58" i="12"/>
  <c r="N58" i="12"/>
  <c r="P58" i="12"/>
  <c r="R58" i="12"/>
  <c r="T58" i="12"/>
  <c r="X58" i="12"/>
  <c r="D62" i="12"/>
  <c r="F62" i="12"/>
  <c r="H62" i="12"/>
  <c r="J62" i="12"/>
  <c r="L62" i="12"/>
  <c r="N62" i="12"/>
  <c r="P62" i="12"/>
  <c r="R62" i="12"/>
  <c r="T62" i="12"/>
  <c r="X62" i="12"/>
  <c r="Z62" i="12"/>
  <c r="D64" i="12"/>
  <c r="F64" i="12"/>
  <c r="H64" i="12"/>
  <c r="J64" i="12"/>
  <c r="L64" i="12"/>
  <c r="N64" i="12"/>
  <c r="P64" i="12"/>
  <c r="R64" i="12"/>
  <c r="T64" i="12"/>
  <c r="X64" i="12"/>
  <c r="D67" i="12"/>
  <c r="F67" i="12"/>
  <c r="H67" i="12"/>
  <c r="J67" i="12"/>
  <c r="L67" i="12"/>
  <c r="N67" i="12"/>
  <c r="P67" i="12"/>
  <c r="R67" i="12"/>
  <c r="T67" i="12"/>
  <c r="X67" i="12"/>
  <c r="Z67" i="12"/>
  <c r="D69" i="12"/>
  <c r="F69" i="12"/>
  <c r="H69" i="12"/>
  <c r="J69" i="12"/>
  <c r="L69" i="12"/>
  <c r="N69" i="12"/>
  <c r="P69" i="12"/>
  <c r="R69" i="12"/>
  <c r="T69" i="12"/>
  <c r="X69" i="12"/>
  <c r="D72" i="12"/>
  <c r="F72" i="12"/>
  <c r="H72" i="12"/>
  <c r="J72" i="12"/>
  <c r="L72" i="12"/>
  <c r="N72" i="12"/>
  <c r="P72" i="12"/>
  <c r="R72" i="12"/>
  <c r="T72" i="12"/>
  <c r="X72" i="12"/>
  <c r="Z72" i="12"/>
  <c r="D74" i="12"/>
  <c r="F74" i="12"/>
  <c r="H74" i="12"/>
  <c r="J74" i="12"/>
  <c r="L74" i="12"/>
  <c r="N74" i="12"/>
  <c r="P74" i="12"/>
  <c r="R74" i="12"/>
  <c r="T74" i="12"/>
  <c r="X74" i="12"/>
  <c r="D76" i="12"/>
  <c r="F76" i="12"/>
  <c r="H76" i="12"/>
  <c r="J76" i="12"/>
  <c r="L76" i="12"/>
  <c r="N76" i="12"/>
  <c r="P76" i="12"/>
  <c r="R76" i="12"/>
  <c r="T76" i="12"/>
  <c r="X76" i="12"/>
  <c r="Z76" i="12"/>
  <c r="D81" i="12"/>
  <c r="F81" i="12"/>
  <c r="H81" i="12"/>
  <c r="J81" i="12"/>
  <c r="L81" i="12"/>
  <c r="N81" i="12"/>
  <c r="P81" i="12"/>
  <c r="R81" i="12"/>
  <c r="T81" i="12"/>
  <c r="X81" i="12"/>
  <c r="Z81" i="12"/>
  <c r="D83" i="12"/>
  <c r="F83" i="12"/>
  <c r="H83" i="12"/>
  <c r="D32" i="12"/>
  <c r="D30" i="12"/>
  <c r="D29" i="12"/>
  <c r="D26" i="12"/>
  <c r="D25" i="12"/>
  <c r="D24" i="12"/>
  <c r="D23" i="12"/>
  <c r="D22" i="12"/>
  <c r="D19" i="12"/>
  <c r="D18" i="12"/>
  <c r="D17" i="12"/>
  <c r="D16" i="12"/>
  <c r="D15" i="12"/>
  <c r="D13" i="12"/>
  <c r="D12" i="12"/>
  <c r="D11" i="12"/>
  <c r="AA37" i="12"/>
  <c r="D38" i="12"/>
  <c r="H38" i="12"/>
  <c r="L38" i="12"/>
  <c r="P38" i="12"/>
  <c r="T38" i="12"/>
  <c r="X38" i="12"/>
  <c r="F41" i="12"/>
  <c r="J41" i="12"/>
  <c r="N41" i="12"/>
  <c r="R41" i="12"/>
  <c r="X41" i="12"/>
  <c r="F43" i="12"/>
  <c r="J43" i="12"/>
  <c r="N43" i="12"/>
  <c r="R43" i="12"/>
  <c r="V43" i="12"/>
  <c r="Z43" i="12"/>
  <c r="F45" i="12"/>
  <c r="J45" i="12"/>
  <c r="N45" i="12"/>
  <c r="R45" i="12"/>
  <c r="V45" i="12"/>
  <c r="L48" i="12"/>
  <c r="P48" i="12"/>
  <c r="T48" i="12"/>
  <c r="Z48" i="12"/>
  <c r="F50" i="12"/>
  <c r="J50" i="12"/>
  <c r="R50" i="12"/>
  <c r="T50" i="12"/>
  <c r="AA62" i="12"/>
  <c r="D63" i="12"/>
  <c r="F63" i="12"/>
  <c r="H63" i="12"/>
  <c r="J63" i="12"/>
  <c r="L63" i="12"/>
  <c r="N63" i="12"/>
  <c r="P63" i="12"/>
  <c r="R63" i="12"/>
  <c r="T63" i="12"/>
  <c r="V63" i="12"/>
  <c r="X63" i="12"/>
  <c r="Z63" i="12"/>
  <c r="D66" i="12"/>
  <c r="F66" i="12"/>
  <c r="H66" i="12"/>
  <c r="J66" i="12"/>
  <c r="L66" i="12"/>
  <c r="N66" i="12"/>
  <c r="P66" i="12"/>
  <c r="R66" i="12"/>
  <c r="T66" i="12"/>
  <c r="V66" i="12"/>
  <c r="Z66" i="12"/>
  <c r="D68" i="12"/>
  <c r="F68" i="12"/>
  <c r="H68" i="12"/>
  <c r="J68" i="12"/>
  <c r="L68" i="12"/>
  <c r="N68" i="12"/>
  <c r="P68" i="12"/>
  <c r="R68" i="12"/>
  <c r="T68" i="12"/>
  <c r="V68" i="12"/>
  <c r="Z68" i="12"/>
  <c r="D70" i="12"/>
  <c r="F70" i="12"/>
  <c r="H70" i="12"/>
  <c r="J70" i="12"/>
  <c r="L70" i="12"/>
  <c r="N70" i="12"/>
  <c r="P70" i="12"/>
  <c r="R70" i="12"/>
  <c r="T70" i="12"/>
  <c r="V70" i="12"/>
  <c r="D73" i="12"/>
  <c r="F73" i="12"/>
  <c r="H73" i="12"/>
  <c r="J73" i="12"/>
  <c r="L73" i="12"/>
  <c r="N73" i="12"/>
  <c r="P73" i="12"/>
  <c r="R73" i="12"/>
  <c r="T73" i="12"/>
  <c r="V73" i="12"/>
  <c r="X73" i="12"/>
  <c r="Z73" i="12"/>
  <c r="D75" i="12"/>
  <c r="F75" i="12"/>
  <c r="H75" i="12"/>
  <c r="J75" i="12"/>
  <c r="L75" i="12"/>
  <c r="N75" i="12"/>
  <c r="P75" i="12"/>
  <c r="R75" i="12"/>
  <c r="T75" i="12"/>
  <c r="V75" i="12"/>
  <c r="X75" i="12"/>
  <c r="Z75" i="12"/>
  <c r="D80" i="12"/>
  <c r="F80" i="12"/>
  <c r="H80" i="12"/>
  <c r="J80" i="12"/>
  <c r="L80" i="12"/>
  <c r="N80" i="12"/>
  <c r="P80" i="12"/>
  <c r="R80" i="12"/>
  <c r="T80" i="12"/>
  <c r="V80" i="12"/>
  <c r="X80" i="12"/>
  <c r="Z80" i="12"/>
  <c r="H11" i="12"/>
  <c r="J11" i="12"/>
  <c r="L11" i="12"/>
  <c r="N11" i="12"/>
  <c r="P11" i="12"/>
  <c r="R11" i="12"/>
  <c r="T11" i="12"/>
  <c r="V11" i="12"/>
  <c r="X11" i="12"/>
  <c r="Z11" i="12"/>
  <c r="H12" i="12"/>
  <c r="J12" i="12"/>
  <c r="L12" i="12"/>
  <c r="N12" i="12"/>
  <c r="P12" i="12"/>
  <c r="R12" i="12"/>
  <c r="T12" i="12"/>
  <c r="Z12" i="12"/>
  <c r="H15" i="12"/>
  <c r="J15" i="12"/>
  <c r="L15" i="12"/>
  <c r="N15" i="12"/>
  <c r="P15" i="12"/>
  <c r="R15" i="12"/>
  <c r="T15" i="12"/>
  <c r="V15" i="12"/>
  <c r="X15" i="12"/>
  <c r="Z15" i="12"/>
  <c r="H16" i="12"/>
  <c r="J16" i="12"/>
  <c r="L16" i="12"/>
  <c r="N16" i="12"/>
  <c r="P16" i="12"/>
  <c r="R16" i="12"/>
  <c r="T16" i="12"/>
  <c r="V16" i="12"/>
  <c r="X16" i="12"/>
  <c r="Z16" i="12"/>
  <c r="H17" i="12"/>
  <c r="J17" i="12"/>
  <c r="L17" i="12"/>
  <c r="N17" i="12"/>
  <c r="P17" i="12"/>
  <c r="R17" i="12"/>
  <c r="T17" i="12"/>
  <c r="V17" i="12"/>
  <c r="X17" i="12"/>
  <c r="Z17" i="12"/>
  <c r="H18" i="12"/>
  <c r="J18" i="12"/>
  <c r="L18" i="12"/>
  <c r="N18" i="12"/>
  <c r="P18" i="12"/>
  <c r="R18" i="12"/>
  <c r="T18" i="12"/>
  <c r="V18" i="12"/>
  <c r="X18" i="12"/>
  <c r="Z18" i="12"/>
  <c r="H19" i="12"/>
  <c r="H22" i="12"/>
  <c r="J22" i="12"/>
  <c r="L22" i="12"/>
  <c r="N22" i="12"/>
  <c r="P22" i="12"/>
  <c r="R22" i="12"/>
  <c r="T22" i="12"/>
  <c r="X22" i="12"/>
  <c r="H23" i="12"/>
  <c r="J23" i="12"/>
  <c r="L23" i="12"/>
  <c r="N23" i="12"/>
  <c r="P23" i="12"/>
  <c r="R23" i="12"/>
  <c r="T23" i="12"/>
  <c r="X23" i="12"/>
  <c r="H24" i="12"/>
  <c r="J24" i="12"/>
  <c r="L24" i="12"/>
  <c r="N24" i="12"/>
  <c r="P24" i="12"/>
  <c r="R24" i="12"/>
  <c r="T24" i="12"/>
  <c r="V24" i="12"/>
  <c r="X24" i="12"/>
  <c r="H25" i="12"/>
  <c r="J25" i="12"/>
  <c r="L25" i="12"/>
  <c r="N25" i="12"/>
  <c r="P25" i="12"/>
  <c r="R25" i="12"/>
  <c r="T25" i="12"/>
  <c r="V25" i="12"/>
  <c r="X25" i="12"/>
  <c r="H29" i="12"/>
  <c r="J29" i="12"/>
  <c r="L29" i="12"/>
  <c r="N29" i="12"/>
  <c r="P29" i="12"/>
  <c r="R29" i="12"/>
  <c r="T29" i="12"/>
  <c r="H30" i="12"/>
  <c r="J30" i="12"/>
  <c r="L30" i="12"/>
  <c r="N30" i="12"/>
  <c r="P30" i="12"/>
  <c r="R30" i="12"/>
  <c r="T30" i="12"/>
  <c r="V30" i="12"/>
  <c r="X30" i="12"/>
  <c r="F32" i="11"/>
  <c r="F31" i="11"/>
  <c r="F30" i="11"/>
  <c r="F29" i="11"/>
  <c r="F27" i="11"/>
  <c r="F26" i="11"/>
  <c r="F25" i="11"/>
  <c r="F24" i="11"/>
  <c r="F23" i="11"/>
  <c r="F22" i="11"/>
  <c r="F21" i="11"/>
  <c r="F19" i="11"/>
  <c r="F18" i="11"/>
  <c r="F17" i="11"/>
  <c r="F16" i="11"/>
  <c r="F15" i="11"/>
  <c r="F13" i="11"/>
  <c r="F12" i="11"/>
  <c r="F11" i="11"/>
  <c r="J32" i="11"/>
  <c r="J31" i="11"/>
  <c r="J30" i="11"/>
  <c r="J29" i="11"/>
  <c r="J27" i="11"/>
  <c r="J26" i="11"/>
  <c r="J25" i="11"/>
  <c r="J24" i="11"/>
  <c r="J23" i="11"/>
  <c r="J22" i="11"/>
  <c r="J21" i="11"/>
  <c r="J19" i="11"/>
  <c r="J18" i="11"/>
  <c r="J17" i="11"/>
  <c r="J16" i="11"/>
  <c r="J15" i="11"/>
  <c r="J13" i="11"/>
  <c r="J12" i="11"/>
  <c r="J11" i="11"/>
  <c r="N32" i="11"/>
  <c r="N31" i="11"/>
  <c r="N30" i="11"/>
  <c r="N29" i="11"/>
  <c r="N27" i="11"/>
  <c r="N26" i="11"/>
  <c r="N25" i="11"/>
  <c r="N24" i="11"/>
  <c r="N23" i="11"/>
  <c r="N22" i="11"/>
  <c r="N21" i="11"/>
  <c r="N19" i="11"/>
  <c r="N18" i="11"/>
  <c r="N17" i="11"/>
  <c r="N16" i="11"/>
  <c r="N15" i="11"/>
  <c r="N13" i="11"/>
  <c r="N12" i="11"/>
  <c r="N11" i="11"/>
  <c r="R32" i="11"/>
  <c r="R31" i="11"/>
  <c r="R30" i="11"/>
  <c r="R29" i="11"/>
  <c r="R27" i="11"/>
  <c r="R26" i="11"/>
  <c r="R25" i="11"/>
  <c r="R24" i="11"/>
  <c r="R23" i="11"/>
  <c r="R22" i="11"/>
  <c r="R21" i="11"/>
  <c r="R19" i="11"/>
  <c r="R18" i="11"/>
  <c r="R17" i="11"/>
  <c r="R16" i="11"/>
  <c r="R15" i="11"/>
  <c r="R13" i="11"/>
  <c r="R12" i="11"/>
  <c r="R11" i="11"/>
  <c r="V32" i="11"/>
  <c r="V31" i="11"/>
  <c r="V30" i="11"/>
  <c r="V29" i="11"/>
  <c r="V27" i="11"/>
  <c r="V26" i="11"/>
  <c r="V25" i="11"/>
  <c r="V24" i="11"/>
  <c r="V23" i="11"/>
  <c r="V22" i="11"/>
  <c r="V21" i="11"/>
  <c r="V19" i="11"/>
  <c r="V18" i="11"/>
  <c r="V17" i="11"/>
  <c r="V16" i="11"/>
  <c r="V15" i="11"/>
  <c r="V13" i="11"/>
  <c r="V12" i="11"/>
  <c r="V11" i="11"/>
  <c r="Z32" i="11"/>
  <c r="Z31" i="11"/>
  <c r="Z30" i="11"/>
  <c r="Z29" i="11"/>
  <c r="Z27" i="11"/>
  <c r="Z26" i="11"/>
  <c r="Z25" i="11"/>
  <c r="Z24" i="11"/>
  <c r="Z23" i="11"/>
  <c r="Z22" i="11"/>
  <c r="Z21" i="11"/>
  <c r="Z19" i="11"/>
  <c r="Z18" i="11"/>
  <c r="Z17" i="11"/>
  <c r="Z16" i="11"/>
  <c r="Z15" i="11"/>
  <c r="Z13" i="11"/>
  <c r="Z12" i="11"/>
  <c r="Z11" i="11"/>
  <c r="T37" i="11"/>
  <c r="V37" i="11"/>
  <c r="X37" i="11"/>
  <c r="Z37" i="11"/>
  <c r="D39" i="11"/>
  <c r="F39" i="11"/>
  <c r="J39" i="11"/>
  <c r="L39" i="11"/>
  <c r="N39" i="11"/>
  <c r="P39" i="11"/>
  <c r="R39" i="11"/>
  <c r="T39" i="11"/>
  <c r="V39" i="11"/>
  <c r="X39" i="11"/>
  <c r="Z39" i="11"/>
  <c r="D42" i="11"/>
  <c r="F42" i="11"/>
  <c r="J42" i="11"/>
  <c r="L42" i="11"/>
  <c r="N42" i="11"/>
  <c r="P42" i="11"/>
  <c r="R42" i="11"/>
  <c r="T42" i="11"/>
  <c r="V42" i="11"/>
  <c r="X42" i="11"/>
  <c r="Z42" i="11"/>
  <c r="D44" i="11"/>
  <c r="F44" i="11"/>
  <c r="J44" i="11"/>
  <c r="L44" i="11"/>
  <c r="N44" i="11"/>
  <c r="P44" i="11"/>
  <c r="R44" i="11"/>
  <c r="T44" i="11"/>
  <c r="V44" i="11"/>
  <c r="X44" i="11"/>
  <c r="Z44" i="11"/>
  <c r="D47" i="11"/>
  <c r="F47" i="11"/>
  <c r="J47" i="11"/>
  <c r="L47" i="11"/>
  <c r="N47" i="11"/>
  <c r="P47" i="11"/>
  <c r="R47" i="11"/>
  <c r="T47" i="11"/>
  <c r="V47" i="11"/>
  <c r="X47" i="11"/>
  <c r="Z47" i="11"/>
  <c r="D49" i="11"/>
  <c r="F49" i="11"/>
  <c r="J49" i="11"/>
  <c r="L49" i="11"/>
  <c r="N49" i="11"/>
  <c r="P49" i="11"/>
  <c r="R49" i="11"/>
  <c r="T49" i="11"/>
  <c r="V49" i="11"/>
  <c r="X49" i="11"/>
  <c r="Z49" i="11"/>
  <c r="D51" i="11"/>
  <c r="F51" i="11"/>
  <c r="J51" i="11"/>
  <c r="L51" i="11"/>
  <c r="N51" i="11"/>
  <c r="P51" i="11"/>
  <c r="R51" i="11"/>
  <c r="T51" i="11"/>
  <c r="V51" i="11"/>
  <c r="X51" i="11"/>
  <c r="Z51" i="11"/>
  <c r="D53" i="11"/>
  <c r="F53" i="11"/>
  <c r="J53" i="11"/>
  <c r="L53" i="11"/>
  <c r="N53" i="11"/>
  <c r="P53" i="11"/>
  <c r="R53" i="11"/>
  <c r="T53" i="11"/>
  <c r="V53" i="11"/>
  <c r="X53" i="11"/>
  <c r="Z53" i="11"/>
  <c r="D56" i="11"/>
  <c r="F56" i="11"/>
  <c r="J56" i="11"/>
  <c r="L56" i="11"/>
  <c r="N56" i="11"/>
  <c r="P56" i="11"/>
  <c r="R56" i="11"/>
  <c r="T56" i="11"/>
  <c r="V56" i="11"/>
  <c r="X56" i="11"/>
  <c r="Z56" i="11"/>
  <c r="D58" i="11"/>
  <c r="F58" i="11"/>
  <c r="J58" i="11"/>
  <c r="L58" i="11"/>
  <c r="N58" i="11"/>
  <c r="P58" i="11"/>
  <c r="R58" i="11"/>
  <c r="T58" i="11"/>
  <c r="V58" i="11"/>
  <c r="X58" i="11"/>
  <c r="Z58" i="11"/>
  <c r="D63" i="11"/>
  <c r="F63" i="11"/>
  <c r="J63" i="11"/>
  <c r="L63" i="11"/>
  <c r="N63" i="11"/>
  <c r="P63" i="11"/>
  <c r="R63" i="11"/>
  <c r="T63" i="11"/>
  <c r="V63" i="11"/>
  <c r="X63" i="11"/>
  <c r="Z63" i="11"/>
  <c r="D65" i="11"/>
  <c r="F65" i="11"/>
  <c r="J65" i="11"/>
  <c r="L65" i="11"/>
  <c r="N65" i="11"/>
  <c r="P65" i="11"/>
  <c r="R65" i="11"/>
  <c r="T65" i="11"/>
  <c r="V65" i="11"/>
  <c r="X65" i="11"/>
  <c r="Z65" i="11"/>
  <c r="D68" i="11"/>
  <c r="F68" i="11"/>
  <c r="J68" i="11"/>
  <c r="L68" i="11"/>
  <c r="N68" i="11"/>
  <c r="P68" i="11"/>
  <c r="R68" i="11"/>
  <c r="T68" i="11"/>
  <c r="V68" i="11"/>
  <c r="X68" i="11"/>
  <c r="Z68" i="11"/>
  <c r="D70" i="11"/>
  <c r="F70" i="11"/>
  <c r="J70" i="11"/>
  <c r="L70" i="11"/>
  <c r="N70" i="11"/>
  <c r="P70" i="11"/>
  <c r="R70" i="11"/>
  <c r="T70" i="11"/>
  <c r="V70" i="11"/>
  <c r="X70" i="11"/>
  <c r="Z70" i="11"/>
  <c r="D73" i="11"/>
  <c r="F73" i="11"/>
  <c r="J73" i="11"/>
  <c r="L73" i="11"/>
  <c r="N73" i="11"/>
  <c r="P73" i="11"/>
  <c r="R73" i="11"/>
  <c r="T73" i="11"/>
  <c r="V73" i="11"/>
  <c r="X73" i="11"/>
  <c r="Z73" i="11"/>
  <c r="D75" i="11"/>
  <c r="F75" i="11"/>
  <c r="J75" i="11"/>
  <c r="L75" i="11"/>
  <c r="N75" i="11"/>
  <c r="P75" i="11"/>
  <c r="R75" i="11"/>
  <c r="T75" i="11"/>
  <c r="V75" i="11"/>
  <c r="X75" i="11"/>
  <c r="Z75" i="11"/>
  <c r="D77" i="11"/>
  <c r="F77" i="11"/>
  <c r="J77" i="11"/>
  <c r="L77" i="11"/>
  <c r="N77" i="11"/>
  <c r="P77" i="11"/>
  <c r="R77" i="11"/>
  <c r="T77" i="11"/>
  <c r="V77" i="11"/>
  <c r="X77" i="11"/>
  <c r="Z77" i="11"/>
  <c r="D79" i="11"/>
  <c r="F79" i="11"/>
  <c r="J79" i="11"/>
  <c r="L79" i="11"/>
  <c r="N79" i="11"/>
  <c r="P79" i="11"/>
  <c r="R79" i="11"/>
  <c r="T79" i="11"/>
  <c r="V79" i="11"/>
  <c r="X79" i="11"/>
  <c r="Z79" i="11"/>
  <c r="D82" i="11"/>
  <c r="F82" i="11"/>
  <c r="J82" i="11"/>
  <c r="L82" i="11"/>
  <c r="N82" i="11"/>
  <c r="P82" i="11"/>
  <c r="R82" i="11"/>
  <c r="T82" i="11"/>
  <c r="V82" i="11"/>
  <c r="X82" i="11"/>
  <c r="Z82" i="11"/>
  <c r="D84" i="11"/>
  <c r="F84" i="11"/>
  <c r="J84" i="11"/>
  <c r="L84" i="11"/>
  <c r="N84" i="11"/>
  <c r="P84" i="11"/>
  <c r="R84" i="11"/>
  <c r="T84" i="11"/>
  <c r="V84" i="11"/>
  <c r="X84" i="11"/>
  <c r="Z84" i="11"/>
  <c r="D32" i="11"/>
  <c r="D30" i="11"/>
  <c r="D27" i="11"/>
  <c r="D25" i="11"/>
  <c r="D23" i="11"/>
  <c r="D21" i="11"/>
  <c r="D18" i="11"/>
  <c r="D16" i="11"/>
  <c r="D13" i="11"/>
  <c r="D11" i="11"/>
  <c r="L32" i="11"/>
  <c r="L31" i="11"/>
  <c r="L30" i="11"/>
  <c r="L29" i="11"/>
  <c r="L27" i="11"/>
  <c r="L26" i="11"/>
  <c r="L25" i="11"/>
  <c r="L24" i="11"/>
  <c r="L23" i="11"/>
  <c r="L22" i="11"/>
  <c r="L21" i="11"/>
  <c r="L19" i="11"/>
  <c r="L18" i="11"/>
  <c r="L17" i="11"/>
  <c r="L16" i="11"/>
  <c r="L15" i="11"/>
  <c r="L13" i="11"/>
  <c r="L12" i="11"/>
  <c r="L11" i="11"/>
  <c r="P32" i="11"/>
  <c r="P31" i="11"/>
  <c r="P30" i="11"/>
  <c r="P29" i="11"/>
  <c r="P27" i="11"/>
  <c r="P26" i="11"/>
  <c r="P25" i="11"/>
  <c r="P24" i="11"/>
  <c r="P23" i="11"/>
  <c r="P22" i="11"/>
  <c r="P21" i="11"/>
  <c r="P19" i="11"/>
  <c r="P18" i="11"/>
  <c r="P17" i="11"/>
  <c r="P16" i="11"/>
  <c r="P15" i="11"/>
  <c r="P13" i="11"/>
  <c r="P12" i="11"/>
  <c r="P11" i="11"/>
  <c r="T32" i="11"/>
  <c r="T31" i="11"/>
  <c r="T30" i="11"/>
  <c r="T29" i="11"/>
  <c r="T27" i="11"/>
  <c r="T26" i="11"/>
  <c r="T25" i="11"/>
  <c r="T24" i="11"/>
  <c r="T23" i="11"/>
  <c r="T22" i="11"/>
  <c r="T21" i="11"/>
  <c r="T19" i="11"/>
  <c r="T18" i="11"/>
  <c r="T17" i="11"/>
  <c r="T16" i="11"/>
  <c r="T15" i="11"/>
  <c r="T13" i="11"/>
  <c r="T12" i="11"/>
  <c r="T11" i="11"/>
  <c r="X32" i="11"/>
  <c r="X31" i="11"/>
  <c r="X30" i="11"/>
  <c r="X29" i="11"/>
  <c r="X27" i="11"/>
  <c r="X26" i="11"/>
  <c r="X25" i="11"/>
  <c r="X24" i="11"/>
  <c r="X23" i="11"/>
  <c r="X22" i="11"/>
  <c r="X21" i="11"/>
  <c r="X19" i="11"/>
  <c r="X18" i="11"/>
  <c r="X17" i="11"/>
  <c r="X16" i="11"/>
  <c r="X15" i="11"/>
  <c r="X13" i="11"/>
  <c r="X12" i="11"/>
  <c r="X11" i="11"/>
  <c r="AA37" i="11"/>
  <c r="AD37" i="11" s="1"/>
  <c r="D38" i="11"/>
  <c r="F38" i="11"/>
  <c r="H38" i="11"/>
  <c r="J38" i="11"/>
  <c r="L38" i="11"/>
  <c r="N38" i="11"/>
  <c r="P38" i="11"/>
  <c r="R38" i="11"/>
  <c r="T38" i="11"/>
  <c r="V38" i="11"/>
  <c r="X38" i="11"/>
  <c r="Z38" i="11"/>
  <c r="D41" i="11"/>
  <c r="F41" i="11"/>
  <c r="H41" i="11"/>
  <c r="J41" i="11"/>
  <c r="L41" i="11"/>
  <c r="N41" i="11"/>
  <c r="P41" i="11"/>
  <c r="R41" i="11"/>
  <c r="T41" i="11"/>
  <c r="V41" i="11"/>
  <c r="X41" i="11"/>
  <c r="Z41" i="11"/>
  <c r="D43" i="11"/>
  <c r="F43" i="11"/>
  <c r="H43" i="11"/>
  <c r="J43" i="11"/>
  <c r="L43" i="11"/>
  <c r="N43" i="11"/>
  <c r="P43" i="11"/>
  <c r="R43" i="11"/>
  <c r="T43" i="11"/>
  <c r="V43" i="11"/>
  <c r="X43" i="11"/>
  <c r="Z43" i="11"/>
  <c r="D45" i="11"/>
  <c r="F45" i="11"/>
  <c r="H45" i="11"/>
  <c r="J45" i="11"/>
  <c r="L45" i="11"/>
  <c r="N45" i="11"/>
  <c r="P45" i="11"/>
  <c r="R45" i="11"/>
  <c r="T45" i="11"/>
  <c r="V45" i="11"/>
  <c r="X45" i="11"/>
  <c r="Z45" i="11"/>
  <c r="D48" i="11"/>
  <c r="F48" i="11"/>
  <c r="H48" i="11"/>
  <c r="J48" i="11"/>
  <c r="L48" i="11"/>
  <c r="N48" i="11"/>
  <c r="P48" i="11"/>
  <c r="R48" i="11"/>
  <c r="T48" i="11"/>
  <c r="V48" i="11"/>
  <c r="X48" i="11"/>
  <c r="Z48" i="11"/>
  <c r="D50" i="11"/>
  <c r="F50" i="11"/>
  <c r="H50" i="11"/>
  <c r="J50" i="11"/>
  <c r="L50" i="11"/>
  <c r="N50" i="11"/>
  <c r="P50" i="11"/>
  <c r="R50" i="11"/>
  <c r="T50" i="11"/>
  <c r="V50" i="11"/>
  <c r="X50" i="11"/>
  <c r="Z50" i="11"/>
  <c r="D52" i="11"/>
  <c r="F52" i="11"/>
  <c r="H52" i="11"/>
  <c r="J52" i="11"/>
  <c r="L52" i="11"/>
  <c r="N52" i="11"/>
  <c r="P52" i="11"/>
  <c r="R52" i="11"/>
  <c r="T52" i="11"/>
  <c r="V52" i="11"/>
  <c r="X52" i="11"/>
  <c r="Z52" i="11"/>
  <c r="D55" i="11"/>
  <c r="F55" i="11"/>
  <c r="H55" i="11"/>
  <c r="J55" i="11"/>
  <c r="L55" i="11"/>
  <c r="N55" i="11"/>
  <c r="P55" i="11"/>
  <c r="R55" i="11"/>
  <c r="T55" i="11"/>
  <c r="V55" i="11"/>
  <c r="X55" i="11"/>
  <c r="Z55" i="11"/>
  <c r="D64" i="11"/>
  <c r="F64" i="11"/>
  <c r="H64" i="11"/>
  <c r="J64" i="11"/>
  <c r="L64" i="11"/>
  <c r="N64" i="11"/>
  <c r="P64" i="11"/>
  <c r="R64" i="11"/>
  <c r="T64" i="11"/>
  <c r="V64" i="11"/>
  <c r="X64" i="11"/>
  <c r="Z64" i="11"/>
  <c r="D67" i="11"/>
  <c r="F67" i="11"/>
  <c r="H67" i="11"/>
  <c r="J67" i="11"/>
  <c r="L67" i="11"/>
  <c r="N67" i="11"/>
  <c r="P67" i="11"/>
  <c r="R67" i="11"/>
  <c r="T67" i="11"/>
  <c r="V67" i="11"/>
  <c r="X67" i="11"/>
  <c r="Z67" i="11"/>
  <c r="D69" i="11"/>
  <c r="F69" i="11"/>
  <c r="H69" i="11"/>
  <c r="J69" i="11"/>
  <c r="L69" i="11"/>
  <c r="N69" i="11"/>
  <c r="P69" i="11"/>
  <c r="R69" i="11"/>
  <c r="T69" i="11"/>
  <c r="V69" i="11"/>
  <c r="X69" i="11"/>
  <c r="Z69" i="11"/>
  <c r="D71" i="11"/>
  <c r="F71" i="11"/>
  <c r="J71" i="11"/>
  <c r="L71" i="11"/>
  <c r="N71" i="11"/>
  <c r="P71" i="11"/>
  <c r="R71" i="11"/>
  <c r="T71" i="11"/>
  <c r="V71" i="11"/>
  <c r="X71" i="11"/>
  <c r="Z71" i="11"/>
  <c r="D74" i="11"/>
  <c r="F74" i="11"/>
  <c r="J74" i="11"/>
  <c r="L74" i="11"/>
  <c r="N74" i="11"/>
  <c r="P74" i="11"/>
  <c r="R74" i="11"/>
  <c r="T74" i="11"/>
  <c r="V74" i="11"/>
  <c r="X74" i="11"/>
  <c r="Z74" i="11"/>
  <c r="D76" i="11"/>
  <c r="F76" i="11"/>
  <c r="J76" i="11"/>
  <c r="L76" i="11"/>
  <c r="N76" i="11"/>
  <c r="P76" i="11"/>
  <c r="R76" i="11"/>
  <c r="T76" i="11"/>
  <c r="V76" i="11"/>
  <c r="X76" i="11"/>
  <c r="Z76" i="11"/>
  <c r="D78" i="11"/>
  <c r="F78" i="11"/>
  <c r="J78" i="11"/>
  <c r="L78" i="11"/>
  <c r="N78" i="11"/>
  <c r="P78" i="11"/>
  <c r="R78" i="11"/>
  <c r="T78" i="11"/>
  <c r="V78" i="11"/>
  <c r="X78" i="11"/>
  <c r="Z78" i="11"/>
  <c r="D81" i="11"/>
  <c r="F81" i="11"/>
  <c r="J81" i="11"/>
  <c r="L81" i="11"/>
  <c r="N81" i="11"/>
  <c r="P81" i="11"/>
  <c r="R81" i="11"/>
  <c r="T81" i="11"/>
  <c r="V81" i="11"/>
  <c r="X81" i="11"/>
  <c r="Z81" i="11"/>
  <c r="Z64" i="12"/>
  <c r="Z50" i="12"/>
  <c r="Z53" i="12"/>
  <c r="AA66" i="12"/>
  <c r="AA42" i="12"/>
  <c r="AA16" i="12"/>
  <c r="AA63" i="12"/>
  <c r="Z45" i="12"/>
  <c r="AA44" i="12"/>
  <c r="Z74" i="12"/>
  <c r="AA70" i="12"/>
  <c r="Z70" i="12"/>
  <c r="Z30" i="12"/>
  <c r="Z29" i="12"/>
  <c r="Z25" i="12"/>
  <c r="Z24" i="12"/>
  <c r="Z23" i="12"/>
  <c r="Z22" i="12"/>
  <c r="V22" i="12"/>
  <c r="X68" i="12"/>
  <c r="V48" i="12"/>
  <c r="V81" i="12"/>
  <c r="V76" i="12"/>
  <c r="V74" i="12"/>
  <c r="V72" i="12"/>
  <c r="V69" i="12"/>
  <c r="V67" i="12"/>
  <c r="V64" i="12"/>
  <c r="V58" i="12"/>
  <c r="V56" i="12"/>
  <c r="V51" i="12"/>
  <c r="V49" i="12"/>
  <c r="V47" i="12"/>
  <c r="V44" i="12"/>
  <c r="V42" i="12"/>
  <c r="V39" i="12"/>
  <c r="V37" i="12"/>
  <c r="V57" i="12"/>
  <c r="V55" i="12"/>
  <c r="V50" i="12"/>
  <c r="V38" i="12"/>
  <c r="X50" i="12"/>
  <c r="V53" i="12"/>
  <c r="V29" i="12"/>
  <c r="Z26" i="12"/>
  <c r="V26" i="12"/>
  <c r="R26" i="12"/>
  <c r="N26" i="12"/>
  <c r="J26" i="12"/>
  <c r="X26" i="12"/>
  <c r="T26" i="12"/>
  <c r="P26" i="12"/>
  <c r="L26" i="12"/>
  <c r="H26" i="12"/>
  <c r="F26" i="12"/>
  <c r="X13" i="12"/>
  <c r="T13" i="12"/>
  <c r="P13" i="12"/>
  <c r="L13" i="12"/>
  <c r="H13" i="12"/>
  <c r="V13" i="12"/>
  <c r="R13" i="12"/>
  <c r="N13" i="12"/>
  <c r="J13" i="12"/>
  <c r="F13" i="12"/>
  <c r="X21" i="12"/>
  <c r="T21" i="12"/>
  <c r="P21" i="12"/>
  <c r="L21" i="12"/>
  <c r="H21" i="12"/>
  <c r="Z21" i="12"/>
  <c r="V21" i="12"/>
  <c r="R21" i="12"/>
  <c r="N21" i="12"/>
  <c r="J21" i="12"/>
  <c r="F21" i="12"/>
  <c r="X77" i="12"/>
  <c r="T77" i="12"/>
  <c r="P77" i="12"/>
  <c r="L77" i="12"/>
  <c r="H77" i="12"/>
  <c r="Z77" i="12"/>
  <c r="V77" i="12"/>
  <c r="R77" i="12"/>
  <c r="N77" i="12"/>
  <c r="J77" i="12"/>
  <c r="F77" i="12"/>
  <c r="F32" i="12"/>
  <c r="H32" i="12"/>
  <c r="AA12" i="12"/>
  <c r="V12" i="12"/>
  <c r="Z58" i="12"/>
  <c r="AA58" i="12"/>
  <c r="AA53" i="12"/>
  <c r="X53" i="12"/>
  <c r="X29" i="12"/>
  <c r="AA29" i="12"/>
  <c r="V83" i="12"/>
  <c r="N83" i="12"/>
  <c r="X83" i="12"/>
  <c r="P83" i="12"/>
  <c r="R83" i="12"/>
  <c r="J83" i="12"/>
  <c r="T83" i="12"/>
  <c r="L83" i="12"/>
  <c r="V19" i="12"/>
  <c r="N19" i="12"/>
  <c r="X19" i="12"/>
  <c r="P19" i="12"/>
  <c r="R19" i="12"/>
  <c r="J19" i="12"/>
  <c r="T19" i="12"/>
  <c r="L19" i="12"/>
  <c r="Z78" i="12"/>
  <c r="V78" i="12"/>
  <c r="R78" i="12"/>
  <c r="N78" i="12"/>
  <c r="J78" i="12"/>
  <c r="X78" i="12"/>
  <c r="T78" i="12"/>
  <c r="P78" i="12"/>
  <c r="L78" i="12"/>
  <c r="H78" i="12"/>
  <c r="F78" i="12"/>
  <c r="AA13" i="12"/>
  <c r="Z13" i="12"/>
  <c r="AA26" i="12"/>
  <c r="X27" i="12"/>
  <c r="T27" i="12"/>
  <c r="P27" i="12"/>
  <c r="L27" i="12"/>
  <c r="H27" i="12"/>
  <c r="Z27" i="12"/>
  <c r="V27" i="12"/>
  <c r="R27" i="12"/>
  <c r="N27" i="12"/>
  <c r="J27" i="12"/>
  <c r="F27" i="12"/>
  <c r="D27" i="12"/>
  <c r="AA77" i="12"/>
  <c r="D77" i="12"/>
  <c r="AA21" i="12"/>
  <c r="D21" i="12"/>
  <c r="T32" i="12"/>
  <c r="L32" i="12"/>
  <c r="V32" i="12"/>
  <c r="N32" i="12"/>
  <c r="X32" i="12"/>
  <c r="P32" i="12"/>
  <c r="R32" i="12"/>
  <c r="J32" i="12"/>
  <c r="Z19" i="12"/>
  <c r="AA19" i="12"/>
  <c r="Z83" i="12"/>
  <c r="AA83" i="12"/>
  <c r="AA27" i="12"/>
  <c r="X82" i="12"/>
  <c r="T82" i="12"/>
  <c r="P82" i="12"/>
  <c r="L82" i="12"/>
  <c r="H82" i="12"/>
  <c r="Z82" i="12"/>
  <c r="V82" i="12"/>
  <c r="R82" i="12"/>
  <c r="N82" i="12"/>
  <c r="J82" i="12"/>
  <c r="F82" i="12"/>
  <c r="AA78" i="12"/>
  <c r="D78" i="12"/>
  <c r="Z32" i="12"/>
  <c r="AA32" i="12"/>
  <c r="Z31" i="12"/>
  <c r="V31" i="12"/>
  <c r="R31" i="12"/>
  <c r="N31" i="12"/>
  <c r="J31" i="12"/>
  <c r="X31" i="12"/>
  <c r="T31" i="12"/>
  <c r="P31" i="12"/>
  <c r="L31" i="12"/>
  <c r="H31" i="12"/>
  <c r="F31" i="12"/>
  <c r="AA82" i="12"/>
  <c r="D82" i="12"/>
  <c r="D31" i="12"/>
  <c r="AA31" i="12"/>
  <c r="D12" i="11"/>
  <c r="D15" i="11"/>
  <c r="D17" i="11"/>
  <c r="D19" i="11"/>
  <c r="D22" i="11"/>
  <c r="D24" i="11"/>
  <c r="D26" i="11"/>
  <c r="D29" i="11"/>
  <c r="H58" i="11"/>
  <c r="H56" i="11"/>
  <c r="H53" i="11"/>
  <c r="H51" i="11"/>
  <c r="H49" i="11"/>
  <c r="H47" i="11"/>
  <c r="H44" i="11"/>
  <c r="H42" i="11"/>
  <c r="H39" i="11"/>
  <c r="D44" i="7"/>
  <c r="AA18" i="11"/>
  <c r="AA70" i="11"/>
  <c r="C45" i="4"/>
  <c r="C37" i="4"/>
  <c r="AE72" i="4"/>
  <c r="E76" i="16"/>
  <c r="AE79" i="4"/>
  <c r="E75" i="16"/>
  <c r="E81" i="16"/>
  <c r="E67" i="16"/>
  <c r="AE66" i="4"/>
  <c r="AE78" i="4"/>
  <c r="AE70" i="4"/>
  <c r="E74" i="16"/>
  <c r="AE71" i="4"/>
  <c r="AE84" i="4"/>
  <c r="AE85" i="4"/>
  <c r="E63" i="16"/>
  <c r="E66" i="16"/>
  <c r="E72" i="16"/>
  <c r="AE76" i="4"/>
  <c r="E73" i="16"/>
  <c r="AE80" i="4"/>
  <c r="AE67" i="4"/>
  <c r="AE77" i="4"/>
  <c r="E80" i="16"/>
  <c r="E62" i="16"/>
  <c r="E68" i="16"/>
  <c r="AB68" i="12" l="1"/>
  <c r="F25" i="6"/>
  <c r="R70" i="4"/>
  <c r="E18" i="4"/>
  <c r="F15" i="6"/>
  <c r="C15" i="7"/>
  <c r="F61" i="6"/>
  <c r="E42" i="7" s="1"/>
  <c r="AB69" i="12"/>
  <c r="L107" i="4"/>
  <c r="I113" i="4"/>
  <c r="X93" i="4"/>
  <c r="J15" i="6"/>
  <c r="X104" i="4"/>
  <c r="AD73" i="11"/>
  <c r="AD69" i="11"/>
  <c r="AD81" i="11"/>
  <c r="F56" i="5"/>
  <c r="AD42" i="11"/>
  <c r="AD47" i="11"/>
  <c r="AD51" i="11"/>
  <c r="AD49" i="11"/>
  <c r="AD55" i="11"/>
  <c r="AD77" i="11"/>
  <c r="AD82" i="11"/>
  <c r="AD76" i="11"/>
  <c r="AD75" i="11"/>
  <c r="I11" i="7"/>
  <c r="I7" i="6"/>
  <c r="J5" i="7" s="1"/>
  <c r="AE9" i="4"/>
  <c r="AE8" i="4"/>
  <c r="AF72" i="4"/>
  <c r="AF85" i="4"/>
  <c r="AF80" i="4"/>
  <c r="AF76" i="4"/>
  <c r="AF71" i="4"/>
  <c r="AF84" i="4"/>
  <c r="AF79" i="4"/>
  <c r="AF70" i="4"/>
  <c r="AF78" i="4"/>
  <c r="AF77" i="4"/>
  <c r="AF67" i="4"/>
  <c r="AF66" i="4"/>
  <c r="F30" i="6"/>
  <c r="E22" i="7" s="1"/>
  <c r="D15" i="7"/>
  <c r="J23" i="6"/>
  <c r="J97" i="4"/>
  <c r="L97" i="4"/>
  <c r="L106" i="4"/>
  <c r="F42" i="6"/>
  <c r="J15" i="7"/>
  <c r="J51" i="6"/>
  <c r="K37" i="7" s="1"/>
  <c r="J13" i="6"/>
  <c r="K10" i="7" s="1"/>
  <c r="F46" i="6"/>
  <c r="H7" i="6"/>
  <c r="I5" i="7" s="1"/>
  <c r="J16" i="6"/>
  <c r="K12" i="7" s="1"/>
  <c r="E64" i="16"/>
  <c r="E77" i="16"/>
  <c r="E69" i="16"/>
  <c r="I103" i="4"/>
  <c r="AJ72" i="4"/>
  <c r="AI72" i="4"/>
  <c r="AE14" i="4"/>
  <c r="AE12" i="4"/>
  <c r="AI70" i="4"/>
  <c r="AJ70" i="4"/>
  <c r="AE73" i="4"/>
  <c r="AF73" i="4" s="1"/>
  <c r="AE22" i="4"/>
  <c r="AI80" i="4"/>
  <c r="AJ80" i="4"/>
  <c r="AC18" i="4"/>
  <c r="AC81" i="4"/>
  <c r="AG76" i="4"/>
  <c r="AH76" i="4"/>
  <c r="AH72" i="4"/>
  <c r="AG72" i="4"/>
  <c r="AC14" i="4"/>
  <c r="AI77" i="4"/>
  <c r="AJ77" i="4"/>
  <c r="AE19" i="4"/>
  <c r="AC21" i="4"/>
  <c r="AH79" i="4"/>
  <c r="AG79" i="4"/>
  <c r="AJ67" i="4"/>
  <c r="AI67" i="4"/>
  <c r="AG78" i="4"/>
  <c r="AC20" i="4"/>
  <c r="AH78" i="4"/>
  <c r="AI71" i="4"/>
  <c r="AE13" i="4"/>
  <c r="AJ71" i="4"/>
  <c r="AH71" i="4"/>
  <c r="AC13" i="4"/>
  <c r="AG71" i="4"/>
  <c r="AC8" i="4"/>
  <c r="AD9" i="4" s="1"/>
  <c r="AG66" i="4"/>
  <c r="AC68" i="4"/>
  <c r="AD68" i="4" s="1"/>
  <c r="AH66" i="4"/>
  <c r="AJ84" i="4"/>
  <c r="AI84" i="4"/>
  <c r="AE26" i="4"/>
  <c r="AJ85" i="4"/>
  <c r="AE27" i="4"/>
  <c r="AI85" i="4"/>
  <c r="AG85" i="4"/>
  <c r="AH85" i="4"/>
  <c r="AC27" i="4"/>
  <c r="AH9" i="4"/>
  <c r="AG67" i="4"/>
  <c r="AH67" i="4"/>
  <c r="AE18" i="4"/>
  <c r="AI76" i="4"/>
  <c r="AE81" i="4"/>
  <c r="AF81" i="4" s="1"/>
  <c r="AJ76" i="4"/>
  <c r="AE68" i="4"/>
  <c r="AF68" i="4" s="1"/>
  <c r="AI66" i="4"/>
  <c r="AJ66" i="4"/>
  <c r="AH84" i="4"/>
  <c r="AG84" i="4"/>
  <c r="AC26" i="4"/>
  <c r="AJ79" i="4"/>
  <c r="AI79" i="4"/>
  <c r="AE21" i="4"/>
  <c r="AC22" i="4"/>
  <c r="AH80" i="4"/>
  <c r="AG80" i="4"/>
  <c r="AJ78" i="4"/>
  <c r="AE20" i="4"/>
  <c r="AI78" i="4"/>
  <c r="AC19" i="4"/>
  <c r="AG77" i="4"/>
  <c r="AH77" i="4"/>
  <c r="AC73" i="4"/>
  <c r="AD73" i="4" s="1"/>
  <c r="AC12" i="4"/>
  <c r="AG70" i="4"/>
  <c r="AH70" i="4"/>
  <c r="B33" i="16"/>
  <c r="N63" i="4"/>
  <c r="Z63" i="4" s="1"/>
  <c r="J50" i="6"/>
  <c r="J66" i="4"/>
  <c r="AD79" i="4"/>
  <c r="AD71" i="4"/>
  <c r="AD85" i="4"/>
  <c r="AD77" i="4"/>
  <c r="AD76" i="4"/>
  <c r="AD84" i="4"/>
  <c r="AD70" i="4"/>
  <c r="AD66" i="4"/>
  <c r="AD78" i="4"/>
  <c r="AD67" i="4"/>
  <c r="AD72" i="4"/>
  <c r="AD80" i="4"/>
  <c r="J20" i="6"/>
  <c r="J26" i="6"/>
  <c r="I84" i="4"/>
  <c r="G46" i="4"/>
  <c r="C21" i="4" s="1"/>
  <c r="S45" i="4"/>
  <c r="O20" i="4" s="1"/>
  <c r="D16" i="7"/>
  <c r="J42" i="6"/>
  <c r="F41" i="6"/>
  <c r="E32" i="7" s="1"/>
  <c r="J24" i="6"/>
  <c r="K17" i="7" s="1"/>
  <c r="F19" i="6"/>
  <c r="C16" i="7"/>
  <c r="F51" i="6"/>
  <c r="E37" i="7" s="1"/>
  <c r="J81" i="16"/>
  <c r="J76" i="16"/>
  <c r="F66" i="16"/>
  <c r="F75" i="16"/>
  <c r="F67" i="16"/>
  <c r="F72" i="16"/>
  <c r="F73" i="16"/>
  <c r="F81" i="16"/>
  <c r="F62" i="16"/>
  <c r="F68" i="16"/>
  <c r="F76" i="16"/>
  <c r="F80" i="16"/>
  <c r="F74" i="16"/>
  <c r="F63" i="16"/>
  <c r="F50" i="6"/>
  <c r="E7" i="6"/>
  <c r="D5" i="7" s="1"/>
  <c r="F44" i="6"/>
  <c r="F54" i="6"/>
  <c r="V94" i="4"/>
  <c r="G41" i="4"/>
  <c r="C16" i="4" s="1"/>
  <c r="G44" i="4"/>
  <c r="C19" i="4" s="1"/>
  <c r="S47" i="4"/>
  <c r="O22" i="4" s="1"/>
  <c r="H68" i="4"/>
  <c r="H66" i="4"/>
  <c r="H67" i="4"/>
  <c r="AB56" i="11"/>
  <c r="AB39" i="11"/>
  <c r="AB27" i="12"/>
  <c r="AB77" i="12"/>
  <c r="AB70" i="12"/>
  <c r="AB63" i="12"/>
  <c r="AB73" i="12"/>
  <c r="AB81" i="12"/>
  <c r="AB75" i="12"/>
  <c r="AB19" i="12"/>
  <c r="AB13" i="12"/>
  <c r="AB23" i="12"/>
  <c r="AB22" i="12"/>
  <c r="AB21" i="12"/>
  <c r="AB24" i="12"/>
  <c r="AB58" i="12"/>
  <c r="AB57" i="12"/>
  <c r="AB67" i="12"/>
  <c r="AB50" i="11"/>
  <c r="AB37" i="11"/>
  <c r="AB48" i="11"/>
  <c r="AB15" i="11"/>
  <c r="AB51" i="11"/>
  <c r="H63" i="11"/>
  <c r="AB77" i="11"/>
  <c r="AB63" i="11"/>
  <c r="AB73" i="11"/>
  <c r="AB82" i="11"/>
  <c r="AB81" i="11"/>
  <c r="AB68" i="11"/>
  <c r="AB43" i="11"/>
  <c r="AB42" i="11"/>
  <c r="AB47" i="11"/>
  <c r="AB38" i="11"/>
  <c r="AB41" i="11"/>
  <c r="AB49" i="11"/>
  <c r="AB58" i="11"/>
  <c r="AB52" i="11"/>
  <c r="H81" i="11"/>
  <c r="H78" i="11"/>
  <c r="H76" i="11"/>
  <c r="H74" i="11"/>
  <c r="H77" i="11"/>
  <c r="H75" i="11"/>
  <c r="H73" i="11"/>
  <c r="H70" i="11"/>
  <c r="H68" i="11"/>
  <c r="AB64" i="11"/>
  <c r="AB44" i="11"/>
  <c r="AB53" i="11"/>
  <c r="H82" i="11"/>
  <c r="AB45" i="11"/>
  <c r="AB55" i="11"/>
  <c r="AB57" i="11"/>
  <c r="AA12" i="11"/>
  <c r="H26" i="11"/>
  <c r="AB69" i="11"/>
  <c r="H23" i="11"/>
  <c r="H24" i="11"/>
  <c r="H29" i="11"/>
  <c r="H25" i="11"/>
  <c r="AB70" i="11"/>
  <c r="AB74" i="11"/>
  <c r="AB75" i="11"/>
  <c r="AB76" i="11"/>
  <c r="H15" i="11"/>
  <c r="AB67" i="11"/>
  <c r="AB78" i="11"/>
  <c r="AB41" i="12"/>
  <c r="AB37" i="12"/>
  <c r="AB45" i="12"/>
  <c r="AB56" i="12"/>
  <c r="AB44" i="12"/>
  <c r="AB17" i="12"/>
  <c r="AB47" i="12"/>
  <c r="AB55" i="12"/>
  <c r="AB53" i="12"/>
  <c r="AB48" i="12"/>
  <c r="AB76" i="12"/>
  <c r="AB43" i="12"/>
  <c r="AB39" i="12"/>
  <c r="AB42" i="12"/>
  <c r="AB31" i="12"/>
  <c r="AB82" i="12"/>
  <c r="AB83" i="12"/>
  <c r="AB26" i="12"/>
  <c r="AB29" i="12"/>
  <c r="AB15" i="12"/>
  <c r="AB25" i="12"/>
  <c r="AB50" i="12"/>
  <c r="AB72" i="12"/>
  <c r="AB66" i="12"/>
  <c r="AB80" i="12"/>
  <c r="AB64" i="12"/>
  <c r="AB38" i="12"/>
  <c r="AB52" i="12"/>
  <c r="AB49" i="12"/>
  <c r="AB51" i="12"/>
  <c r="AB32" i="12"/>
  <c r="AB78" i="12"/>
  <c r="AB12" i="12"/>
  <c r="AB18" i="12"/>
  <c r="AB30" i="12"/>
  <c r="AB62" i="12"/>
  <c r="AB74" i="12"/>
  <c r="AB16" i="12"/>
  <c r="J5" i="6"/>
  <c r="D7" i="6"/>
  <c r="C5" i="7" s="1"/>
  <c r="S43" i="4"/>
  <c r="O18" i="4" s="1"/>
  <c r="S51" i="4"/>
  <c r="O26" i="4" s="1"/>
  <c r="T87" i="4"/>
  <c r="T82" i="4"/>
  <c r="T78" i="4"/>
  <c r="T73" i="4"/>
  <c r="T68" i="4"/>
  <c r="T86" i="4"/>
  <c r="T81" i="4"/>
  <c r="T77" i="4"/>
  <c r="T72" i="4"/>
  <c r="T67" i="4"/>
  <c r="T79" i="4"/>
  <c r="T70" i="4"/>
  <c r="T85" i="4"/>
  <c r="T80" i="4"/>
  <c r="T76" i="4"/>
  <c r="T71" i="4"/>
  <c r="T66" i="4"/>
  <c r="T84" i="4"/>
  <c r="T74" i="4"/>
  <c r="E12" i="4"/>
  <c r="E16" i="4"/>
  <c r="E21" i="4"/>
  <c r="Q9" i="4"/>
  <c r="Q16" i="4"/>
  <c r="Q21" i="4"/>
  <c r="Q29" i="4"/>
  <c r="G37" i="4"/>
  <c r="C12" i="4" s="1"/>
  <c r="E13" i="4"/>
  <c r="E23" i="4"/>
  <c r="E28" i="4"/>
  <c r="Q10" i="4"/>
  <c r="V85" i="4"/>
  <c r="Q27" i="4"/>
  <c r="V27" i="4" s="1"/>
  <c r="E9" i="4"/>
  <c r="E14" i="4"/>
  <c r="E19" i="4"/>
  <c r="E24" i="4"/>
  <c r="E29" i="4"/>
  <c r="Q19" i="4"/>
  <c r="E10" i="4"/>
  <c r="E15" i="4"/>
  <c r="E20" i="4"/>
  <c r="E26" i="4"/>
  <c r="Q15" i="4"/>
  <c r="Q20" i="4"/>
  <c r="Q28" i="4"/>
  <c r="F7" i="5"/>
  <c r="F11" i="5"/>
  <c r="F37" i="5"/>
  <c r="F23" i="6"/>
  <c r="J112" i="4"/>
  <c r="E27" i="4"/>
  <c r="J27" i="4" s="1"/>
  <c r="T93" i="4"/>
  <c r="T94" i="4"/>
  <c r="F93" i="4"/>
  <c r="E8" i="4"/>
  <c r="R103" i="4"/>
  <c r="Q18" i="4"/>
  <c r="R108" i="4"/>
  <c r="Q23" i="4"/>
  <c r="V97" i="4"/>
  <c r="Q12" i="4"/>
  <c r="R95" i="4"/>
  <c r="Q8" i="4"/>
  <c r="F16" i="5"/>
  <c r="F29" i="5"/>
  <c r="J34" i="6"/>
  <c r="K26" i="7" s="1"/>
  <c r="F22" i="6"/>
  <c r="F5" i="6"/>
  <c r="J17" i="6"/>
  <c r="K13" i="7" s="1"/>
  <c r="F53" i="6"/>
  <c r="E38" i="7" s="1"/>
  <c r="J40" i="6"/>
  <c r="K31" i="7" s="1"/>
  <c r="J45" i="6"/>
  <c r="K34" i="7" s="1"/>
  <c r="J10" i="6"/>
  <c r="K8" i="7" s="1"/>
  <c r="F43" i="6"/>
  <c r="E33" i="7" s="1"/>
  <c r="J54" i="6"/>
  <c r="J16" i="7"/>
  <c r="J18" i="7"/>
  <c r="J63" i="6"/>
  <c r="K44" i="7" s="1"/>
  <c r="F17" i="5"/>
  <c r="F8" i="5"/>
  <c r="F51" i="5"/>
  <c r="F28" i="5"/>
  <c r="F12" i="5"/>
  <c r="F26" i="5"/>
  <c r="R93" i="4"/>
  <c r="R98" i="4"/>
  <c r="R107" i="4"/>
  <c r="D106" i="4"/>
  <c r="F46" i="4" s="1"/>
  <c r="J99" i="4"/>
  <c r="V82" i="4"/>
  <c r="I97" i="4"/>
  <c r="R99" i="4"/>
  <c r="O46" i="4"/>
  <c r="AD50" i="11" s="1"/>
  <c r="P86" i="4"/>
  <c r="P53" i="4" s="1"/>
  <c r="V70" i="4"/>
  <c r="J113" i="4"/>
  <c r="O37" i="4"/>
  <c r="AD41" i="11" s="1"/>
  <c r="U78" i="4"/>
  <c r="P76" i="4"/>
  <c r="P43" i="4" s="1"/>
  <c r="D108" i="4"/>
  <c r="F48" i="4" s="1"/>
  <c r="F53" i="5"/>
  <c r="F49" i="5"/>
  <c r="F38" i="5"/>
  <c r="F30" i="5"/>
  <c r="F31" i="5"/>
  <c r="F41" i="5"/>
  <c r="F42" i="5"/>
  <c r="J71" i="4"/>
  <c r="T104" i="4"/>
  <c r="H86" i="4"/>
  <c r="L82" i="4"/>
  <c r="R85" i="4"/>
  <c r="G27" i="4"/>
  <c r="S19" i="4"/>
  <c r="P74" i="4"/>
  <c r="P41" i="4" s="1"/>
  <c r="W79" i="4"/>
  <c r="X79" i="4" s="1"/>
  <c r="K78" i="4"/>
  <c r="J81" i="4"/>
  <c r="I78" i="4"/>
  <c r="I82" i="4"/>
  <c r="V86" i="4"/>
  <c r="J76" i="4"/>
  <c r="P70" i="4"/>
  <c r="P37" i="4" s="1"/>
  <c r="W66" i="4"/>
  <c r="X66" i="4" s="1"/>
  <c r="P82" i="4"/>
  <c r="P49" i="4" s="1"/>
  <c r="P66" i="4"/>
  <c r="P33" i="4" s="1"/>
  <c r="T107" i="4"/>
  <c r="P84" i="4"/>
  <c r="P51" i="4" s="1"/>
  <c r="U66" i="4"/>
  <c r="G22" i="4"/>
  <c r="P79" i="4"/>
  <c r="P46" i="4" s="1"/>
  <c r="H78" i="4"/>
  <c r="U86" i="4"/>
  <c r="P78" i="4"/>
  <c r="P45" i="4" s="1"/>
  <c r="U107" i="4"/>
  <c r="W70" i="4"/>
  <c r="X70" i="4" s="1"/>
  <c r="W82" i="4"/>
  <c r="X82" i="4" s="1"/>
  <c r="F84" i="4"/>
  <c r="I67" i="4"/>
  <c r="V78" i="4"/>
  <c r="K70" i="4"/>
  <c r="L81" i="4"/>
  <c r="L78" i="4"/>
  <c r="J78" i="4"/>
  <c r="G20" i="4"/>
  <c r="R97" i="4"/>
  <c r="R114" i="4"/>
  <c r="U103" i="4"/>
  <c r="S8" i="4"/>
  <c r="T8" i="4" s="1"/>
  <c r="I87" i="4"/>
  <c r="K82" i="4"/>
  <c r="S14" i="4"/>
  <c r="I95" i="4"/>
  <c r="K84" i="4"/>
  <c r="W73" i="4"/>
  <c r="X73" i="4" s="1"/>
  <c r="W108" i="4"/>
  <c r="J22" i="4"/>
  <c r="V105" i="4"/>
  <c r="V111" i="4"/>
  <c r="I100" i="4"/>
  <c r="K111" i="4"/>
  <c r="P106" i="4"/>
  <c r="R46" i="4" s="1"/>
  <c r="V81" i="4"/>
  <c r="J82" i="4"/>
  <c r="D104" i="4"/>
  <c r="F44" i="4" s="1"/>
  <c r="J95" i="4"/>
  <c r="X94" i="4"/>
  <c r="U111" i="4"/>
  <c r="R111" i="4"/>
  <c r="J70" i="4"/>
  <c r="L74" i="4"/>
  <c r="J101" i="4"/>
  <c r="I101" i="4"/>
  <c r="R105" i="4"/>
  <c r="K97" i="4"/>
  <c r="H80" i="4"/>
  <c r="R94" i="4"/>
  <c r="U104" i="4"/>
  <c r="R78" i="4"/>
  <c r="F55" i="5"/>
  <c r="F46" i="5"/>
  <c r="F36" i="5"/>
  <c r="F27" i="5"/>
  <c r="J67" i="6"/>
  <c r="F54" i="5"/>
  <c r="F50" i="5"/>
  <c r="F45" i="5"/>
  <c r="F40" i="5"/>
  <c r="F35" i="5"/>
  <c r="E49" i="7"/>
  <c r="F49" i="6"/>
  <c r="E36" i="7" s="1"/>
  <c r="H73" i="4"/>
  <c r="H79" i="4"/>
  <c r="J87" i="4"/>
  <c r="O41" i="4"/>
  <c r="AD45" i="11" s="1"/>
  <c r="L84" i="4"/>
  <c r="W77" i="4"/>
  <c r="H76" i="4"/>
  <c r="K68" i="4"/>
  <c r="H85" i="4"/>
  <c r="L66" i="4"/>
  <c r="L70" i="4"/>
  <c r="K74" i="4"/>
  <c r="O34" i="4"/>
  <c r="AD38" i="11" s="1"/>
  <c r="H82" i="4"/>
  <c r="G12" i="4"/>
  <c r="P77" i="4"/>
  <c r="P44" i="4" s="1"/>
  <c r="O44" i="4"/>
  <c r="AD48" i="11" s="1"/>
  <c r="H71" i="4"/>
  <c r="H81" i="4"/>
  <c r="H77" i="4"/>
  <c r="H74" i="4"/>
  <c r="H70" i="4"/>
  <c r="H84" i="4"/>
  <c r="U77" i="4"/>
  <c r="V67" i="4"/>
  <c r="F48" i="5"/>
  <c r="J11" i="7"/>
  <c r="J19" i="6"/>
  <c r="T105" i="4"/>
  <c r="V103" i="4"/>
  <c r="T98" i="4"/>
  <c r="T112" i="4"/>
  <c r="S13" i="4"/>
  <c r="I112" i="4"/>
  <c r="R101" i="4"/>
  <c r="R106" i="4"/>
  <c r="Q44" i="4"/>
  <c r="AD74" i="11" s="1"/>
  <c r="X105" i="4"/>
  <c r="I27" i="6"/>
  <c r="J19" i="7" s="1"/>
  <c r="J38" i="7"/>
  <c r="I37" i="6"/>
  <c r="J28" i="7" s="1"/>
  <c r="J14" i="6"/>
  <c r="K11" i="7" s="1"/>
  <c r="J44" i="6"/>
  <c r="J48" i="6"/>
  <c r="D26" i="7"/>
  <c r="F16" i="6"/>
  <c r="E12" i="7" s="1"/>
  <c r="D11" i="7"/>
  <c r="J30" i="6"/>
  <c r="K22" i="7" s="1"/>
  <c r="J12" i="6"/>
  <c r="K9" i="7" s="1"/>
  <c r="D36" i="7"/>
  <c r="J36" i="6"/>
  <c r="K27" i="7" s="1"/>
  <c r="D18" i="7"/>
  <c r="D37" i="6"/>
  <c r="C28" i="7" s="1"/>
  <c r="F32" i="6"/>
  <c r="E24" i="7" s="1"/>
  <c r="D64" i="6"/>
  <c r="C44" i="7"/>
  <c r="F17" i="6"/>
  <c r="E13" i="7" s="1"/>
  <c r="J33" i="6"/>
  <c r="K25" i="7" s="1"/>
  <c r="J47" i="6"/>
  <c r="K35" i="7" s="1"/>
  <c r="F12" i="6"/>
  <c r="E9" i="7" s="1"/>
  <c r="I31" i="7"/>
  <c r="C11" i="7"/>
  <c r="I15" i="7"/>
  <c r="F13" i="6"/>
  <c r="E10" i="7" s="1"/>
  <c r="H37" i="6"/>
  <c r="I28" i="7" s="1"/>
  <c r="J18" i="6"/>
  <c r="K14" i="7" s="1"/>
  <c r="F25" i="5"/>
  <c r="F33" i="5"/>
  <c r="F34" i="5"/>
  <c r="F43" i="5"/>
  <c r="D76" i="4"/>
  <c r="D43" i="4" s="1"/>
  <c r="K67" i="4"/>
  <c r="L87" i="4"/>
  <c r="R73" i="4"/>
  <c r="V79" i="4"/>
  <c r="R84" i="4"/>
  <c r="F10" i="5"/>
  <c r="F15" i="5"/>
  <c r="F19" i="5"/>
  <c r="J100" i="4"/>
  <c r="D111" i="4"/>
  <c r="F51" i="4" s="1"/>
  <c r="W71" i="4"/>
  <c r="X71" i="4" s="1"/>
  <c r="K81" i="4"/>
  <c r="J68" i="4"/>
  <c r="E43" i="4"/>
  <c r="G43" i="4" s="1"/>
  <c r="H87" i="4"/>
  <c r="K77" i="4"/>
  <c r="J103" i="4"/>
  <c r="P85" i="4"/>
  <c r="P52" i="4" s="1"/>
  <c r="L79" i="4"/>
  <c r="S20" i="4"/>
  <c r="V71" i="4"/>
  <c r="D100" i="4"/>
  <c r="F40" i="4" s="1"/>
  <c r="F85" i="4"/>
  <c r="L77" i="4"/>
  <c r="F6" i="6"/>
  <c r="V108" i="4"/>
  <c r="P71" i="4"/>
  <c r="P38" i="4" s="1"/>
  <c r="W105" i="4"/>
  <c r="F67" i="4"/>
  <c r="L72" i="4"/>
  <c r="D70" i="6"/>
  <c r="I80" i="4"/>
  <c r="O95" i="4"/>
  <c r="V95" i="4" s="1"/>
  <c r="L94" i="4"/>
  <c r="J80" i="4"/>
  <c r="U87" i="4"/>
  <c r="W85" i="4"/>
  <c r="U71" i="4"/>
  <c r="G21" i="4"/>
  <c r="F73" i="4"/>
  <c r="S27" i="4"/>
  <c r="X27" i="4" s="1"/>
  <c r="W78" i="4"/>
  <c r="X78" i="4" s="1"/>
  <c r="D45" i="7"/>
  <c r="L85" i="4"/>
  <c r="O52" i="4"/>
  <c r="AD56" i="11" s="1"/>
  <c r="L111" i="4"/>
  <c r="L112" i="4"/>
  <c r="U68" i="4"/>
  <c r="J74" i="4"/>
  <c r="L76" i="4"/>
  <c r="F104" i="4"/>
  <c r="F109" i="4"/>
  <c r="D82" i="4"/>
  <c r="D49" i="4" s="1"/>
  <c r="O35" i="4"/>
  <c r="AD39" i="11" s="1"/>
  <c r="F14" i="5"/>
  <c r="F18" i="5"/>
  <c r="F22" i="5"/>
  <c r="I98" i="4"/>
  <c r="J85" i="4"/>
  <c r="F105" i="4"/>
  <c r="D68" i="4"/>
  <c r="D35" i="4" s="1"/>
  <c r="C35" i="4"/>
  <c r="U79" i="4"/>
  <c r="L68" i="4"/>
  <c r="I81" i="4"/>
  <c r="U70" i="4"/>
  <c r="F98" i="4"/>
  <c r="I106" i="4"/>
  <c r="I76" i="4"/>
  <c r="S22" i="4"/>
  <c r="X22" i="4" s="1"/>
  <c r="D74" i="4"/>
  <c r="D41" i="4" s="1"/>
  <c r="D81" i="4"/>
  <c r="D48" i="4" s="1"/>
  <c r="I72" i="4"/>
  <c r="C47" i="4"/>
  <c r="C48" i="4" s="1"/>
  <c r="C49" i="4" s="1"/>
  <c r="D103" i="4"/>
  <c r="F43" i="4" s="1"/>
  <c r="F108" i="4"/>
  <c r="E34" i="4"/>
  <c r="L67" i="4"/>
  <c r="I68" i="4"/>
  <c r="U84" i="4"/>
  <c r="I74" i="4"/>
  <c r="D80" i="4"/>
  <c r="D47" i="4" s="1"/>
  <c r="K66" i="4"/>
  <c r="D98" i="4"/>
  <c r="F38" i="4" s="1"/>
  <c r="W107" i="4"/>
  <c r="D97" i="4"/>
  <c r="F37" i="4" s="1"/>
  <c r="D93" i="4"/>
  <c r="F33" i="4" s="1"/>
  <c r="E33" i="4"/>
  <c r="U94" i="4"/>
  <c r="D78" i="4"/>
  <c r="D45" i="4" s="1"/>
  <c r="F74" i="4"/>
  <c r="F72" i="4"/>
  <c r="D77" i="4"/>
  <c r="D44" i="4" s="1"/>
  <c r="D95" i="4"/>
  <c r="F35" i="4" s="1"/>
  <c r="D34" i="4"/>
  <c r="F24" i="5"/>
  <c r="F20" i="5"/>
  <c r="T111" i="4"/>
  <c r="K49" i="7"/>
  <c r="U73" i="4"/>
  <c r="W74" i="4"/>
  <c r="X74" i="4" s="1"/>
  <c r="K86" i="4"/>
  <c r="W86" i="4"/>
  <c r="X86" i="4" s="1"/>
  <c r="K72" i="4"/>
  <c r="D87" i="4"/>
  <c r="D54" i="4" s="1"/>
  <c r="K80" i="4"/>
  <c r="Q34" i="4"/>
  <c r="AD64" i="11" s="1"/>
  <c r="D84" i="4"/>
  <c r="D51" i="4" s="1"/>
  <c r="I66" i="4"/>
  <c r="D114" i="4"/>
  <c r="F54" i="4" s="1"/>
  <c r="D101" i="4"/>
  <c r="F41" i="4" s="1"/>
  <c r="G26" i="4"/>
  <c r="D113" i="4"/>
  <c r="F53" i="4" s="1"/>
  <c r="D70" i="4"/>
  <c r="D37" i="4" s="1"/>
  <c r="F78" i="4"/>
  <c r="F76" i="4"/>
  <c r="F80" i="4"/>
  <c r="I70" i="4"/>
  <c r="K87" i="4"/>
  <c r="F112" i="4"/>
  <c r="F95" i="4"/>
  <c r="D94" i="4"/>
  <c r="F34" i="4" s="1"/>
  <c r="F5" i="5"/>
  <c r="D33" i="4"/>
  <c r="C33" i="4"/>
  <c r="D58" i="4" s="1"/>
  <c r="K106" i="4"/>
  <c r="F111" i="4"/>
  <c r="D105" i="4"/>
  <c r="F45" i="4" s="1"/>
  <c r="W80" i="4"/>
  <c r="K79" i="4"/>
  <c r="I85" i="4"/>
  <c r="W93" i="4"/>
  <c r="K94" i="4"/>
  <c r="P81" i="4"/>
  <c r="P48" i="4" s="1"/>
  <c r="P87" i="4"/>
  <c r="P54" i="4" s="1"/>
  <c r="S15" i="4"/>
  <c r="R100" i="4"/>
  <c r="L71" i="4"/>
  <c r="F77" i="4"/>
  <c r="F71" i="4"/>
  <c r="R77" i="4"/>
  <c r="R68" i="4"/>
  <c r="R79" i="4"/>
  <c r="H72" i="4"/>
  <c r="K85" i="4"/>
  <c r="I77" i="4"/>
  <c r="J72" i="4"/>
  <c r="V76" i="4"/>
  <c r="U76" i="4"/>
  <c r="P94" i="4"/>
  <c r="R34" i="4" s="1"/>
  <c r="J79" i="4"/>
  <c r="R66" i="4"/>
  <c r="D73" i="4"/>
  <c r="D40" i="4" s="1"/>
  <c r="D71" i="4"/>
  <c r="D38" i="4" s="1"/>
  <c r="U81" i="4"/>
  <c r="P107" i="4"/>
  <c r="R47" i="4" s="1"/>
  <c r="D79" i="4"/>
  <c r="D46" i="4" s="1"/>
  <c r="P68" i="4"/>
  <c r="P35" i="4" s="1"/>
  <c r="V68" i="4"/>
  <c r="C38" i="4"/>
  <c r="I94" i="4"/>
  <c r="E40" i="4"/>
  <c r="J106" i="4"/>
  <c r="T99" i="4"/>
  <c r="U85" i="4"/>
  <c r="R86" i="4"/>
  <c r="R71" i="4"/>
  <c r="C52" i="4"/>
  <c r="P111" i="4"/>
  <c r="R51" i="4" s="1"/>
  <c r="R72" i="4"/>
  <c r="D85" i="4"/>
  <c r="D52" i="4" s="1"/>
  <c r="J98" i="4"/>
  <c r="K71" i="4"/>
  <c r="F86" i="4"/>
  <c r="E38" i="4"/>
  <c r="O40" i="4"/>
  <c r="AD44" i="11" s="1"/>
  <c r="V106" i="4"/>
  <c r="R109" i="4"/>
  <c r="R82" i="4"/>
  <c r="R81" i="4"/>
  <c r="V87" i="4"/>
  <c r="C54" i="4"/>
  <c r="D72" i="4"/>
  <c r="D39" i="4" s="1"/>
  <c r="I79" i="4"/>
  <c r="G9" i="4"/>
  <c r="W68" i="4"/>
  <c r="X68" i="4" s="1"/>
  <c r="P73" i="4"/>
  <c r="P40" i="4" s="1"/>
  <c r="U106" i="4"/>
  <c r="I71" i="4"/>
  <c r="R87" i="4"/>
  <c r="V66" i="4"/>
  <c r="R76" i="4"/>
  <c r="R67" i="4"/>
  <c r="W87" i="4"/>
  <c r="X87" i="4" s="1"/>
  <c r="W76" i="4"/>
  <c r="X76" i="4" s="1"/>
  <c r="F67" i="6"/>
  <c r="J94" i="4"/>
  <c r="D86" i="4"/>
  <c r="D53" i="4" s="1"/>
  <c r="W112" i="4"/>
  <c r="P105" i="4"/>
  <c r="R45" i="4" s="1"/>
  <c r="T100" i="4"/>
  <c r="P99" i="4"/>
  <c r="R39" i="4" s="1"/>
  <c r="T106" i="4"/>
  <c r="W106" i="4"/>
  <c r="F9" i="5"/>
  <c r="F21" i="5"/>
  <c r="S95" i="4"/>
  <c r="S10" i="4" s="1"/>
  <c r="X108" i="4"/>
  <c r="V73" i="4"/>
  <c r="V84" i="4"/>
  <c r="U105" i="4"/>
  <c r="F36" i="6"/>
  <c r="E27" i="7" s="1"/>
  <c r="J46" i="6"/>
  <c r="F24" i="6"/>
  <c r="E17" i="7" s="1"/>
  <c r="C45" i="7"/>
  <c r="F48" i="6"/>
  <c r="J32" i="6"/>
  <c r="K24" i="7" s="1"/>
  <c r="F26" i="6"/>
  <c r="F20" i="6"/>
  <c r="I64" i="6"/>
  <c r="F40" i="6"/>
  <c r="E31" i="7" s="1"/>
  <c r="F33" i="6"/>
  <c r="E25" i="7" s="1"/>
  <c r="E37" i="6"/>
  <c r="D25" i="7"/>
  <c r="I18" i="7"/>
  <c r="J25" i="6"/>
  <c r="I33" i="7"/>
  <c r="J43" i="6"/>
  <c r="K33" i="7" s="1"/>
  <c r="U74" i="4"/>
  <c r="V74" i="4"/>
  <c r="R74" i="4"/>
  <c r="V22" i="4"/>
  <c r="R80" i="4"/>
  <c r="V80" i="4"/>
  <c r="F6" i="5"/>
  <c r="E70" i="6"/>
  <c r="J109" i="4"/>
  <c r="I109" i="4"/>
  <c r="X111" i="4"/>
  <c r="W111" i="4"/>
  <c r="C14" i="7"/>
  <c r="F18" i="6"/>
  <c r="E14" i="7" s="1"/>
  <c r="H64" i="6"/>
  <c r="J6" i="6"/>
  <c r="I45" i="7"/>
  <c r="D31" i="7"/>
  <c r="E64" i="6"/>
  <c r="P72" i="4"/>
  <c r="P39" i="4" s="1"/>
  <c r="W72" i="4"/>
  <c r="X72" i="4" s="1"/>
  <c r="O39" i="4"/>
  <c r="S39" i="4" s="1"/>
  <c r="AD17" i="11" s="1"/>
  <c r="V72" i="4"/>
  <c r="U80" i="4"/>
  <c r="H27" i="6"/>
  <c r="U72" i="4"/>
  <c r="S26" i="4"/>
  <c r="W84" i="4"/>
  <c r="D27" i="6"/>
  <c r="D34" i="7"/>
  <c r="F45" i="6"/>
  <c r="E34" i="7" s="1"/>
  <c r="U67" i="4"/>
  <c r="G14" i="4"/>
  <c r="D8" i="7"/>
  <c r="E27" i="6"/>
  <c r="I16" i="7"/>
  <c r="J22" i="6"/>
  <c r="J41" i="6"/>
  <c r="K32" i="7" s="1"/>
  <c r="I32" i="7"/>
  <c r="L98" i="4"/>
  <c r="G13" i="4"/>
  <c r="I42" i="7"/>
  <c r="J61" i="6"/>
  <c r="K42" i="7" s="1"/>
  <c r="W67" i="4"/>
  <c r="X67" i="4" s="1"/>
  <c r="F10" i="6"/>
  <c r="E8" i="7" s="1"/>
  <c r="W94" i="4"/>
  <c r="W81" i="4"/>
  <c r="X81" i="4" s="1"/>
  <c r="K98" i="4"/>
  <c r="S9" i="4"/>
  <c r="K76" i="4"/>
  <c r="C31" i="7"/>
  <c r="C18" i="7"/>
  <c r="P80" i="4"/>
  <c r="P47" i="4" s="1"/>
  <c r="P108" i="4"/>
  <c r="R48" i="4" s="1"/>
  <c r="U93" i="4"/>
  <c r="P112" i="4"/>
  <c r="R52" i="4" s="1"/>
  <c r="V93" i="4"/>
  <c r="P93" i="4"/>
  <c r="R33" i="4" s="1"/>
  <c r="Q33" i="4"/>
  <c r="S33" i="4" s="1"/>
  <c r="AD11" i="11" s="1"/>
  <c r="P103" i="4"/>
  <c r="R43" i="4" s="1"/>
  <c r="P104" i="4"/>
  <c r="R44" i="4" s="1"/>
  <c r="I73" i="4"/>
  <c r="L73" i="4"/>
  <c r="J73" i="4"/>
  <c r="K73" i="4"/>
  <c r="J86" i="4"/>
  <c r="I86" i="4"/>
  <c r="L86" i="4"/>
  <c r="F87" i="4"/>
  <c r="F68" i="4"/>
  <c r="F82" i="4"/>
  <c r="F81" i="4"/>
  <c r="F79" i="4"/>
  <c r="F66" i="4"/>
  <c r="F70" i="4"/>
  <c r="F47" i="6"/>
  <c r="E35" i="7" s="1"/>
  <c r="J45" i="7"/>
  <c r="P67" i="4"/>
  <c r="P34" i="4" s="1"/>
  <c r="F14" i="6"/>
  <c r="F52" i="5"/>
  <c r="J36" i="7"/>
  <c r="J49" i="6"/>
  <c r="K36" i="7" s="1"/>
  <c r="D109" i="4"/>
  <c r="F49" i="4" s="1"/>
  <c r="S21" i="4"/>
  <c r="D112" i="4"/>
  <c r="F52" i="4" s="1"/>
  <c r="W104" i="4"/>
  <c r="U108" i="4"/>
  <c r="U98" i="4"/>
  <c r="P98" i="4"/>
  <c r="R38" i="4" s="1"/>
  <c r="Q38" i="4"/>
  <c r="S38" i="4" s="1"/>
  <c r="AD16" i="11" s="1"/>
  <c r="V98" i="4"/>
  <c r="X98" i="4"/>
  <c r="W98" i="4"/>
  <c r="H97" i="4"/>
  <c r="H98" i="4"/>
  <c r="H111" i="4"/>
  <c r="H112" i="4"/>
  <c r="H93" i="4"/>
  <c r="H107" i="4"/>
  <c r="K93" i="4"/>
  <c r="H106" i="4"/>
  <c r="L93" i="4"/>
  <c r="H103" i="4"/>
  <c r="H100" i="4"/>
  <c r="H104" i="4"/>
  <c r="H99" i="4"/>
  <c r="G95" i="4"/>
  <c r="T97" i="4"/>
  <c r="S12" i="4"/>
  <c r="X97" i="4"/>
  <c r="G8" i="4"/>
  <c r="H105" i="4"/>
  <c r="O100" i="4"/>
  <c r="V100" i="4" s="1"/>
  <c r="G15" i="4"/>
  <c r="L100" i="4"/>
  <c r="W103" i="4"/>
  <c r="S18" i="4"/>
  <c r="X103" i="4"/>
  <c r="T103" i="4"/>
  <c r="K105" i="4"/>
  <c r="I105" i="4"/>
  <c r="L105" i="4"/>
  <c r="E45" i="4"/>
  <c r="G45" i="4" s="1"/>
  <c r="J105" i="4"/>
  <c r="Q37" i="4"/>
  <c r="AD67" i="11" s="1"/>
  <c r="P97" i="4"/>
  <c r="R37" i="4" s="1"/>
  <c r="W97" i="4"/>
  <c r="X99" i="4"/>
  <c r="W99" i="4"/>
  <c r="L104" i="4"/>
  <c r="G19" i="4"/>
  <c r="J108" i="4"/>
  <c r="I108" i="4"/>
  <c r="R113" i="4"/>
  <c r="U97" i="4"/>
  <c r="K107" i="4"/>
  <c r="D107" i="4"/>
  <c r="F47" i="4" s="1"/>
  <c r="I107" i="4"/>
  <c r="E47" i="4"/>
  <c r="T108" i="4"/>
  <c r="H94" i="4"/>
  <c r="S23" i="4"/>
  <c r="J104" i="4"/>
  <c r="I104" i="4"/>
  <c r="R104" i="4"/>
  <c r="V104" i="4"/>
  <c r="K104" i="4"/>
  <c r="I111" i="4"/>
  <c r="E51" i="4"/>
  <c r="G51" i="4" s="1"/>
  <c r="G108" i="4"/>
  <c r="H108" i="4" s="1"/>
  <c r="K103" i="4"/>
  <c r="L103" i="4"/>
  <c r="G18" i="4"/>
  <c r="F100" i="4"/>
  <c r="F94" i="4"/>
  <c r="F101" i="4"/>
  <c r="F107" i="4"/>
  <c r="J93" i="4"/>
  <c r="F114" i="4"/>
  <c r="I93" i="4"/>
  <c r="F99" i="4"/>
  <c r="F97" i="4"/>
  <c r="F106" i="4"/>
  <c r="F113" i="4"/>
  <c r="F103" i="4"/>
  <c r="J111" i="4"/>
  <c r="J114" i="4"/>
  <c r="I114" i="4"/>
  <c r="I99" i="4"/>
  <c r="L99" i="4"/>
  <c r="K99" i="4"/>
  <c r="E39" i="4"/>
  <c r="G39" i="4" s="1"/>
  <c r="D99" i="4"/>
  <c r="F39" i="4" s="1"/>
  <c r="K100" i="4"/>
  <c r="K112" i="4"/>
  <c r="U99" i="4"/>
  <c r="U112" i="4"/>
  <c r="V112" i="4"/>
  <c r="V99" i="4"/>
  <c r="R112" i="4"/>
  <c r="G54" i="16"/>
  <c r="S40" i="16"/>
  <c r="Q46" i="16"/>
  <c r="S49" i="16"/>
  <c r="G47" i="16"/>
  <c r="G50" i="16"/>
  <c r="G49" i="16"/>
  <c r="E41" i="16"/>
  <c r="Q49" i="16"/>
  <c r="Q41" i="16"/>
  <c r="E50" i="16"/>
  <c r="S54" i="16"/>
  <c r="Q36" i="16"/>
  <c r="G48" i="16"/>
  <c r="S48" i="16"/>
  <c r="S47" i="16"/>
  <c r="G46" i="16"/>
  <c r="G40" i="16"/>
  <c r="G41" i="16"/>
  <c r="E48" i="16"/>
  <c r="G37" i="16"/>
  <c r="S42" i="16"/>
  <c r="E42" i="16"/>
  <c r="Q55" i="16"/>
  <c r="Q54" i="16"/>
  <c r="Q40" i="16"/>
  <c r="S37" i="16"/>
  <c r="E46" i="16"/>
  <c r="G55" i="16"/>
  <c r="S50" i="16"/>
  <c r="Q42" i="16"/>
  <c r="E47" i="16"/>
  <c r="S46" i="16"/>
  <c r="G36" i="16"/>
  <c r="E37" i="16"/>
  <c r="S41" i="16"/>
  <c r="S55" i="16"/>
  <c r="Q48" i="16"/>
  <c r="Q47" i="16"/>
  <c r="E54" i="16"/>
  <c r="E55" i="16"/>
  <c r="S36" i="16"/>
  <c r="E49" i="16"/>
  <c r="G42" i="16"/>
  <c r="E36" i="16"/>
  <c r="Q50" i="16"/>
  <c r="Q37" i="16"/>
  <c r="E40" i="16"/>
  <c r="E18" i="7" l="1"/>
  <c r="E11" i="7"/>
  <c r="P54" i="16"/>
  <c r="N33" i="16"/>
  <c r="AD68" i="11"/>
  <c r="AD21" i="11"/>
  <c r="AD43" i="11"/>
  <c r="AD63" i="11"/>
  <c r="AD23" i="11"/>
  <c r="AD29" i="11"/>
  <c r="AD25" i="11"/>
  <c r="F7" i="6"/>
  <c r="E5" i="7" s="1"/>
  <c r="AF9" i="4"/>
  <c r="J7" i="6"/>
  <c r="K5" i="7" s="1"/>
  <c r="K16" i="7"/>
  <c r="K15" i="7"/>
  <c r="J37" i="6"/>
  <c r="K28" i="7" s="1"/>
  <c r="K18" i="7"/>
  <c r="E16" i="7"/>
  <c r="E15" i="7"/>
  <c r="E70" i="16"/>
  <c r="S34" i="4"/>
  <c r="AD12" i="11" s="1"/>
  <c r="G47" i="4"/>
  <c r="C22" i="4" s="1"/>
  <c r="L22" i="4" s="1"/>
  <c r="Q16" i="16"/>
  <c r="V16" i="16" s="1"/>
  <c r="U42" i="16"/>
  <c r="V42" i="16"/>
  <c r="E28" i="16"/>
  <c r="S24" i="16"/>
  <c r="X24" i="16" s="1"/>
  <c r="X50" i="16"/>
  <c r="W50" i="16"/>
  <c r="E14" i="16"/>
  <c r="E43" i="16"/>
  <c r="F43" i="16" s="1"/>
  <c r="E51" i="16"/>
  <c r="F51" i="16" s="1"/>
  <c r="E20" i="16"/>
  <c r="E11" i="16"/>
  <c r="J55" i="16"/>
  <c r="E29" i="16"/>
  <c r="J29" i="16" s="1"/>
  <c r="X55" i="16"/>
  <c r="S29" i="16"/>
  <c r="X29" i="16" s="1"/>
  <c r="X54" i="16"/>
  <c r="S28" i="16"/>
  <c r="X28" i="16" s="1"/>
  <c r="H36" i="16"/>
  <c r="H49" i="16"/>
  <c r="H41" i="16"/>
  <c r="H48" i="16"/>
  <c r="H55" i="16"/>
  <c r="H54" i="16"/>
  <c r="G10" i="16"/>
  <c r="H10" i="16" s="1"/>
  <c r="H47" i="16"/>
  <c r="H50" i="16"/>
  <c r="H40" i="16"/>
  <c r="H46" i="16"/>
  <c r="G38" i="16"/>
  <c r="H38" i="16" s="1"/>
  <c r="H37" i="16"/>
  <c r="H42" i="16"/>
  <c r="E16" i="16"/>
  <c r="U47" i="16"/>
  <c r="Q21" i="16"/>
  <c r="V21" i="16" s="1"/>
  <c r="V47" i="16"/>
  <c r="L50" i="16"/>
  <c r="G24" i="16"/>
  <c r="L24" i="16" s="1"/>
  <c r="G16" i="16"/>
  <c r="V41" i="16"/>
  <c r="Q15" i="16"/>
  <c r="V15" i="16" s="1"/>
  <c r="U41" i="16"/>
  <c r="V55" i="16"/>
  <c r="Q29" i="16"/>
  <c r="V29" i="16" s="1"/>
  <c r="G28" i="16"/>
  <c r="L28" i="16" s="1"/>
  <c r="L54" i="16"/>
  <c r="U48" i="16"/>
  <c r="Q22" i="16"/>
  <c r="V22" i="16" s="1"/>
  <c r="V48" i="16"/>
  <c r="W49" i="16"/>
  <c r="X49" i="16"/>
  <c r="S23" i="16"/>
  <c r="X23" i="16" s="1"/>
  <c r="G14" i="16"/>
  <c r="G43" i="16"/>
  <c r="H43" i="16" s="1"/>
  <c r="E21" i="16"/>
  <c r="J47" i="16"/>
  <c r="W41" i="16"/>
  <c r="X41" i="16"/>
  <c r="S15" i="16"/>
  <c r="X15" i="16" s="1"/>
  <c r="E23" i="16"/>
  <c r="S14" i="16"/>
  <c r="W14" i="16" s="1"/>
  <c r="S43" i="16"/>
  <c r="T43" i="16" s="1"/>
  <c r="W40" i="16"/>
  <c r="X40" i="16"/>
  <c r="G21" i="16"/>
  <c r="L21" i="16" s="1"/>
  <c r="L47" i="16"/>
  <c r="E38" i="16"/>
  <c r="F38" i="16" s="1"/>
  <c r="F47" i="16"/>
  <c r="F40" i="16"/>
  <c r="F41" i="16"/>
  <c r="F42" i="16"/>
  <c r="F55" i="16"/>
  <c r="F36" i="16"/>
  <c r="F37" i="16"/>
  <c r="F50" i="16"/>
  <c r="F54" i="16"/>
  <c r="E10" i="16"/>
  <c r="F10" i="16" s="1"/>
  <c r="F48" i="16"/>
  <c r="F46" i="16"/>
  <c r="F49" i="16"/>
  <c r="W48" i="16"/>
  <c r="S22" i="16"/>
  <c r="X22" i="16" s="1"/>
  <c r="X48" i="16"/>
  <c r="E22" i="16"/>
  <c r="W42" i="16"/>
  <c r="X42" i="16"/>
  <c r="S16" i="16"/>
  <c r="W16" i="16" s="1"/>
  <c r="V50" i="16"/>
  <c r="Q24" i="16"/>
  <c r="V24" i="16" s="1"/>
  <c r="U50" i="16"/>
  <c r="G22" i="16"/>
  <c r="G51" i="16"/>
  <c r="H51" i="16" s="1"/>
  <c r="G20" i="16"/>
  <c r="T55" i="16"/>
  <c r="T48" i="16"/>
  <c r="T41" i="16"/>
  <c r="W36" i="16"/>
  <c r="T54" i="16"/>
  <c r="T47" i="16"/>
  <c r="T40" i="16"/>
  <c r="S10" i="16"/>
  <c r="T50" i="16"/>
  <c r="T46" i="16"/>
  <c r="T37" i="16"/>
  <c r="S38" i="16"/>
  <c r="T38" i="16" s="1"/>
  <c r="T49" i="16"/>
  <c r="T42" i="16"/>
  <c r="T36" i="16"/>
  <c r="X36" i="16"/>
  <c r="G15" i="16"/>
  <c r="Q11" i="16"/>
  <c r="V11" i="16" s="1"/>
  <c r="V37" i="16"/>
  <c r="U37" i="16"/>
  <c r="G11" i="16"/>
  <c r="Q14" i="16"/>
  <c r="U14" i="16" s="1"/>
  <c r="Q43" i="16"/>
  <c r="R43" i="16" s="1"/>
  <c r="V40" i="16"/>
  <c r="U40" i="16"/>
  <c r="V46" i="16"/>
  <c r="Q51" i="16"/>
  <c r="R51" i="16" s="1"/>
  <c r="U46" i="16"/>
  <c r="Q20" i="16"/>
  <c r="V20" i="16" s="1"/>
  <c r="G29" i="16"/>
  <c r="L29" i="16" s="1"/>
  <c r="L55" i="16"/>
  <c r="V49" i="16"/>
  <c r="Q23" i="16"/>
  <c r="U23" i="16" s="1"/>
  <c r="U49" i="16"/>
  <c r="G23" i="16"/>
  <c r="V54" i="16"/>
  <c r="Q28" i="16"/>
  <c r="W46" i="16"/>
  <c r="X46" i="16"/>
  <c r="S20" i="16"/>
  <c r="W20" i="16" s="1"/>
  <c r="S51" i="16"/>
  <c r="T51" i="16" s="1"/>
  <c r="R41" i="16"/>
  <c r="R47" i="16"/>
  <c r="R36" i="16"/>
  <c r="U36" i="16"/>
  <c r="R55" i="16"/>
  <c r="R54" i="16"/>
  <c r="R37" i="16"/>
  <c r="V36" i="16"/>
  <c r="R50" i="16"/>
  <c r="R49" i="16"/>
  <c r="R48" i="16"/>
  <c r="Q10" i="16"/>
  <c r="R10" i="16" s="1"/>
  <c r="R46" i="16"/>
  <c r="R40" i="16"/>
  <c r="R42" i="16"/>
  <c r="Q38" i="16"/>
  <c r="R38" i="16" s="1"/>
  <c r="W37" i="16"/>
  <c r="S11" i="16"/>
  <c r="W11" i="16" s="1"/>
  <c r="X37" i="16"/>
  <c r="E15" i="16"/>
  <c r="S21" i="16"/>
  <c r="W21" i="16" s="1"/>
  <c r="X47" i="16"/>
  <c r="W47" i="16"/>
  <c r="J50" i="16"/>
  <c r="E24" i="16"/>
  <c r="J24" i="16" s="1"/>
  <c r="O28" i="16"/>
  <c r="P28" i="16" s="1"/>
  <c r="U54" i="16"/>
  <c r="W54" i="16"/>
  <c r="AG12" i="4"/>
  <c r="AH12" i="4"/>
  <c r="AH19" i="4"/>
  <c r="AG19" i="4"/>
  <c r="AJ68" i="4"/>
  <c r="AE74" i="4"/>
  <c r="AF74" i="4" s="1"/>
  <c r="AE10" i="4"/>
  <c r="AI68" i="4"/>
  <c r="AJ18" i="4"/>
  <c r="AI18" i="4"/>
  <c r="AH27" i="4"/>
  <c r="AG27" i="4"/>
  <c r="AJ27" i="4"/>
  <c r="AI27" i="4"/>
  <c r="AD21" i="4"/>
  <c r="AD8" i="4"/>
  <c r="AD27" i="4"/>
  <c r="AD12" i="4"/>
  <c r="AD18" i="4"/>
  <c r="AD14" i="4"/>
  <c r="AD22" i="4"/>
  <c r="AD13" i="4"/>
  <c r="AD26" i="4"/>
  <c r="AD19" i="4"/>
  <c r="AD20" i="4"/>
  <c r="AH8" i="4"/>
  <c r="AG8" i="4"/>
  <c r="AG20" i="4"/>
  <c r="AH20" i="4"/>
  <c r="AI9" i="4"/>
  <c r="AJ9" i="4"/>
  <c r="AJ19" i="4"/>
  <c r="AI19" i="4"/>
  <c r="AH81" i="4"/>
  <c r="AG81" i="4"/>
  <c r="AC23" i="4"/>
  <c r="AD23" i="4" s="1"/>
  <c r="AJ22" i="4"/>
  <c r="AI22" i="4"/>
  <c r="AJ12" i="4"/>
  <c r="AI12" i="4"/>
  <c r="AG73" i="4"/>
  <c r="AH73" i="4"/>
  <c r="AC15" i="4"/>
  <c r="AD15" i="4" s="1"/>
  <c r="AJ13" i="4"/>
  <c r="AI13" i="4"/>
  <c r="AH18" i="4"/>
  <c r="AG18" i="4"/>
  <c r="AI73" i="4"/>
  <c r="AJ73" i="4"/>
  <c r="AE15" i="4"/>
  <c r="AF15" i="4" s="1"/>
  <c r="AI14" i="4"/>
  <c r="AJ14" i="4"/>
  <c r="AJ20" i="4"/>
  <c r="AI20" i="4"/>
  <c r="AH22" i="4"/>
  <c r="AG22" i="4"/>
  <c r="AH26" i="4"/>
  <c r="AG26" i="4"/>
  <c r="AF22" i="4"/>
  <c r="AF26" i="4"/>
  <c r="AF21" i="4"/>
  <c r="AF27" i="4"/>
  <c r="AF20" i="4"/>
  <c r="AF13" i="4"/>
  <c r="AF12" i="4"/>
  <c r="AF8" i="4"/>
  <c r="AF14" i="4"/>
  <c r="AF18" i="4"/>
  <c r="AF19" i="4"/>
  <c r="AJ8" i="4"/>
  <c r="AI8" i="4"/>
  <c r="AJ81" i="4"/>
  <c r="AI81" i="4"/>
  <c r="AE23" i="4"/>
  <c r="AF23" i="4" s="1"/>
  <c r="AJ26" i="4"/>
  <c r="AI26" i="4"/>
  <c r="AH68" i="4"/>
  <c r="AG68" i="4"/>
  <c r="AC10" i="4"/>
  <c r="AC74" i="4"/>
  <c r="AH13" i="4"/>
  <c r="AG13" i="4"/>
  <c r="AD81" i="4"/>
  <c r="AI21" i="4"/>
  <c r="AJ21" i="4"/>
  <c r="AG9" i="4"/>
  <c r="AG21" i="4"/>
  <c r="AH21" i="4"/>
  <c r="AH14" i="4"/>
  <c r="AG14" i="4"/>
  <c r="F69" i="16"/>
  <c r="F77" i="16"/>
  <c r="S37" i="4"/>
  <c r="F64" i="16"/>
  <c r="R27" i="4"/>
  <c r="O54" i="4"/>
  <c r="AD58" i="11" s="1"/>
  <c r="AB24" i="11"/>
  <c r="AB11" i="11"/>
  <c r="AB12" i="11"/>
  <c r="AB30" i="11"/>
  <c r="AB22" i="11"/>
  <c r="AB21" i="11"/>
  <c r="AB23" i="11"/>
  <c r="AB26" i="11"/>
  <c r="H30" i="11"/>
  <c r="AB18" i="11"/>
  <c r="AB16" i="11"/>
  <c r="H12" i="11"/>
  <c r="AB29" i="11"/>
  <c r="H16" i="11"/>
  <c r="H11" i="11"/>
  <c r="H17" i="11"/>
  <c r="AB17" i="11"/>
  <c r="H21" i="11"/>
  <c r="AB25" i="11"/>
  <c r="H18" i="11"/>
  <c r="H22" i="11"/>
  <c r="AA65" i="11"/>
  <c r="H65" i="11"/>
  <c r="S52" i="4"/>
  <c r="O14" i="4"/>
  <c r="W14" i="4" s="1"/>
  <c r="G52" i="4"/>
  <c r="C27" i="4" s="1"/>
  <c r="L27" i="4" s="1"/>
  <c r="G38" i="4"/>
  <c r="C13" i="4" s="1"/>
  <c r="J13" i="4" s="1"/>
  <c r="S46" i="4"/>
  <c r="G35" i="4"/>
  <c r="C10" i="4" s="1"/>
  <c r="Q48" i="4"/>
  <c r="AD78" i="11" s="1"/>
  <c r="S44" i="4"/>
  <c r="G34" i="4"/>
  <c r="C9" i="4" s="1"/>
  <c r="F56" i="4"/>
  <c r="G33" i="4"/>
  <c r="H37" i="4" s="1"/>
  <c r="G40" i="4"/>
  <c r="C15" i="4" s="1"/>
  <c r="L15" i="4" s="1"/>
  <c r="E45" i="7"/>
  <c r="E46" i="7" s="1"/>
  <c r="I66" i="6"/>
  <c r="I68" i="6" s="1"/>
  <c r="O48" i="4"/>
  <c r="I16" i="4"/>
  <c r="V18" i="4"/>
  <c r="L21" i="4"/>
  <c r="C18" i="4"/>
  <c r="L18" i="4" s="1"/>
  <c r="C53" i="4"/>
  <c r="C57" i="4" s="1"/>
  <c r="C59" i="4" s="1"/>
  <c r="D59" i="4" s="1"/>
  <c r="D55" i="4"/>
  <c r="P58" i="4"/>
  <c r="P56" i="4"/>
  <c r="P55" i="4"/>
  <c r="W95" i="4"/>
  <c r="T15" i="4"/>
  <c r="T21" i="4"/>
  <c r="T9" i="4"/>
  <c r="K21" i="4"/>
  <c r="T22" i="4"/>
  <c r="T19" i="4"/>
  <c r="T20" i="4"/>
  <c r="T14" i="4"/>
  <c r="U95" i="4"/>
  <c r="P95" i="4"/>
  <c r="R35" i="4" s="1"/>
  <c r="T27" i="4"/>
  <c r="T13" i="4"/>
  <c r="V20" i="4"/>
  <c r="T10" i="4"/>
  <c r="U20" i="4"/>
  <c r="F28" i="4"/>
  <c r="F24" i="4"/>
  <c r="X20" i="4"/>
  <c r="L12" i="4"/>
  <c r="I12" i="4"/>
  <c r="J12" i="4"/>
  <c r="U26" i="4"/>
  <c r="K12" i="4"/>
  <c r="F70" i="6"/>
  <c r="J21" i="4"/>
  <c r="J16" i="4"/>
  <c r="V26" i="4"/>
  <c r="D56" i="4"/>
  <c r="R9" i="4"/>
  <c r="I46" i="7"/>
  <c r="R26" i="4"/>
  <c r="C46" i="7"/>
  <c r="R18" i="4"/>
  <c r="R8" i="4"/>
  <c r="R20" i="4"/>
  <c r="R23" i="4"/>
  <c r="R22" i="4"/>
  <c r="R19" i="4"/>
  <c r="R12" i="4"/>
  <c r="F58" i="4"/>
  <c r="F55" i="4"/>
  <c r="W26" i="4"/>
  <c r="I21" i="4"/>
  <c r="W20" i="4"/>
  <c r="U18" i="4"/>
  <c r="S101" i="4"/>
  <c r="S16" i="4" s="1"/>
  <c r="T16" i="4" s="1"/>
  <c r="X26" i="4"/>
  <c r="W22" i="4"/>
  <c r="X95" i="4"/>
  <c r="T26" i="4"/>
  <c r="T95" i="4"/>
  <c r="D28" i="7"/>
  <c r="F37" i="6"/>
  <c r="E28" i="7" s="1"/>
  <c r="I19" i="7"/>
  <c r="J27" i="6"/>
  <c r="R58" i="4"/>
  <c r="Q35" i="4"/>
  <c r="T38" i="4"/>
  <c r="R55" i="4"/>
  <c r="R56" i="4"/>
  <c r="C19" i="7"/>
  <c r="D66" i="6"/>
  <c r="D68" i="6" s="1"/>
  <c r="D71" i="6" s="1"/>
  <c r="F27" i="6"/>
  <c r="J46" i="7"/>
  <c r="J48" i="7" s="1"/>
  <c r="J50" i="7" s="1"/>
  <c r="D46" i="7"/>
  <c r="F64" i="6"/>
  <c r="K45" i="7"/>
  <c r="K46" i="7" s="1"/>
  <c r="J64" i="6"/>
  <c r="H66" i="6"/>
  <c r="H68" i="6" s="1"/>
  <c r="K108" i="4"/>
  <c r="D19" i="7"/>
  <c r="E66" i="6"/>
  <c r="E68" i="6" s="1"/>
  <c r="E71" i="6" s="1"/>
  <c r="U22" i="4"/>
  <c r="X18" i="4"/>
  <c r="T18" i="4"/>
  <c r="W18" i="4"/>
  <c r="G10" i="4"/>
  <c r="H10" i="4" s="1"/>
  <c r="L95" i="4"/>
  <c r="G101" i="4"/>
  <c r="K95" i="4"/>
  <c r="O13" i="4"/>
  <c r="H8" i="4"/>
  <c r="H18" i="4"/>
  <c r="H13" i="4"/>
  <c r="H22" i="4"/>
  <c r="H26" i="4"/>
  <c r="H20" i="4"/>
  <c r="H14" i="4"/>
  <c r="H15" i="4"/>
  <c r="H9" i="4"/>
  <c r="H19" i="4"/>
  <c r="H12" i="4"/>
  <c r="H27" i="4"/>
  <c r="H21" i="4"/>
  <c r="C26" i="4"/>
  <c r="L26" i="4" s="1"/>
  <c r="J19" i="4"/>
  <c r="I19" i="4"/>
  <c r="T23" i="4"/>
  <c r="E48" i="4"/>
  <c r="G48" i="4" s="1"/>
  <c r="Q40" i="4"/>
  <c r="P100" i="4"/>
  <c r="R40" i="4" s="1"/>
  <c r="U100" i="4"/>
  <c r="W100" i="4"/>
  <c r="X100" i="4"/>
  <c r="C14" i="4"/>
  <c r="F12" i="4"/>
  <c r="F23" i="4"/>
  <c r="F14" i="4"/>
  <c r="F15" i="4"/>
  <c r="F19" i="4"/>
  <c r="F8" i="4"/>
  <c r="F9" i="4"/>
  <c r="F10" i="4"/>
  <c r="F13" i="4"/>
  <c r="F22" i="4"/>
  <c r="F27" i="4"/>
  <c r="F20" i="4"/>
  <c r="F21" i="4"/>
  <c r="F29" i="4"/>
  <c r="F18" i="4"/>
  <c r="F26" i="4"/>
  <c r="F16" i="4"/>
  <c r="G23" i="4"/>
  <c r="L108" i="4"/>
  <c r="K19" i="4"/>
  <c r="L19" i="4"/>
  <c r="H95" i="4"/>
  <c r="R15" i="4"/>
  <c r="O101" i="4"/>
  <c r="E54" i="4"/>
  <c r="G54" i="4" s="1"/>
  <c r="T12" i="4"/>
  <c r="R14" i="4"/>
  <c r="R21" i="4"/>
  <c r="R13" i="4"/>
  <c r="O12" i="4" l="1"/>
  <c r="X12" i="4" s="1"/>
  <c r="AD15" i="11"/>
  <c r="S40" i="4"/>
  <c r="AD18" i="11" s="1"/>
  <c r="AD70" i="11"/>
  <c r="AD65" i="11"/>
  <c r="O19" i="4"/>
  <c r="V19" i="4" s="1"/>
  <c r="AD22" i="11"/>
  <c r="O9" i="4"/>
  <c r="V9" i="4" s="1"/>
  <c r="O21" i="4"/>
  <c r="X21" i="4" s="1"/>
  <c r="AD24" i="11"/>
  <c r="O27" i="4"/>
  <c r="U27" i="4" s="1"/>
  <c r="AD30" i="11"/>
  <c r="O49" i="4"/>
  <c r="AD53" i="11" s="1"/>
  <c r="AD52" i="11"/>
  <c r="U15" i="16"/>
  <c r="T24" i="16"/>
  <c r="E83" i="16"/>
  <c r="E78" i="16"/>
  <c r="E82" i="16" s="1"/>
  <c r="F22" i="16"/>
  <c r="U24" i="16"/>
  <c r="V38" i="16"/>
  <c r="R15" i="16"/>
  <c r="E25" i="16"/>
  <c r="F25" i="16" s="1"/>
  <c r="W22" i="16"/>
  <c r="U20" i="16"/>
  <c r="V23" i="16"/>
  <c r="U16" i="16"/>
  <c r="U21" i="16"/>
  <c r="R24" i="16"/>
  <c r="V14" i="4"/>
  <c r="X14" i="4"/>
  <c r="X51" i="16"/>
  <c r="V10" i="16"/>
  <c r="U14" i="4"/>
  <c r="T28" i="16"/>
  <c r="X11" i="16"/>
  <c r="X21" i="16"/>
  <c r="W15" i="16"/>
  <c r="G25" i="16"/>
  <c r="H25" i="16" s="1"/>
  <c r="V14" i="16"/>
  <c r="R16" i="16"/>
  <c r="H22" i="16"/>
  <c r="F29" i="16"/>
  <c r="X38" i="16"/>
  <c r="X14" i="16"/>
  <c r="T10" i="16"/>
  <c r="V51" i="16"/>
  <c r="X20" i="16"/>
  <c r="W23" i="16"/>
  <c r="G17" i="16"/>
  <c r="H17" i="16" s="1"/>
  <c r="H16" i="16"/>
  <c r="U11" i="16"/>
  <c r="T20" i="16"/>
  <c r="T11" i="16"/>
  <c r="H21" i="16"/>
  <c r="H20" i="16"/>
  <c r="S17" i="16"/>
  <c r="T17" i="16" s="1"/>
  <c r="U22" i="16"/>
  <c r="Q25" i="16"/>
  <c r="R25" i="16" s="1"/>
  <c r="W24" i="16"/>
  <c r="S44" i="16"/>
  <c r="T44" i="16" s="1"/>
  <c r="X16" i="16"/>
  <c r="T14" i="16"/>
  <c r="T22" i="16"/>
  <c r="T29" i="16"/>
  <c r="T21" i="16"/>
  <c r="E17" i="16"/>
  <c r="F17" i="16" s="1"/>
  <c r="S12" i="16"/>
  <c r="T12" i="16" s="1"/>
  <c r="W10" i="16"/>
  <c r="T15" i="16"/>
  <c r="T23" i="16"/>
  <c r="H29" i="16"/>
  <c r="H14" i="16"/>
  <c r="H24" i="16"/>
  <c r="X43" i="16"/>
  <c r="X10" i="16"/>
  <c r="H11" i="16"/>
  <c r="H28" i="16"/>
  <c r="W43" i="16"/>
  <c r="U51" i="16"/>
  <c r="W38" i="16"/>
  <c r="T16" i="16"/>
  <c r="W28" i="16"/>
  <c r="H23" i="16"/>
  <c r="H15" i="16"/>
  <c r="F21" i="16"/>
  <c r="E44" i="16"/>
  <c r="F44" i="16" s="1"/>
  <c r="E12" i="16"/>
  <c r="F14" i="16"/>
  <c r="F15" i="16"/>
  <c r="F11" i="16"/>
  <c r="U43" i="16"/>
  <c r="S25" i="16"/>
  <c r="T25" i="16" s="1"/>
  <c r="Q12" i="16"/>
  <c r="V12" i="16" s="1"/>
  <c r="U10" i="16"/>
  <c r="R29" i="16"/>
  <c r="R22" i="16"/>
  <c r="R20" i="16"/>
  <c r="AG10" i="4"/>
  <c r="AH10" i="4"/>
  <c r="AH15" i="4"/>
  <c r="AG15" i="4"/>
  <c r="AH23" i="4"/>
  <c r="AG23" i="4"/>
  <c r="AD10" i="4"/>
  <c r="AH74" i="4"/>
  <c r="AC87" i="4"/>
  <c r="AC16" i="4"/>
  <c r="AG74" i="4"/>
  <c r="AC82" i="4"/>
  <c r="AD74" i="4"/>
  <c r="G44" i="16"/>
  <c r="H44" i="16" s="1"/>
  <c r="F23" i="16"/>
  <c r="F20" i="16"/>
  <c r="F16" i="16"/>
  <c r="V43" i="16"/>
  <c r="W51" i="16"/>
  <c r="Q44" i="16"/>
  <c r="R44" i="16" s="1"/>
  <c r="U28" i="16"/>
  <c r="R14" i="16"/>
  <c r="R21" i="16"/>
  <c r="R11" i="16"/>
  <c r="AJ23" i="4"/>
  <c r="AI23" i="4"/>
  <c r="AJ15" i="4"/>
  <c r="AI15" i="4"/>
  <c r="AJ10" i="4"/>
  <c r="AI10" i="4"/>
  <c r="G12" i="16"/>
  <c r="H12" i="16" s="1"/>
  <c r="F28" i="16"/>
  <c r="F24" i="16"/>
  <c r="Q17" i="16"/>
  <c r="R17" i="16" s="1"/>
  <c r="V28" i="16"/>
  <c r="U38" i="16"/>
  <c r="R23" i="16"/>
  <c r="R28" i="16"/>
  <c r="AF10" i="4"/>
  <c r="AJ74" i="4"/>
  <c r="AE82" i="4"/>
  <c r="AF82" i="4" s="1"/>
  <c r="AI74" i="4"/>
  <c r="AE16" i="4"/>
  <c r="AE87" i="4"/>
  <c r="AF87" i="4" s="1"/>
  <c r="J68" i="6"/>
  <c r="I9" i="4"/>
  <c r="J9" i="4"/>
  <c r="K15" i="4"/>
  <c r="I15" i="4"/>
  <c r="F70" i="16"/>
  <c r="J15" i="4"/>
  <c r="K9" i="4"/>
  <c r="L9" i="4"/>
  <c r="AB65" i="11"/>
  <c r="AA13" i="11"/>
  <c r="H13" i="11"/>
  <c r="H71" i="11"/>
  <c r="AA71" i="11"/>
  <c r="I27" i="4"/>
  <c r="K27" i="4"/>
  <c r="I10" i="4"/>
  <c r="J10" i="4"/>
  <c r="S48" i="4"/>
  <c r="S35" i="4"/>
  <c r="O10" i="4" s="1"/>
  <c r="D57" i="4"/>
  <c r="H39" i="4"/>
  <c r="H47" i="4"/>
  <c r="H51" i="4"/>
  <c r="H41" i="4"/>
  <c r="H38" i="4"/>
  <c r="H58" i="4"/>
  <c r="C8" i="4"/>
  <c r="L8" i="4" s="1"/>
  <c r="H43" i="4"/>
  <c r="H46" i="4"/>
  <c r="H34" i="4"/>
  <c r="H40" i="4"/>
  <c r="H35" i="4"/>
  <c r="H44" i="4"/>
  <c r="H55" i="4"/>
  <c r="H52" i="4"/>
  <c r="I13" i="4"/>
  <c r="H56" i="4"/>
  <c r="K13" i="4"/>
  <c r="T101" i="4"/>
  <c r="H33" i="4"/>
  <c r="L13" i="4"/>
  <c r="C48" i="7"/>
  <c r="C50" i="7" s="1"/>
  <c r="I48" i="7"/>
  <c r="I50" i="7" s="1"/>
  <c r="S109" i="4"/>
  <c r="T109" i="4" s="1"/>
  <c r="S114" i="4"/>
  <c r="T114" i="4" s="1"/>
  <c r="D48" i="7"/>
  <c r="D50" i="7" s="1"/>
  <c r="E19" i="7"/>
  <c r="E48" i="7" s="1"/>
  <c r="E50" i="7" s="1"/>
  <c r="F66" i="6"/>
  <c r="O8" i="4"/>
  <c r="P13" i="4" s="1"/>
  <c r="T51" i="4"/>
  <c r="T47" i="4"/>
  <c r="T56" i="4"/>
  <c r="T58" i="4"/>
  <c r="T52" i="4"/>
  <c r="T43" i="4"/>
  <c r="T55" i="4"/>
  <c r="T46" i="4"/>
  <c r="T44" i="4"/>
  <c r="T34" i="4"/>
  <c r="T33" i="4"/>
  <c r="T39" i="4"/>
  <c r="T45" i="4"/>
  <c r="I18" i="4"/>
  <c r="J18" i="4"/>
  <c r="T37" i="4"/>
  <c r="K18" i="4"/>
  <c r="K19" i="7"/>
  <c r="K48" i="7" s="1"/>
  <c r="K50" i="7" s="1"/>
  <c r="J66" i="6"/>
  <c r="J26" i="4"/>
  <c r="K26" i="4"/>
  <c r="I26" i="4"/>
  <c r="X13" i="4"/>
  <c r="W13" i="4"/>
  <c r="L10" i="4"/>
  <c r="K10" i="4"/>
  <c r="H45" i="4"/>
  <c r="C20" i="4"/>
  <c r="V13" i="4"/>
  <c r="G16" i="4"/>
  <c r="G114" i="4"/>
  <c r="L101" i="4"/>
  <c r="K101" i="4"/>
  <c r="G109" i="4"/>
  <c r="H101" i="4"/>
  <c r="E49" i="4"/>
  <c r="G49" i="4" s="1"/>
  <c r="U13" i="4"/>
  <c r="I22" i="4"/>
  <c r="K22" i="4"/>
  <c r="H23" i="4"/>
  <c r="C29" i="4"/>
  <c r="H54" i="4"/>
  <c r="Q41" i="4"/>
  <c r="S41" i="4" s="1"/>
  <c r="V101" i="4"/>
  <c r="U101" i="4"/>
  <c r="X101" i="4"/>
  <c r="W101" i="4"/>
  <c r="O114" i="4"/>
  <c r="O109" i="4"/>
  <c r="P101" i="4"/>
  <c r="R41" i="4" s="1"/>
  <c r="K14" i="4"/>
  <c r="L14" i="4"/>
  <c r="I14" i="4"/>
  <c r="J14" i="4"/>
  <c r="R10" i="4"/>
  <c r="W12" i="4" l="1"/>
  <c r="O15" i="4"/>
  <c r="P15" i="4" s="1"/>
  <c r="W27" i="4"/>
  <c r="U21" i="4"/>
  <c r="O53" i="4"/>
  <c r="O57" i="4" s="1"/>
  <c r="P57" i="4" s="1"/>
  <c r="V12" i="4"/>
  <c r="V21" i="4"/>
  <c r="W21" i="4"/>
  <c r="T40" i="4"/>
  <c r="U12" i="4"/>
  <c r="U19" i="4"/>
  <c r="W19" i="4"/>
  <c r="X19" i="4"/>
  <c r="U9" i="4"/>
  <c r="W9" i="4"/>
  <c r="AD71" i="11"/>
  <c r="X9" i="4"/>
  <c r="T48" i="4"/>
  <c r="AD26" i="11"/>
  <c r="AB13" i="11"/>
  <c r="AD13" i="11"/>
  <c r="F68" i="6"/>
  <c r="R12" i="16"/>
  <c r="S57" i="16"/>
  <c r="T57" i="16" s="1"/>
  <c r="D26" i="4"/>
  <c r="T35" i="4"/>
  <c r="V17" i="16"/>
  <c r="W17" i="16"/>
  <c r="E52" i="16"/>
  <c r="F52" i="16" s="1"/>
  <c r="X44" i="16"/>
  <c r="E57" i="16"/>
  <c r="F57" i="16" s="1"/>
  <c r="W44" i="16"/>
  <c r="Q57" i="16"/>
  <c r="R57" i="16" s="1"/>
  <c r="X17" i="16"/>
  <c r="S18" i="16"/>
  <c r="T18" i="16" s="1"/>
  <c r="E18" i="16"/>
  <c r="F18" i="16" s="1"/>
  <c r="V44" i="16"/>
  <c r="U12" i="16"/>
  <c r="S52" i="16"/>
  <c r="T52" i="16" s="1"/>
  <c r="W25" i="16"/>
  <c r="W12" i="16"/>
  <c r="X25" i="16"/>
  <c r="U25" i="16"/>
  <c r="X12" i="16"/>
  <c r="G18" i="16"/>
  <c r="H18" i="16" s="1"/>
  <c r="V25" i="16"/>
  <c r="G52" i="16"/>
  <c r="H52" i="16" s="1"/>
  <c r="F12" i="16"/>
  <c r="AC29" i="4"/>
  <c r="AH87" i="4"/>
  <c r="AG87" i="4"/>
  <c r="AD87" i="4"/>
  <c r="AF16" i="4"/>
  <c r="AJ16" i="4"/>
  <c r="AI16" i="4"/>
  <c r="G57" i="16"/>
  <c r="H57" i="16" s="1"/>
  <c r="Q52" i="16"/>
  <c r="R52" i="16" s="1"/>
  <c r="Q18" i="16"/>
  <c r="R18" i="16" s="1"/>
  <c r="U17" i="16"/>
  <c r="AJ82" i="4"/>
  <c r="AE24" i="4"/>
  <c r="AE86" i="4"/>
  <c r="AF86" i="4" s="1"/>
  <c r="AI82" i="4"/>
  <c r="AC24" i="4"/>
  <c r="AC86" i="4"/>
  <c r="AH82" i="4"/>
  <c r="AG82" i="4"/>
  <c r="AD82" i="4"/>
  <c r="AD16" i="4"/>
  <c r="AG16" i="4"/>
  <c r="AH16" i="4"/>
  <c r="U44" i="16"/>
  <c r="AI87" i="4"/>
  <c r="AE29" i="4"/>
  <c r="AJ87" i="4"/>
  <c r="F83" i="16"/>
  <c r="F78" i="16"/>
  <c r="O23" i="4"/>
  <c r="AB71" i="11"/>
  <c r="H19" i="11"/>
  <c r="AA19" i="11"/>
  <c r="AA79" i="11"/>
  <c r="H79" i="11"/>
  <c r="H84" i="11"/>
  <c r="AA84" i="11"/>
  <c r="W10" i="4"/>
  <c r="X10" i="4"/>
  <c r="V10" i="4"/>
  <c r="U10" i="4"/>
  <c r="D12" i="4"/>
  <c r="D8" i="4"/>
  <c r="I8" i="4"/>
  <c r="K8" i="4"/>
  <c r="D10" i="4"/>
  <c r="D14" i="4"/>
  <c r="D13" i="4"/>
  <c r="D9" i="4"/>
  <c r="D22" i="4"/>
  <c r="D15" i="4"/>
  <c r="D18" i="4"/>
  <c r="D16" i="4"/>
  <c r="D27" i="4"/>
  <c r="D19" i="4"/>
  <c r="D21" i="4"/>
  <c r="J8" i="4"/>
  <c r="S29" i="4"/>
  <c r="T29" i="4" s="1"/>
  <c r="S24" i="4"/>
  <c r="T24" i="4" s="1"/>
  <c r="S113" i="4"/>
  <c r="P21" i="4"/>
  <c r="P19" i="4"/>
  <c r="P26" i="4"/>
  <c r="P20" i="4"/>
  <c r="P8" i="4"/>
  <c r="W8" i="4"/>
  <c r="P22" i="4"/>
  <c r="P27" i="4"/>
  <c r="X8" i="4"/>
  <c r="V8" i="4"/>
  <c r="P18" i="4"/>
  <c r="U8" i="4"/>
  <c r="P9" i="4"/>
  <c r="P14" i="4"/>
  <c r="P10" i="4"/>
  <c r="P12" i="4"/>
  <c r="E53" i="4"/>
  <c r="G53" i="4" s="1"/>
  <c r="G29" i="4"/>
  <c r="K29" i="4" s="1"/>
  <c r="L114" i="4"/>
  <c r="H114" i="4"/>
  <c r="K114" i="4"/>
  <c r="K109" i="4"/>
  <c r="G24" i="4"/>
  <c r="L109" i="4"/>
  <c r="G113" i="4"/>
  <c r="H109" i="4"/>
  <c r="L16" i="4"/>
  <c r="K16" i="4"/>
  <c r="H16" i="4"/>
  <c r="W15" i="4"/>
  <c r="T41" i="4"/>
  <c r="Q54" i="4"/>
  <c r="S54" i="4" s="1"/>
  <c r="Q49" i="4"/>
  <c r="S49" i="4" s="1"/>
  <c r="J20" i="4"/>
  <c r="L20" i="4"/>
  <c r="I20" i="4"/>
  <c r="K20" i="4"/>
  <c r="D20" i="4"/>
  <c r="U109" i="4"/>
  <c r="O113" i="4"/>
  <c r="V109" i="4"/>
  <c r="P109" i="4"/>
  <c r="R49" i="4" s="1"/>
  <c r="W109" i="4"/>
  <c r="X109" i="4"/>
  <c r="I29" i="4"/>
  <c r="D29" i="4"/>
  <c r="J29" i="4"/>
  <c r="U114" i="4"/>
  <c r="P114" i="4"/>
  <c r="W114" i="4"/>
  <c r="V114" i="4"/>
  <c r="X114" i="4"/>
  <c r="C23" i="4"/>
  <c r="H48" i="4"/>
  <c r="R28" i="4"/>
  <c r="R29" i="4"/>
  <c r="Q24" i="4"/>
  <c r="R16" i="4"/>
  <c r="O16" i="4" l="1"/>
  <c r="V16" i="4" s="1"/>
  <c r="V15" i="4"/>
  <c r="X15" i="4"/>
  <c r="U15" i="4"/>
  <c r="AD57" i="11"/>
  <c r="O59" i="4"/>
  <c r="P59" i="4" s="1"/>
  <c r="F71" i="6"/>
  <c r="E24" i="14" s="1"/>
  <c r="AD84" i="11"/>
  <c r="AD79" i="11"/>
  <c r="AB19" i="11"/>
  <c r="AD19" i="11"/>
  <c r="X57" i="16"/>
  <c r="S31" i="16"/>
  <c r="T31" i="16" s="1"/>
  <c r="W57" i="16"/>
  <c r="X18" i="16"/>
  <c r="Q26" i="16"/>
  <c r="R26" i="16" s="1"/>
  <c r="V57" i="16"/>
  <c r="W52" i="16"/>
  <c r="E26" i="16"/>
  <c r="F26" i="16" s="1"/>
  <c r="E56" i="16"/>
  <c r="F56" i="16" s="1"/>
  <c r="G56" i="16"/>
  <c r="H56" i="16" s="1"/>
  <c r="G26" i="16"/>
  <c r="H26" i="16" s="1"/>
  <c r="U52" i="16"/>
  <c r="V52" i="16"/>
  <c r="W18" i="16"/>
  <c r="E31" i="16"/>
  <c r="F31" i="16" s="1"/>
  <c r="Q56" i="16"/>
  <c r="R56" i="16" s="1"/>
  <c r="Q31" i="16"/>
  <c r="R31" i="16" s="1"/>
  <c r="S56" i="16"/>
  <c r="T56" i="16" s="1"/>
  <c r="X52" i="16"/>
  <c r="U57" i="16"/>
  <c r="S26" i="16"/>
  <c r="T26" i="16" s="1"/>
  <c r="U18" i="16"/>
  <c r="G31" i="16"/>
  <c r="H31" i="16" s="1"/>
  <c r="V18" i="16"/>
  <c r="AD29" i="4"/>
  <c r="AH29" i="4"/>
  <c r="AG29" i="4"/>
  <c r="AH86" i="4"/>
  <c r="AC28" i="4"/>
  <c r="AG86" i="4"/>
  <c r="AD86" i="4"/>
  <c r="AJ86" i="4"/>
  <c r="AE28" i="4"/>
  <c r="AI86" i="4"/>
  <c r="AF29" i="4"/>
  <c r="AJ29" i="4"/>
  <c r="AI29" i="4"/>
  <c r="AD24" i="4"/>
  <c r="AG24" i="4"/>
  <c r="AH24" i="4"/>
  <c r="AF24" i="4"/>
  <c r="AJ24" i="4"/>
  <c r="AI24" i="4"/>
  <c r="F82" i="16"/>
  <c r="X23" i="4"/>
  <c r="U23" i="4"/>
  <c r="V23" i="4"/>
  <c r="W23" i="4"/>
  <c r="P23" i="4"/>
  <c r="AB84" i="11"/>
  <c r="AB79" i="11"/>
  <c r="AA32" i="11"/>
  <c r="H32" i="11"/>
  <c r="H83" i="11"/>
  <c r="AA83" i="11"/>
  <c r="AA27" i="11"/>
  <c r="H27" i="11"/>
  <c r="S28" i="4"/>
  <c r="T28" i="4" s="1"/>
  <c r="T113" i="4"/>
  <c r="Q53" i="4"/>
  <c r="S53" i="4" s="1"/>
  <c r="L29" i="4"/>
  <c r="H29" i="4"/>
  <c r="R54" i="4"/>
  <c r="T54" i="4"/>
  <c r="O29" i="4"/>
  <c r="E57" i="4"/>
  <c r="G57" i="4" s="1"/>
  <c r="K23" i="4"/>
  <c r="I23" i="4"/>
  <c r="D23" i="4"/>
  <c r="J23" i="4"/>
  <c r="L23" i="4"/>
  <c r="L113" i="4"/>
  <c r="K113" i="4"/>
  <c r="G28" i="4"/>
  <c r="H113" i="4"/>
  <c r="U113" i="4"/>
  <c r="P113" i="4"/>
  <c r="R53" i="4" s="1"/>
  <c r="W113" i="4"/>
  <c r="V113" i="4"/>
  <c r="X113" i="4"/>
  <c r="H24" i="4"/>
  <c r="H49" i="4"/>
  <c r="C24" i="4"/>
  <c r="R24" i="4"/>
  <c r="P16" i="4" l="1"/>
  <c r="X16" i="4"/>
  <c r="W16" i="4"/>
  <c r="U16" i="4"/>
  <c r="AD83" i="11"/>
  <c r="AB32" i="11"/>
  <c r="AD32" i="11"/>
  <c r="AB27" i="11"/>
  <c r="AD27" i="11"/>
  <c r="X31" i="16"/>
  <c r="W31" i="16"/>
  <c r="U26" i="16"/>
  <c r="V26" i="16"/>
  <c r="Q30" i="16"/>
  <c r="R30" i="16" s="1"/>
  <c r="E30" i="16"/>
  <c r="F30" i="16" s="1"/>
  <c r="G30" i="16"/>
  <c r="H30" i="16" s="1"/>
  <c r="V31" i="16"/>
  <c r="X26" i="16"/>
  <c r="U31" i="16"/>
  <c r="W26" i="16"/>
  <c r="S30" i="16"/>
  <c r="T30" i="16" s="1"/>
  <c r="AF28" i="4"/>
  <c r="AJ28" i="4"/>
  <c r="AI28" i="4"/>
  <c r="AD28" i="4"/>
  <c r="AH28" i="4"/>
  <c r="AG28" i="4"/>
  <c r="AB83" i="11"/>
  <c r="H31" i="11"/>
  <c r="AA31" i="11"/>
  <c r="K24" i="4"/>
  <c r="D24" i="4"/>
  <c r="I24" i="4"/>
  <c r="J24" i="4"/>
  <c r="P29" i="4"/>
  <c r="W29" i="4"/>
  <c r="X29" i="4"/>
  <c r="U29" i="4"/>
  <c r="V29" i="4"/>
  <c r="H53" i="4"/>
  <c r="C28" i="4"/>
  <c r="O24" i="4"/>
  <c r="T49" i="4"/>
  <c r="L24" i="4"/>
  <c r="H28" i="4"/>
  <c r="F57" i="4"/>
  <c r="E59" i="4"/>
  <c r="G59" i="4" s="1"/>
  <c r="H57" i="4"/>
  <c r="Q57" i="4"/>
  <c r="S57" i="4" s="1"/>
  <c r="AB31" i="11" l="1"/>
  <c r="AD31" i="11"/>
  <c r="AD10" i="11" s="1"/>
  <c r="Q59" i="4"/>
  <c r="S59" i="4" s="1"/>
  <c r="R57" i="4"/>
  <c r="T57" i="4"/>
  <c r="W24" i="4"/>
  <c r="P24" i="4"/>
  <c r="X24" i="4"/>
  <c r="V24" i="4"/>
  <c r="U24" i="4"/>
  <c r="K28" i="4"/>
  <c r="I28" i="4"/>
  <c r="J28" i="4"/>
  <c r="D28" i="4"/>
  <c r="L28" i="4"/>
  <c r="F59" i="4"/>
  <c r="H59" i="4"/>
  <c r="O28" i="4"/>
  <c r="T53" i="4"/>
  <c r="C66" i="16"/>
  <c r="C68" i="16"/>
  <c r="C63" i="16"/>
  <c r="C41" i="16"/>
  <c r="C48" i="16"/>
  <c r="C62" i="16"/>
  <c r="C76" i="16"/>
  <c r="C36" i="16"/>
  <c r="C47" i="16"/>
  <c r="C55" i="16"/>
  <c r="C80" i="16"/>
  <c r="C50" i="16"/>
  <c r="C73" i="16"/>
  <c r="C37" i="16"/>
  <c r="C75" i="16"/>
  <c r="C72" i="16"/>
  <c r="C67" i="16"/>
  <c r="C40" i="16"/>
  <c r="C42" i="16"/>
  <c r="C74" i="16"/>
  <c r="C81" i="16"/>
  <c r="O55" i="16"/>
  <c r="C49" i="16"/>
  <c r="C54" i="16"/>
  <c r="C46" i="16"/>
  <c r="L36" i="16" l="1"/>
  <c r="J36" i="16"/>
  <c r="J73" i="16"/>
  <c r="J46" i="16"/>
  <c r="L46" i="16"/>
  <c r="J49" i="16"/>
  <c r="L49" i="16"/>
  <c r="L62" i="16"/>
  <c r="J62" i="16"/>
  <c r="L40" i="16"/>
  <c r="J40" i="16"/>
  <c r="J48" i="16"/>
  <c r="L48" i="16"/>
  <c r="L72" i="16"/>
  <c r="J72" i="16"/>
  <c r="L74" i="16"/>
  <c r="J74" i="16"/>
  <c r="J80" i="16"/>
  <c r="L63" i="16"/>
  <c r="J63" i="16"/>
  <c r="J37" i="16"/>
  <c r="L37" i="16"/>
  <c r="J66" i="16"/>
  <c r="J54" i="16"/>
  <c r="J75" i="16"/>
  <c r="L68" i="16"/>
  <c r="J68" i="16"/>
  <c r="L67" i="16"/>
  <c r="J67" i="16"/>
  <c r="L41" i="16"/>
  <c r="J41" i="16"/>
  <c r="J42" i="16"/>
  <c r="L42" i="16"/>
  <c r="D49" i="16"/>
  <c r="C38" i="16"/>
  <c r="D38" i="16" s="1"/>
  <c r="K36" i="16"/>
  <c r="I36" i="16"/>
  <c r="D54" i="16"/>
  <c r="D48" i="16"/>
  <c r="D41" i="16"/>
  <c r="D50" i="16"/>
  <c r="D47" i="16"/>
  <c r="D36" i="16"/>
  <c r="D46" i="16"/>
  <c r="D42" i="16"/>
  <c r="D55" i="16"/>
  <c r="D40" i="16"/>
  <c r="D37" i="16"/>
  <c r="C10" i="16"/>
  <c r="C64" i="16"/>
  <c r="D64" i="16" s="1"/>
  <c r="D67" i="16"/>
  <c r="K62" i="16"/>
  <c r="D80" i="16"/>
  <c r="D76" i="16"/>
  <c r="D73" i="16"/>
  <c r="D74" i="16"/>
  <c r="D72" i="16"/>
  <c r="D68" i="16"/>
  <c r="D66" i="16"/>
  <c r="D63" i="16"/>
  <c r="D81" i="16"/>
  <c r="D62" i="16"/>
  <c r="D75" i="16"/>
  <c r="I62" i="16"/>
  <c r="K76" i="16"/>
  <c r="I76" i="16"/>
  <c r="K67" i="16"/>
  <c r="I67" i="16"/>
  <c r="K63" i="16"/>
  <c r="I63" i="16"/>
  <c r="K74" i="16"/>
  <c r="I74" i="16"/>
  <c r="K81" i="16"/>
  <c r="I81" i="16"/>
  <c r="C69" i="16"/>
  <c r="K66" i="16"/>
  <c r="I66" i="16"/>
  <c r="K68" i="16"/>
  <c r="I68" i="16"/>
  <c r="K75" i="16"/>
  <c r="I75" i="16"/>
  <c r="C77" i="16"/>
  <c r="K72" i="16"/>
  <c r="I72" i="16"/>
  <c r="K73" i="16"/>
  <c r="I73" i="16"/>
  <c r="K80" i="16"/>
  <c r="I80" i="16"/>
  <c r="C16" i="16"/>
  <c r="K42" i="16"/>
  <c r="I42" i="16"/>
  <c r="I50" i="16"/>
  <c r="C24" i="16"/>
  <c r="K50" i="16"/>
  <c r="I41" i="16"/>
  <c r="C15" i="16"/>
  <c r="K41" i="16"/>
  <c r="C29" i="16"/>
  <c r="K55" i="16"/>
  <c r="I55" i="16"/>
  <c r="C51" i="16"/>
  <c r="I46" i="16"/>
  <c r="K46" i="16"/>
  <c r="C20" i="16"/>
  <c r="K47" i="16"/>
  <c r="C21" i="16"/>
  <c r="J21" i="16" s="1"/>
  <c r="I47" i="16"/>
  <c r="C14" i="16"/>
  <c r="K40" i="16"/>
  <c r="I40" i="16"/>
  <c r="C43" i="16"/>
  <c r="C11" i="16"/>
  <c r="K37" i="16"/>
  <c r="I37" i="16"/>
  <c r="C23" i="16"/>
  <c r="I49" i="16"/>
  <c r="K49" i="16"/>
  <c r="C28" i="16"/>
  <c r="J28" i="16" s="1"/>
  <c r="I54" i="16"/>
  <c r="K54" i="16"/>
  <c r="K48" i="16"/>
  <c r="C22" i="16"/>
  <c r="I48" i="16"/>
  <c r="P55" i="16"/>
  <c r="O29" i="16"/>
  <c r="W55" i="16"/>
  <c r="U55" i="16"/>
  <c r="O56" i="16"/>
  <c r="P28" i="4"/>
  <c r="W28" i="4"/>
  <c r="U28" i="4"/>
  <c r="X28" i="4"/>
  <c r="V28" i="4"/>
  <c r="R59" i="4"/>
  <c r="T59" i="4"/>
  <c r="J22" i="16" l="1"/>
  <c r="L22" i="16"/>
  <c r="L77" i="16"/>
  <c r="J77" i="16"/>
  <c r="D77" i="16"/>
  <c r="L64" i="16"/>
  <c r="J64" i="16"/>
  <c r="L16" i="16"/>
  <c r="J16" i="16"/>
  <c r="L14" i="16"/>
  <c r="J14" i="16"/>
  <c r="J10" i="16"/>
  <c r="L10" i="16"/>
  <c r="L20" i="16"/>
  <c r="J20" i="16"/>
  <c r="L43" i="16"/>
  <c r="J43" i="16"/>
  <c r="L69" i="16"/>
  <c r="J69" i="16"/>
  <c r="L11" i="16"/>
  <c r="J11" i="16"/>
  <c r="D69" i="16"/>
  <c r="D43" i="16"/>
  <c r="L38" i="16"/>
  <c r="J38" i="16"/>
  <c r="J23" i="16"/>
  <c r="L23" i="16"/>
  <c r="X56" i="16"/>
  <c r="V56" i="16"/>
  <c r="J15" i="16"/>
  <c r="L15" i="16"/>
  <c r="L51" i="16"/>
  <c r="J51" i="16"/>
  <c r="K29" i="16"/>
  <c r="I29" i="16"/>
  <c r="P56" i="16"/>
  <c r="O30" i="16"/>
  <c r="U56" i="16"/>
  <c r="W56" i="16"/>
  <c r="K11" i="16"/>
  <c r="I11" i="16"/>
  <c r="K15" i="16"/>
  <c r="I15" i="16"/>
  <c r="I43" i="16"/>
  <c r="C17" i="16"/>
  <c r="K43" i="16"/>
  <c r="D51" i="16"/>
  <c r="C25" i="16"/>
  <c r="D25" i="16" s="1"/>
  <c r="K51" i="16"/>
  <c r="I51" i="16"/>
  <c r="K14" i="16"/>
  <c r="I14" i="16"/>
  <c r="D14" i="16"/>
  <c r="D21" i="16"/>
  <c r="I10" i="16"/>
  <c r="D28" i="16"/>
  <c r="D11" i="16"/>
  <c r="D10" i="16"/>
  <c r="K10" i="16"/>
  <c r="D20" i="16"/>
  <c r="D16" i="16"/>
  <c r="D22" i="16"/>
  <c r="D23" i="16"/>
  <c r="D15" i="16"/>
  <c r="D29" i="16"/>
  <c r="D24" i="16"/>
  <c r="K22" i="16"/>
  <c r="I22" i="16"/>
  <c r="I21" i="16"/>
  <c r="K21" i="16"/>
  <c r="K77" i="16"/>
  <c r="I77" i="16"/>
  <c r="I16" i="16"/>
  <c r="K16" i="16"/>
  <c r="K20" i="16"/>
  <c r="I20" i="16"/>
  <c r="K28" i="16"/>
  <c r="I28" i="16"/>
  <c r="C12" i="16"/>
  <c r="K38" i="16"/>
  <c r="I38" i="16"/>
  <c r="C44" i="16"/>
  <c r="P29" i="16"/>
  <c r="U29" i="16"/>
  <c r="W29" i="16"/>
  <c r="K24" i="16"/>
  <c r="I24" i="16"/>
  <c r="K23" i="16"/>
  <c r="I23" i="16"/>
  <c r="K69" i="16"/>
  <c r="I69" i="16"/>
  <c r="C70" i="16"/>
  <c r="K64" i="16"/>
  <c r="I64" i="16"/>
  <c r="L44" i="16" l="1"/>
  <c r="J44" i="16"/>
  <c r="D44" i="16"/>
  <c r="L70" i="16"/>
  <c r="J70" i="16"/>
  <c r="D70" i="16"/>
  <c r="J12" i="16"/>
  <c r="L12" i="16"/>
  <c r="J17" i="16"/>
  <c r="L17" i="16"/>
  <c r="D12" i="16"/>
  <c r="L25" i="16"/>
  <c r="J25" i="16"/>
  <c r="V30" i="16"/>
  <c r="X30" i="16"/>
  <c r="C83" i="16"/>
  <c r="C78" i="16"/>
  <c r="K70" i="16"/>
  <c r="I70" i="16"/>
  <c r="K25" i="16"/>
  <c r="I25" i="16"/>
  <c r="C18" i="16"/>
  <c r="C57" i="16"/>
  <c r="C52" i="16"/>
  <c r="K44" i="16"/>
  <c r="I44" i="16"/>
  <c r="D17" i="16"/>
  <c r="I17" i="16"/>
  <c r="K17" i="16"/>
  <c r="P30" i="16"/>
  <c r="U30" i="16"/>
  <c r="W30" i="16"/>
  <c r="K12" i="16"/>
  <c r="I12" i="16"/>
  <c r="J57" i="16" l="1"/>
  <c r="L57" i="16"/>
  <c r="D57" i="16"/>
  <c r="L83" i="16"/>
  <c r="J83" i="16"/>
  <c r="D83" i="16"/>
  <c r="L18" i="16"/>
  <c r="J18" i="16"/>
  <c r="D18" i="16"/>
  <c r="L52" i="16"/>
  <c r="J52" i="16"/>
  <c r="D52" i="16"/>
  <c r="L78" i="16"/>
  <c r="J78" i="16"/>
  <c r="D78" i="16"/>
  <c r="C82" i="16"/>
  <c r="K78" i="16"/>
  <c r="I78" i="16"/>
  <c r="K83" i="16"/>
  <c r="I83" i="16"/>
  <c r="C31" i="16"/>
  <c r="K57" i="16"/>
  <c r="I57" i="16"/>
  <c r="C26" i="16"/>
  <c r="C56" i="16"/>
  <c r="I52" i="16"/>
  <c r="K52" i="16"/>
  <c r="I18" i="16"/>
  <c r="K18" i="16"/>
  <c r="L82" i="16" l="1"/>
  <c r="J82" i="16"/>
  <c r="D82" i="16"/>
  <c r="L56" i="16"/>
  <c r="J56" i="16"/>
  <c r="D56" i="16"/>
  <c r="L26" i="16"/>
  <c r="J26" i="16"/>
  <c r="D26" i="16"/>
  <c r="L31" i="16"/>
  <c r="J31" i="16"/>
  <c r="D31" i="16"/>
  <c r="C30" i="16"/>
  <c r="I56" i="16"/>
  <c r="K56" i="16"/>
  <c r="K26" i="16"/>
  <c r="I26" i="16"/>
  <c r="K82" i="16"/>
  <c r="I82" i="16"/>
  <c r="K31" i="16"/>
  <c r="I31" i="16"/>
  <c r="J30" i="16" l="1"/>
  <c r="L30" i="16"/>
  <c r="D30" i="16"/>
  <c r="I30" i="16"/>
  <c r="K30" i="16"/>
</calcChain>
</file>

<file path=xl/comments1.xml><?xml version="1.0" encoding="utf-8"?>
<comments xmlns="http://schemas.openxmlformats.org/spreadsheetml/2006/main">
  <authors>
    <author>JESUS-LP</author>
  </authors>
  <commentList>
    <comment ref="C12" authorId="0" shapeId="0">
      <text>
        <r>
          <rPr>
            <sz val="9"/>
            <color indexed="81"/>
            <rFont val="Tahoma"/>
            <family val="2"/>
          </rPr>
          <t xml:space="preserve">Anotar la fecha de cierre del archivo para Junta de Consejo
</t>
        </r>
      </text>
    </comment>
  </commentList>
</comments>
</file>

<file path=xl/sharedStrings.xml><?xml version="1.0" encoding="utf-8"?>
<sst xmlns="http://schemas.openxmlformats.org/spreadsheetml/2006/main" count="2139" uniqueCount="644">
  <si>
    <t>Renglón</t>
  </si>
  <si>
    <t>Descripción</t>
  </si>
  <si>
    <t>Mes</t>
  </si>
  <si>
    <t>Acum</t>
  </si>
  <si>
    <t>Mes AA</t>
  </si>
  <si>
    <t>Fct. Mes</t>
  </si>
  <si>
    <t>AA Act</t>
  </si>
  <si>
    <t>Ac. AAnt</t>
  </si>
  <si>
    <t>Fct. AA Ac</t>
  </si>
  <si>
    <t>Ac. AA Act</t>
  </si>
  <si>
    <t>Ppto</t>
  </si>
  <si>
    <t>Ppto Ac.</t>
  </si>
  <si>
    <t>Mes vs AA</t>
  </si>
  <si>
    <t>Ac vs AA</t>
  </si>
  <si>
    <t>Mes vs Ppto</t>
  </si>
  <si>
    <t>Ac vs Ppto</t>
  </si>
  <si>
    <t xml:space="preserve">Ventas                                  </t>
  </si>
  <si>
    <t xml:space="preserve">Ventas netas                            </t>
  </si>
  <si>
    <t xml:space="preserve">Costo Directo                           </t>
  </si>
  <si>
    <t xml:space="preserve">Contribución Marginal                   </t>
  </si>
  <si>
    <t xml:space="preserve">Gastos de Venta                         </t>
  </si>
  <si>
    <t xml:space="preserve">Gastos de Administración                </t>
  </si>
  <si>
    <t xml:space="preserve">Depreciaciones y amortización           </t>
  </si>
  <si>
    <t xml:space="preserve">Gastos Totales                          </t>
  </si>
  <si>
    <t xml:space="preserve">U.A.F.I.R.                              </t>
  </si>
  <si>
    <t xml:space="preserve">Pérdida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</si>
  <si>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</si>
  <si>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</si>
  <si>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</si>
  <si>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U.A.I.R.                                </t>
  </si>
  <si>
    <t xml:space="preserve">Utilidad Neta                           </t>
  </si>
  <si>
    <t xml:space="preserve">U.A.F.I.R Flujo                         </t>
  </si>
  <si>
    <t>Acumulado</t>
  </si>
  <si>
    <t>%</t>
  </si>
  <si>
    <t>Presupuesto</t>
  </si>
  <si>
    <t>Variacion</t>
  </si>
  <si>
    <t>Saldo</t>
  </si>
  <si>
    <t>Saldo Inicial</t>
  </si>
  <si>
    <t>Al Mes</t>
  </si>
  <si>
    <t>vs Presupuesto</t>
  </si>
  <si>
    <t>Vs Mes Anterior</t>
  </si>
  <si>
    <t>Vs Saldo Inicia</t>
  </si>
  <si>
    <t>Mes Anterior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</si>
  <si>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</si>
  <si>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</si>
  <si>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</si>
  <si>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</si>
  <si>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 xml:space="preserve">Terrenos                                </t>
  </si>
  <si>
    <t xml:space="preserve">Edificios          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</si>
  <si>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</si>
  <si>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</si>
  <si>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</si>
  <si>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Proveedores                             </t>
  </si>
  <si>
    <t xml:space="preserve">Capital Social                          </t>
  </si>
  <si>
    <t>Flujo Mensual</t>
  </si>
  <si>
    <t>Saldo Ini</t>
  </si>
  <si>
    <t>Saldo Ac</t>
  </si>
  <si>
    <t>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</si>
  <si>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</si>
  <si>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</si>
  <si>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</si>
  <si>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</si>
  <si>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</si>
  <si>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</si>
  <si>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Gastos de Administracion                </t>
  </si>
  <si>
    <t xml:space="preserve">Depreciacion y Amtz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</si>
  <si>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</si>
  <si>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</si>
  <si>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</si>
  <si>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</si>
  <si>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</si>
  <si>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</si>
  <si>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</si>
  <si>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</si>
  <si>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Generacion Bruta                        </t>
  </si>
  <si>
    <t xml:space="preserve">Variaciones en el Capital de Tbjo       </t>
  </si>
  <si>
    <t xml:space="preserve">Iva x Acreditar                         </t>
  </si>
  <si>
    <t xml:space="preserve">Documentos por cobrar                   </t>
  </si>
  <si>
    <t xml:space="preserve">Utilidad por realizar                   </t>
  </si>
  <si>
    <t xml:space="preserve">Anticipo de Clientes                    </t>
  </si>
  <si>
    <t xml:space="preserve">Acreedores diversos                     </t>
  </si>
  <si>
    <t xml:space="preserve">Iva x pagar                             </t>
  </si>
  <si>
    <t xml:space="preserve">Impuestos x pagar                       </t>
  </si>
  <si>
    <t xml:space="preserve">Documentos x pagar                      </t>
  </si>
  <si>
    <t xml:space="preserve">Intereses x Dev Vtas en Abonos          </t>
  </si>
  <si>
    <t xml:space="preserve">Utilidad Bruta x Vtas en Abonos         </t>
  </si>
  <si>
    <t xml:space="preserve">Total Variaciones en Capital de Tbjo    </t>
  </si>
  <si>
    <t xml:space="preserve">Partidas no Operativas                  </t>
  </si>
  <si>
    <t xml:space="preserve">Documentos x pagar a LP                 </t>
  </si>
  <si>
    <t xml:space="preserve">Aport. Para Fut Aum Capital             </t>
  </si>
  <si>
    <t xml:space="preserve">Reserva Legal                           </t>
  </si>
  <si>
    <t xml:space="preserve">Result. Ej. Anteriores                  </t>
  </si>
  <si>
    <t xml:space="preserve">Total Partidas no Operativas            </t>
  </si>
  <si>
    <t xml:space="preserve">Inversiones                             </t>
  </si>
  <si>
    <t xml:space="preserve">Dep. Acum. Edificio                     </t>
  </si>
  <si>
    <t xml:space="preserve">Mob. y Eq. Oficina                      </t>
  </si>
  <si>
    <t xml:space="preserve">Dep. Ac. Mob. y Eq. Oficina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</si>
  <si>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</si>
  <si>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</si>
  <si>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</si>
  <si>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Dep. Garantía                           </t>
  </si>
  <si>
    <t xml:space="preserve">Gts. de Instalación                     </t>
  </si>
  <si>
    <t xml:space="preserve">Amtz. Gts. Instalación                  </t>
  </si>
  <si>
    <t xml:space="preserve">Construcción en Proceso                 </t>
  </si>
  <si>
    <t xml:space="preserve">Total Inversiones                       </t>
  </si>
  <si>
    <t xml:space="preserve">Flujo Neto                              </t>
  </si>
  <si>
    <t>CAPSA</t>
  </si>
  <si>
    <t>BRNE</t>
  </si>
  <si>
    <t>Sserv</t>
  </si>
  <si>
    <t>División Inmobiliaria</t>
  </si>
  <si>
    <t>AA</t>
  </si>
  <si>
    <t>vs Ppto</t>
  </si>
  <si>
    <t>vs. AA</t>
  </si>
  <si>
    <t>Ut. Neta</t>
  </si>
  <si>
    <t>Variaciones C de T.</t>
  </si>
  <si>
    <t xml:space="preserve">Func. y empleados                       </t>
  </si>
  <si>
    <t xml:space="preserve">Gts. Ac. por pagar                      </t>
  </si>
  <si>
    <t xml:space="preserve">Otros Pasivos LP                        </t>
  </si>
  <si>
    <t xml:space="preserve">Reservas. Primas Antiguedad             </t>
  </si>
  <si>
    <t xml:space="preserve">Res. Ej. Anteriores                     </t>
  </si>
  <si>
    <t xml:space="preserve">Dep. Acum. Mob. y Eq. Oficina           </t>
  </si>
  <si>
    <t xml:space="preserve">Dep. En Garantía                        </t>
  </si>
  <si>
    <t xml:space="preserve">Amtz. Ac. Depósitos Garantía            </t>
  </si>
  <si>
    <t xml:space="preserve">Gts. Instalación                        </t>
  </si>
  <si>
    <t xml:space="preserve">Amtz. Ac. Gts. Instalación              </t>
  </si>
  <si>
    <t xml:space="preserve">Gts. Organización                       </t>
  </si>
  <si>
    <t xml:space="preserve">Amtz. Ac. Gts. Organización             </t>
  </si>
  <si>
    <t xml:space="preserve">Const. Terr. Arrendados                 </t>
  </si>
  <si>
    <t xml:space="preserve">Amtz. Const. T.Arrendados               </t>
  </si>
  <si>
    <t xml:space="preserve">Inv. y Mejoras Inm. Arrend              </t>
  </si>
  <si>
    <t>Amtz. Ac. Inv. y mejoras IA</t>
  </si>
  <si>
    <t xml:space="preserve">Inversiones en acciones                 </t>
  </si>
  <si>
    <t>S.Ini</t>
  </si>
  <si>
    <t>S. F.</t>
  </si>
  <si>
    <t>Div</t>
  </si>
  <si>
    <t>Ac.</t>
  </si>
  <si>
    <t>Intereses y utilidad x vts en Abonos</t>
  </si>
  <si>
    <t>Reservas</t>
  </si>
  <si>
    <t>Gasto por Dep. y Amtz.</t>
  </si>
  <si>
    <t>Generación Bruta</t>
  </si>
  <si>
    <t>Dep y Amtz.</t>
  </si>
  <si>
    <t>Ac</t>
  </si>
  <si>
    <t>vs AA</t>
  </si>
  <si>
    <t>CIF</t>
  </si>
  <si>
    <t>Ventas</t>
  </si>
  <si>
    <t>Costo Directo</t>
  </si>
  <si>
    <t>Utilidad Neta</t>
  </si>
  <si>
    <t>Caja y Bancos</t>
  </si>
  <si>
    <t>Inversiones Temporales</t>
  </si>
  <si>
    <t>Deudores Diversos</t>
  </si>
  <si>
    <t>Inventarios</t>
  </si>
  <si>
    <t>Pagos Anticipados</t>
  </si>
  <si>
    <t>Terrenos</t>
  </si>
  <si>
    <t>Equipo de Transporte</t>
  </si>
  <si>
    <t>Proveedores</t>
  </si>
  <si>
    <t>Acreedores Diversos</t>
  </si>
  <si>
    <t>Pasivo Largo Plazo M.E.</t>
  </si>
  <si>
    <t>Pasivo Diferido</t>
  </si>
  <si>
    <t>Capital Social</t>
  </si>
  <si>
    <t>Total Pasivo + Capital</t>
  </si>
  <si>
    <t>Aportaciones</t>
  </si>
  <si>
    <t>SILN</t>
  </si>
  <si>
    <t>Flujo Neto</t>
  </si>
  <si>
    <t>Aj</t>
  </si>
  <si>
    <t>Gts. Corp.</t>
  </si>
  <si>
    <t>Interés Corp.</t>
  </si>
  <si>
    <t>Ut. Neta Fl</t>
  </si>
  <si>
    <t>SD</t>
  </si>
  <si>
    <t>(UN Fl-GC)/SD</t>
  </si>
  <si>
    <t>Inm. Exelco</t>
  </si>
  <si>
    <t xml:space="preserve">Inversiones por amortizar          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</si>
  <si>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</si>
  <si>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</si>
  <si>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</si>
  <si>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</si>
  <si>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</si>
  <si>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</si>
  <si>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</si>
  <si>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</si>
  <si>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</si>
  <si>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</si>
  <si>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</si>
  <si>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</si>
  <si>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Ppto Mes Sig</t>
  </si>
  <si>
    <t>AA Mes Sig</t>
  </si>
  <si>
    <t>Proy. Mes Sig</t>
  </si>
  <si>
    <t>M610</t>
  </si>
  <si>
    <t>M600</t>
  </si>
  <si>
    <t>M650</t>
  </si>
  <si>
    <t>INMOBILIARIA EXELCO DEL NORTE SA DE CV</t>
  </si>
  <si>
    <t>SERVICIOS INMOBILIARIOS LODER DEL NORESTE SA DE CV</t>
  </si>
  <si>
    <t>EMPRESAS</t>
  </si>
  <si>
    <t>Num</t>
  </si>
  <si>
    <t>Select :</t>
  </si>
  <si>
    <t>Reporte</t>
  </si>
  <si>
    <t>Compañía</t>
  </si>
  <si>
    <t>MES</t>
  </si>
  <si>
    <t>Activo Circulante</t>
  </si>
  <si>
    <t>Clientes</t>
  </si>
  <si>
    <t>Otros Activos Circulantes</t>
  </si>
  <si>
    <t>Total Activo Circulante</t>
  </si>
  <si>
    <t>Activo Fijo</t>
  </si>
  <si>
    <t>Edificios</t>
  </si>
  <si>
    <t>Mobiliario y Equipo</t>
  </si>
  <si>
    <t>Equipo Electronico</t>
  </si>
  <si>
    <t>Maquinaria y Equipo</t>
  </si>
  <si>
    <t>Otros Activos Fijos</t>
  </si>
  <si>
    <t>Depreciacion Acumulada</t>
  </si>
  <si>
    <t>Total Activo Fijo</t>
  </si>
  <si>
    <t>Activo Diferido</t>
  </si>
  <si>
    <t>Gastos Inst. Org. y Otros</t>
  </si>
  <si>
    <t>Inversiones x Amortizar</t>
  </si>
  <si>
    <t>Amortizacion Acumulada</t>
  </si>
  <si>
    <t>Total Activo Diferido</t>
  </si>
  <si>
    <t>Otros Activos</t>
  </si>
  <si>
    <t>Inversiones en Acciones</t>
  </si>
  <si>
    <t>Total Otros Activos</t>
  </si>
  <si>
    <t>Total Activo</t>
  </si>
  <si>
    <t>Pasivo Circulante</t>
  </si>
  <si>
    <t>Documentos x Pagar</t>
  </si>
  <si>
    <t>Impuestos y Gastos x Pagar</t>
  </si>
  <si>
    <t>Otros Pasivos Circulantes</t>
  </si>
  <si>
    <t>Total Pasivo Circulante</t>
  </si>
  <si>
    <t>Pasivo Fijo</t>
  </si>
  <si>
    <t>Pasivo Largo Plazo M.N.</t>
  </si>
  <si>
    <t>Otros Pasivo Largo Plazo</t>
  </si>
  <si>
    <t>Total Pasivo Fijo</t>
  </si>
  <si>
    <t>UT. x Realizar Ventas Abonos</t>
  </si>
  <si>
    <t>Total Pasivo Diferido</t>
  </si>
  <si>
    <t>Capital</t>
  </si>
  <si>
    <t>Reservas de Capital</t>
  </si>
  <si>
    <t>Resultado Ejerc. Anteriores</t>
  </si>
  <si>
    <t>Resultado del Ejercicio</t>
  </si>
  <si>
    <t>Efecto Neto de Reexpresion</t>
  </si>
  <si>
    <t>Total Capital</t>
  </si>
  <si>
    <t>Diferencia</t>
  </si>
  <si>
    <t>Ventas netas</t>
  </si>
  <si>
    <t>Contribución Marginal</t>
  </si>
  <si>
    <t>Gastos de Venta</t>
  </si>
  <si>
    <t>Gastos de Administración</t>
  </si>
  <si>
    <t>Depreciaciones y amortización</t>
  </si>
  <si>
    <t>Gastos Totales</t>
  </si>
  <si>
    <t>U.A.F.I.R.</t>
  </si>
  <si>
    <t>Pérdida o Utilidad Cambiaria</t>
  </si>
  <si>
    <t>Otros Gastos y Otros ingresos</t>
  </si>
  <si>
    <t>Gastos financieros</t>
  </si>
  <si>
    <t>Productos financieros</t>
  </si>
  <si>
    <t>U.A.I.R.</t>
  </si>
  <si>
    <t>U.A.F.I.R Flujo</t>
  </si>
  <si>
    <t>DIVISION INMOBILIARIA MX</t>
  </si>
  <si>
    <t>Acum 2018</t>
  </si>
  <si>
    <t xml:space="preserve"> </t>
  </si>
  <si>
    <t xml:space="preserve">Dev y reb/vts                           </t>
  </si>
  <si>
    <t>Mensual</t>
  </si>
  <si>
    <t>M601</t>
  </si>
  <si>
    <t>Estado de Resultados Mensual</t>
  </si>
  <si>
    <t>Estado de Resultados Acumulado</t>
  </si>
  <si>
    <t>Estado de Resultados Mensual Proyectado</t>
  </si>
  <si>
    <t>Acum.</t>
  </si>
  <si>
    <t>D</t>
  </si>
  <si>
    <t>N</t>
  </si>
  <si>
    <t>O</t>
  </si>
  <si>
    <t>S</t>
  </si>
  <si>
    <t>A</t>
  </si>
  <si>
    <t>J</t>
  </si>
  <si>
    <t>M</t>
  </si>
  <si>
    <t>F</t>
  </si>
  <si>
    <t>E</t>
  </si>
  <si>
    <t>SILNSA-ARRENDAMIENTO</t>
  </si>
  <si>
    <t>SILNSA-CONSTRUCCION</t>
  </si>
  <si>
    <t>INM. EXELCO</t>
  </si>
  <si>
    <t>RENTAS</t>
  </si>
  <si>
    <t>const</t>
  </si>
  <si>
    <t>renta</t>
  </si>
  <si>
    <t>total</t>
  </si>
  <si>
    <t>DIC</t>
  </si>
  <si>
    <t>NOV</t>
  </si>
  <si>
    <t>OCT</t>
  </si>
  <si>
    <t>SEP</t>
  </si>
  <si>
    <t>AGOSTO</t>
  </si>
  <si>
    <t>JULIO</t>
  </si>
  <si>
    <t>JUNIO</t>
  </si>
  <si>
    <t>MAYO</t>
  </si>
  <si>
    <t>ABRIL</t>
  </si>
  <si>
    <t>MARZO</t>
  </si>
  <si>
    <t>FEBRERO</t>
  </si>
  <si>
    <t>ENERO</t>
  </si>
  <si>
    <t>TOTAL</t>
  </si>
  <si>
    <t>1104-002-002-005</t>
  </si>
  <si>
    <t>1104-002-002-002</t>
  </si>
  <si>
    <t>OCT IBC</t>
  </si>
  <si>
    <t>OCT 476</t>
  </si>
  <si>
    <t>OCT 167</t>
  </si>
  <si>
    <t>NOV IBC</t>
  </si>
  <si>
    <t>NOV 476</t>
  </si>
  <si>
    <t>NOV 167</t>
  </si>
  <si>
    <t>NOV 043</t>
  </si>
  <si>
    <t>NOV 019</t>
  </si>
  <si>
    <t>OCT 043</t>
  </si>
  <si>
    <t>OCT 019</t>
  </si>
  <si>
    <t>SEPnov IBC</t>
  </si>
  <si>
    <t>SEP 476</t>
  </si>
  <si>
    <t>SEP 167</t>
  </si>
  <si>
    <t>SEP 043</t>
  </si>
  <si>
    <t>SEP019</t>
  </si>
  <si>
    <t>Ago IBC</t>
  </si>
  <si>
    <t>Ago 476</t>
  </si>
  <si>
    <t>Ago 167</t>
  </si>
  <si>
    <t>Ago 043</t>
  </si>
  <si>
    <t>Ago 019</t>
  </si>
  <si>
    <t>Jul IBC</t>
  </si>
  <si>
    <t>Jul 476</t>
  </si>
  <si>
    <t>Jul 167</t>
  </si>
  <si>
    <t>jul 043</t>
  </si>
  <si>
    <t>Jul 019</t>
  </si>
  <si>
    <t>Jun IBC</t>
  </si>
  <si>
    <t>Jun 476</t>
  </si>
  <si>
    <t>Jun 167</t>
  </si>
  <si>
    <t>Jun 043</t>
  </si>
  <si>
    <t>Jun  019</t>
  </si>
  <si>
    <t>IBC</t>
  </si>
  <si>
    <t>May 476</t>
  </si>
  <si>
    <t>May 167</t>
  </si>
  <si>
    <t>May 043</t>
  </si>
  <si>
    <t>May  019</t>
  </si>
  <si>
    <t>MAr 476</t>
  </si>
  <si>
    <t>Abr 167</t>
  </si>
  <si>
    <t>Abr 043</t>
  </si>
  <si>
    <t>Abr  019</t>
  </si>
  <si>
    <t>Mar 167</t>
  </si>
  <si>
    <t>Mar 043</t>
  </si>
  <si>
    <t>Mar  019</t>
  </si>
  <si>
    <t>Feb 476</t>
  </si>
  <si>
    <t>Feb 167</t>
  </si>
  <si>
    <t>Feb 043</t>
  </si>
  <si>
    <t>Feb  019</t>
  </si>
  <si>
    <t>Enero 476</t>
  </si>
  <si>
    <t>Enero 167</t>
  </si>
  <si>
    <t>Enero 043</t>
  </si>
  <si>
    <t>Enero  019</t>
  </si>
  <si>
    <t>SEG</t>
  </si>
  <si>
    <t>OBRA</t>
  </si>
  <si>
    <t>dic</t>
  </si>
  <si>
    <t>nov</t>
  </si>
  <si>
    <t>oct</t>
  </si>
  <si>
    <t>sep</t>
  </si>
  <si>
    <t>ago</t>
  </si>
  <si>
    <t>jul</t>
  </si>
  <si>
    <t>jun</t>
  </si>
  <si>
    <t>may</t>
  </si>
  <si>
    <t>abr</t>
  </si>
  <si>
    <t>mar</t>
  </si>
  <si>
    <t>feb</t>
  </si>
  <si>
    <t>ene</t>
  </si>
  <si>
    <t>Seguros</t>
  </si>
  <si>
    <t>Renta a filiales</t>
  </si>
  <si>
    <t>Renta Exelgas 3</t>
  </si>
  <si>
    <t>Ing. Construcc. Externos Oxxo</t>
  </si>
  <si>
    <t>Infraestructura Cluster 13</t>
  </si>
  <si>
    <t>Const. Casas Viñas</t>
  </si>
  <si>
    <t>Const. Casas R. Long</t>
  </si>
  <si>
    <t>Const. Gasolinera</t>
  </si>
  <si>
    <t>Urbanizacion Cluster 1</t>
  </si>
  <si>
    <t>Obra Publica</t>
  </si>
  <si>
    <t xml:space="preserve">Ing por urbanización FRL </t>
  </si>
  <si>
    <t>Vts Terrenos FRL</t>
  </si>
  <si>
    <t>Ventas por mes</t>
  </si>
  <si>
    <t>cont.</t>
  </si>
  <si>
    <t>Servicios de Ventas</t>
  </si>
  <si>
    <t xml:space="preserve">Gasolinera </t>
  </si>
  <si>
    <t xml:space="preserve">L VIÑAS CLUSTER 13 </t>
  </si>
  <si>
    <t xml:space="preserve">L VIÑAS CLUSTER 1 </t>
  </si>
  <si>
    <t xml:space="preserve">URB. RL (Manzanas 7 y 8) </t>
  </si>
  <si>
    <t xml:space="preserve">URB. RL (SECTOR ALAMOS) </t>
  </si>
  <si>
    <t xml:space="preserve">OBRA PUBLICA </t>
  </si>
  <si>
    <t>CASAS R. LONGORIA</t>
  </si>
  <si>
    <t xml:space="preserve">CASA LAS VIÑAS </t>
  </si>
  <si>
    <t>CONS. OXXO Remod,</t>
  </si>
  <si>
    <t>Dic</t>
  </si>
  <si>
    <t>Nov</t>
  </si>
  <si>
    <t>Oct</t>
  </si>
  <si>
    <t>Sep</t>
  </si>
  <si>
    <t>Ago</t>
  </si>
  <si>
    <t>Jul</t>
  </si>
  <si>
    <t>Jun</t>
  </si>
  <si>
    <t>May</t>
  </si>
  <si>
    <t>Abr</t>
  </si>
  <si>
    <t>Mar</t>
  </si>
  <si>
    <t>Feb</t>
  </si>
  <si>
    <t>Ene</t>
  </si>
  <si>
    <t>Fecha Pres</t>
  </si>
  <si>
    <t>Proyección</t>
  </si>
  <si>
    <t>Trimestre</t>
  </si>
  <si>
    <t>Trimestre Proyección</t>
  </si>
  <si>
    <t xml:space="preserve">CIF        </t>
  </si>
  <si>
    <t>Otros</t>
  </si>
  <si>
    <t xml:space="preserve">Otros                                  </t>
  </si>
  <si>
    <t>I.S.R.</t>
  </si>
  <si>
    <t xml:space="preserve">I.S.R.                           </t>
  </si>
  <si>
    <t xml:space="preserve">                                  </t>
  </si>
  <si>
    <t>División Inmobiliaria MX</t>
  </si>
  <si>
    <t>INICIO</t>
  </si>
  <si>
    <t>DATOS</t>
  </si>
  <si>
    <t>BDER</t>
  </si>
  <si>
    <t>BDBG</t>
  </si>
  <si>
    <t>BDPP</t>
  </si>
  <si>
    <t>BDFE</t>
  </si>
  <si>
    <t>FE</t>
  </si>
  <si>
    <t>Fed</t>
  </si>
  <si>
    <t>BG</t>
  </si>
  <si>
    <t>ER</t>
  </si>
  <si>
    <t>Tendencias</t>
  </si>
  <si>
    <t>ER Act</t>
  </si>
  <si>
    <t>ER AA</t>
  </si>
  <si>
    <t>ER Ppto</t>
  </si>
  <si>
    <t>Hoja3</t>
  </si>
  <si>
    <t>cobros 2018</t>
  </si>
  <si>
    <t>Hoja4</t>
  </si>
  <si>
    <t>Hoja5</t>
  </si>
  <si>
    <t>HOJA</t>
  </si>
  <si>
    <t>DESCRIPCION</t>
  </si>
  <si>
    <t>HOJA DE CONTROL</t>
  </si>
  <si>
    <t>HOJA OCULTA PARA IMPORTAR REPORTES DE INFOFIN</t>
  </si>
  <si>
    <t>600 ESTADO DE RESULTADO IMPORTADO</t>
  </si>
  <si>
    <t>610 BALANCE IMPORTADO</t>
  </si>
  <si>
    <t>601 PRESUPUESTO IMPORTADO</t>
  </si>
  <si>
    <t>650 FLUJO IMPORTADO</t>
  </si>
  <si>
    <t>ANÁLISIS DE FLUJO DE EFECTIVO PARA PRESENTACIÓN</t>
  </si>
  <si>
    <t>ANÁLISIS DE BALANCE GENERAL PARA PRESENTACIÓN</t>
  </si>
  <si>
    <t>ANÁLISIS DE ESTADO DE RESULTADOS PARA PRESENTACIÓN</t>
  </si>
  <si>
    <t>GRAFICAS PARA PRESENTACIÓN</t>
  </si>
  <si>
    <t>ESTADO DE RESULTADOS POR MES AÑO ACTUAL</t>
  </si>
  <si>
    <t>ESTADO DE RESULTADOS POR MES AÑO ANTERIOR</t>
  </si>
  <si>
    <t>ESTADO DE RESULTADOS POR MES PRESUPUESTO</t>
  </si>
  <si>
    <t>ANÁLISIS TRIMESTRE PARA PRESENTACIÓN</t>
  </si>
  <si>
    <t>HOJA AUXILIAR</t>
  </si>
  <si>
    <t>FUNCION</t>
  </si>
  <si>
    <t>OCULTA</t>
  </si>
  <si>
    <t>CONTROL</t>
  </si>
  <si>
    <t>AUTOMÁTICA</t>
  </si>
  <si>
    <t>REVISAR</t>
  </si>
  <si>
    <t>Gastos de Administracion</t>
  </si>
  <si>
    <t>DESCUADRE</t>
  </si>
  <si>
    <t>Rep Ejecutivos</t>
  </si>
  <si>
    <t>Vs</t>
  </si>
  <si>
    <t>ER Acumulados</t>
  </si>
  <si>
    <t>Cobranza 19</t>
  </si>
  <si>
    <t>Presupuesto 19</t>
  </si>
  <si>
    <t>Cobranza 18</t>
  </si>
  <si>
    <t>Venta Lotes 19</t>
  </si>
  <si>
    <t>Venta Lotes 18</t>
  </si>
  <si>
    <t>Const.Ventas 19</t>
  </si>
  <si>
    <t>Ventas 18</t>
  </si>
  <si>
    <t>Rentas 19</t>
  </si>
  <si>
    <t>Rentas 18</t>
  </si>
  <si>
    <t>Const. Ppto 19</t>
  </si>
  <si>
    <t>F u n c i o n a l i d a d e s :</t>
  </si>
  <si>
    <t>Revisar:</t>
  </si>
  <si>
    <t>Se borra el contenido de cada uno de los reportes descargados dentro del archivo</t>
  </si>
  <si>
    <t>Presionar nuevamente para habilitar la importacion de Reportes</t>
  </si>
  <si>
    <t>Importar Reportes:</t>
  </si>
  <si>
    <t>Este comando descargará cada uno de los reportes configurados a la fecha en la que se encuentren calculados</t>
  </si>
  <si>
    <t>Se marcarán en verde los reportes que esten calculados a la fecha mencionada en la celda [C12]</t>
  </si>
  <si>
    <t>Los reportes marcados en rojo deberán actualizarse a la fecha corrspondiente y volver a presionar el comando [Importar Reportes]</t>
  </si>
  <si>
    <t>Presentación:</t>
  </si>
  <si>
    <t>Se realizará automáticamente la presentación para Junta de Consejo</t>
  </si>
  <si>
    <t>Para volver a generar la presentación se deberá borrar la celda [C10]</t>
  </si>
  <si>
    <t>Generación de Reportes en Infofin</t>
  </si>
  <si>
    <t>Reporte con Fecha de Mes de Cierre: 600, 605 y 610</t>
  </si>
  <si>
    <t>Reportes con Fecha de Cierre de Año: 601</t>
  </si>
  <si>
    <t>Anotar los importes del mes correspondiente</t>
  </si>
  <si>
    <t xml:space="preserve"> 3 Lotes</t>
  </si>
  <si>
    <t>Total Gtos de Admon</t>
  </si>
  <si>
    <t>No deducibles</t>
  </si>
  <si>
    <t>Prestacion Servicios</t>
  </si>
  <si>
    <t>Diversos</t>
  </si>
  <si>
    <t>Mantto. Eq. Transporte</t>
  </si>
  <si>
    <t>Honorarios</t>
  </si>
  <si>
    <t>Otros Imp. y Derechos</t>
  </si>
  <si>
    <t>4.-</t>
  </si>
  <si>
    <t>Vs. Ppto</t>
  </si>
  <si>
    <t>Concepto</t>
  </si>
  <si>
    <t>Total Gastos de Venta</t>
  </si>
  <si>
    <t>3.-</t>
  </si>
  <si>
    <t>Comisiones s/Ventas</t>
  </si>
  <si>
    <t>2.-</t>
  </si>
  <si>
    <t>Publicidad</t>
  </si>
  <si>
    <t>Prestacion de Servicios</t>
  </si>
  <si>
    <t>1.- Iva Act. Excentas.</t>
  </si>
  <si>
    <t>1.-</t>
  </si>
  <si>
    <t>Variaciones:</t>
  </si>
  <si>
    <t>Total Ventas</t>
  </si>
  <si>
    <t>1 R</t>
  </si>
  <si>
    <t>Vtas. Terrenos Viñas</t>
  </si>
  <si>
    <t>2 R</t>
  </si>
  <si>
    <t>Lotes Ppto</t>
  </si>
  <si>
    <t>Lotes Reales</t>
  </si>
  <si>
    <t>Inmobiliaria Exelco del Norte SA de CV</t>
  </si>
  <si>
    <t>Sueldos y Prestaciones</t>
  </si>
  <si>
    <t xml:space="preserve">Diversos                           </t>
  </si>
  <si>
    <t>Gasto de Viaje</t>
  </si>
  <si>
    <t>Gastos No deducibles</t>
  </si>
  <si>
    <t>Mantto. de Equipo de Transporte</t>
  </si>
  <si>
    <t>Mannto. Off</t>
  </si>
  <si>
    <t>Combustibles (grasas y lubricantes)</t>
  </si>
  <si>
    <t>Papelería y artículos de of.</t>
  </si>
  <si>
    <t>Cuotas y suscripciones</t>
  </si>
  <si>
    <t xml:space="preserve">Servicios Públicos </t>
  </si>
  <si>
    <t>Serv. Ventas y Admon.</t>
  </si>
  <si>
    <t>Serv. Ventas y Ad.</t>
  </si>
  <si>
    <t xml:space="preserve">Servicios </t>
  </si>
  <si>
    <t>Renta Exelgas III</t>
  </si>
  <si>
    <t>Exelco Carburnates</t>
  </si>
  <si>
    <t>Urb. Cluster 14 LV</t>
  </si>
  <si>
    <t>Const.Barda</t>
  </si>
  <si>
    <t>Cluster 14</t>
  </si>
  <si>
    <t>Cons. Casas Hab.</t>
  </si>
  <si>
    <t>Const. Casas</t>
  </si>
  <si>
    <t>Est. Monterrey</t>
  </si>
  <si>
    <t>Oxxo - Estaciones</t>
  </si>
  <si>
    <t>Municipio de N. Laredo</t>
  </si>
  <si>
    <t>Urbanizacion C13 -C1</t>
  </si>
  <si>
    <t>Urb.Las Viñas</t>
  </si>
  <si>
    <t>Mantto. Urbanizacion</t>
  </si>
  <si>
    <t xml:space="preserve">Mantto.  </t>
  </si>
  <si>
    <t>Residencial Longoria</t>
  </si>
  <si>
    <t>Vta. Ppto.</t>
  </si>
  <si>
    <t>Vta. Real</t>
  </si>
  <si>
    <t>Servicios Inmobiliarios Loder del Noreste SA de CV</t>
  </si>
  <si>
    <t>Cancelacion Lote</t>
  </si>
  <si>
    <t>Select infs_renglon renglon, RENC_DESCRIPCION CONCEPTO, renf_valor1 SI_ANO, renf_valor2 CaEnero,  renf_valor3 CrEnero,  renf_valor4 CaFebrero,  renf_valor5 CrFebrero,  renf_valor6 CaMarzo,  renf_valor7 CrMarzo, renf_valor8 SalMarzo,  renf_valor9 CaAbril,  renf_valor10 CrAbril,renf_valor11 CaMayo,  renf_valor12 CrMayo, renf_valor13 CaJunio, renf_valor14 CrJunio, renf_valor15 SalJunio,renf_valor16 CaJulio,renf_valor17 CrJulio,renf_valor18 CaAgosto,renf_valor19 CrAgosto, renf_valor20 CaSeptiebre, renf_valor21 CrSeptiembre,renf_valor22 SalSeptiembre,renf_valor23 CaOctubre,renf_valor24 CrOctubre,renf_valor25 CaNoviembre,renf_valor26 CrNoviembre,renf_valor27 CaDiciembre,renf_valor28 CrDiciembre, renf_valor29 SalDiciembre,   TO_CHAR(REPD_FECHAULTMOD,'MON-YYYY')  FECHA  FROM INF_RENGLONES A, INF_REPORTES B where A.CTBS_CIA = B.CTBS_CIA AND A.INFI_REPORTE = B.INFI_REPORTE AND A.ctbs_cia =</t>
  </si>
  <si>
    <t>RENGLON</t>
  </si>
  <si>
    <t>CONCEPTO</t>
  </si>
  <si>
    <t>SI_ANO</t>
  </si>
  <si>
    <t>CAENERO</t>
  </si>
  <si>
    <t>CRENERO</t>
  </si>
  <si>
    <t>CAFEBRERO</t>
  </si>
  <si>
    <t>CRFEBRERO</t>
  </si>
  <si>
    <t>CAMARZO</t>
  </si>
  <si>
    <t>CRMARZO</t>
  </si>
  <si>
    <t>SALMARZO</t>
  </si>
  <si>
    <t>CAABRIL</t>
  </si>
  <si>
    <t>CRABRIL</t>
  </si>
  <si>
    <t>CAMAYO</t>
  </si>
  <si>
    <t>CAJUNIO</t>
  </si>
  <si>
    <t>SALJUNIO</t>
  </si>
  <si>
    <t>CRJULIO</t>
  </si>
  <si>
    <t>CAAGOSTO</t>
  </si>
  <si>
    <t>CRAGOSTO</t>
  </si>
  <si>
    <t>CASEPTIEBRE</t>
  </si>
  <si>
    <t>CRSEPTIEMBRE</t>
  </si>
  <si>
    <t>SALSEPTIEMBRE</t>
  </si>
  <si>
    <t>CAOCTUBRE</t>
  </si>
  <si>
    <t>CROCTUBRE</t>
  </si>
  <si>
    <t>CANOVIEMBRE</t>
  </si>
  <si>
    <t>CRNOVIEMBRE</t>
  </si>
  <si>
    <t>CADICIEMBRE</t>
  </si>
  <si>
    <t>CRDICIEMBRE</t>
  </si>
  <si>
    <t>SALDICIEMBRE</t>
  </si>
  <si>
    <t>FECHA</t>
  </si>
  <si>
    <t>Real Abril</t>
  </si>
  <si>
    <t>Ppto. Abril</t>
  </si>
  <si>
    <t>Obra Municipal</t>
  </si>
  <si>
    <t>6.-</t>
  </si>
  <si>
    <t>7.-</t>
  </si>
  <si>
    <t>Copia al archivo con nombre del mes</t>
  </si>
  <si>
    <t>Borras la fecha presentacion C10</t>
  </si>
  <si>
    <t>cambias la fecha del mes cierre C12</t>
  </si>
  <si>
    <t>importas reportes</t>
  </si>
  <si>
    <t>seleccionas las hojas azules</t>
  </si>
  <si>
    <t>Las Palmas</t>
  </si>
  <si>
    <t xml:space="preserve">Urbanizacion </t>
  </si>
  <si>
    <t>Barda</t>
  </si>
  <si>
    <t>1.- Pago Off. Depot. Toner Enter.</t>
  </si>
  <si>
    <t>2.-Honorarios ABS. RG. EMA.</t>
  </si>
  <si>
    <t>3.-Mantto. Rangers, Dakota</t>
  </si>
  <si>
    <t>4.- Notas Diversas y Caja Chica</t>
  </si>
  <si>
    <t>2.- Prestacion Ser.ventas</t>
  </si>
  <si>
    <t>3.- Lazzer Pub. Fco Hiram.</t>
  </si>
  <si>
    <t>6.-Prediales y Derechos.</t>
  </si>
  <si>
    <t>7.-Avi,Telefono,Seguro,Motoneta</t>
  </si>
  <si>
    <t>4.- Comisiones Ventas</t>
  </si>
  <si>
    <t xml:space="preserve"> 16  Lotes</t>
  </si>
  <si>
    <t xml:space="preserve"> 10 Lotes</t>
  </si>
  <si>
    <t xml:space="preserve">Contribucion Marginal                   </t>
  </si>
  <si>
    <t xml:space="preserve">Depreciaciones y amortizacion           </t>
  </si>
  <si>
    <t xml:space="preserve">Perdida o Utilidad Cambiaria            </t>
  </si>
  <si>
    <t xml:space="preserve">REPOMO                                  </t>
  </si>
  <si>
    <t xml:space="preserve">Costo Integral de Financiamiento        </t>
  </si>
  <si>
    <t xml:space="preserve">I.S.R. e I.A.                           </t>
  </si>
  <si>
    <t xml:space="preserve">P.T.U.                     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</si>
  <si>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</si>
  <si>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</si>
  <si>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</si>
  <si>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</si>
  <si>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Activo Circulante                       </t>
  </si>
  <si>
    <t xml:space="preserve">Caja y Bancos                           </t>
  </si>
  <si>
    <t xml:space="preserve">Inversiones Temporales                  </t>
  </si>
  <si>
    <t xml:space="preserve">Otros Activos Circulantes               </t>
  </si>
  <si>
    <t xml:space="preserve">Total Activo Circulante                 </t>
  </si>
  <si>
    <t xml:space="preserve">Activo Fijo                             </t>
  </si>
  <si>
    <t xml:space="preserve">Mobiliario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</si>
  <si>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</si>
  <si>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</si>
  <si>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</si>
  <si>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               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</si>
  <si>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</si>
  <si>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</si>
  <si>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</si>
  <si>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</si>
  <si>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</si>
  <si>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</si>
  <si>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 xml:space="preserve">Total Otros Activos                     </t>
  </si>
  <si>
    <t xml:space="preserve">Total Activo                            </t>
  </si>
  <si>
    <t xml:space="preserve">Pasivo Circulante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</si>
  <si>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</si>
  <si>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</si>
  <si>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</si>
  <si>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 </t>
  </si>
  <si>
    <t xml:space="preserve">Total Pasivo Circulante                 </t>
  </si>
  <si>
    <t xml:space="preserve">Pasivo Fijo                             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</si>
  <si>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</si>
  <si>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</si>
  <si>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</si>
  <si>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</si>
  <si>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             </t>
  </si>
  <si>
    <t xml:space="preserve">UT. x Realizar Ventas Abonos            </t>
  </si>
  <si>
    <t xml:space="preserve">Total Pasivo Diferido                   </t>
  </si>
  <si>
    <t xml:space="preserve">Capital       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</si>
  <si>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</si>
  <si>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</si>
  <si>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</si>
  <si>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</si>
  <si>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</si>
  <si>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</si>
  <si>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</si>
  <si>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 xml:space="preserve">Diferencia                              </t>
  </si>
  <si>
    <t>Mensaje:</t>
  </si>
  <si>
    <t>CRMAYO</t>
  </si>
  <si>
    <t>CRJUNIO</t>
  </si>
  <si>
    <t>CAJULIO</t>
  </si>
  <si>
    <t>12-2019</t>
  </si>
  <si>
    <t>08/2019</t>
  </si>
  <si>
    <t>Importacion de Reportes Ejecutivos finalizada. [ 00:00:09 ]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</si>
</sst>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(* #,##0_);_(* \(#,##0\);_(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#,##0_ ;[Red]\-#,##0\ "/>
    <numFmt numFmtId="168" formatCode="0.0%;[Red]\-#.0%"/>
    <numFmt numFmtId="169" formatCode="#,##0_ ;\-#,##0\ "/>
    <numFmt numFmtId="170" formatCode="0%;[Red]\-#%"/>
    <numFmt numFmtId="171" formatCode="#,##0.0_ ;[Red]\-#,##0.0\ "/>
    <numFmt numFmtId="172" formatCode="#,##0.00_ ;[Red]\-#,##0.00\ "/>
    <numFmt numFmtId="173" formatCode="0.0%;[Red]\-\%"/>
    <numFmt numFmtId="174" formatCode="mmmm\ yyyy"/>
    <numFmt numFmtId="175" formatCode="0.00%;[Red]\-#0.00%"/>
    <numFmt numFmtId="176" formatCode="_-* #,##0_-;\-* #,##0_-;_-* &quot;-&quot;??_-;_-@_-"/>
    <numFmt numFmtId="177" formatCode="_(* #,##0.000_);_(* \(#,##0.000\);_(* &quot;-&quot;??_);_(@_)"/>
    <numFmt numFmtId="178" formatCode="0.0000"/>
    <numFmt numFmtId="179" formatCode="_(* #,##0_);_(* \(#,##0\);_(* &quot;-&quot;??_);_(@_)"/>
    <numFmt numFmtId="180" formatCode="0_ ;[Red]\-0\ "/>
  </numFmts>
  <fonts count="4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b/>
      <sz val="11"/>
      <color rgb="FFFF000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name val="Helv"/>
    </font>
    <font>
      <b/>
      <sz val="10"/>
      <name val="Times New Roman"/>
      <family val="1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Arial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Arial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FAA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5" fontId="9" fillId="0" borderId="0" applyFont="0" applyFill="0" applyBorder="0" applyAlignment="0" applyProtection="0"/>
    <xf numFmtId="0" fontId="9" fillId="0" borderId="0"/>
    <xf numFmtId="9" fontId="5" fillId="0" borderId="0" applyFont="0" applyFill="0" applyBorder="0" applyAlignment="0" applyProtection="0"/>
    <xf numFmtId="0" fontId="4" fillId="0" borderId="0"/>
    <xf numFmtId="166" fontId="13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0" fontId="3" fillId="0" borderId="0"/>
    <xf numFmtId="0" fontId="2" fillId="0" borderId="0"/>
    <xf numFmtId="166" fontId="5" fillId="0" borderId="0" applyFont="0" applyFill="0" applyBorder="0" applyAlignment="0" applyProtection="0"/>
    <xf numFmtId="0" fontId="5" fillId="0" borderId="0"/>
    <xf numFmtId="0" fontId="5" fillId="0" borderId="0"/>
  </cellStyleXfs>
  <cellXfs count="498">
    <xf numFmtId="0" fontId="0" fillId="0" borderId="0" xfId="0"/>
    <xf numFmtId="0" fontId="0" fillId="2" borderId="0" xfId="0" applyFill="1"/>
    <xf numFmtId="0" fontId="6" fillId="2" borderId="0" xfId="0" applyFont="1" applyFill="1"/>
    <xf numFmtId="167" fontId="0" fillId="2" borderId="0" xfId="0" applyNumberFormat="1" applyFill="1"/>
    <xf numFmtId="0" fontId="7" fillId="2" borderId="0" xfId="0" applyFont="1" applyFill="1"/>
    <xf numFmtId="0" fontId="8" fillId="2" borderId="0" xfId="0" applyFont="1" applyFill="1"/>
    <xf numFmtId="167" fontId="7" fillId="2" borderId="1" xfId="0" applyNumberFormat="1" applyFont="1" applyFill="1" applyBorder="1"/>
    <xf numFmtId="167" fontId="8" fillId="2" borderId="0" xfId="0" applyNumberFormat="1" applyFont="1" applyFill="1" applyBorder="1"/>
    <xf numFmtId="167" fontId="8" fillId="2" borderId="2" xfId="0" applyNumberFormat="1" applyFont="1" applyFill="1" applyBorder="1"/>
    <xf numFmtId="167" fontId="8" fillId="2" borderId="3" xfId="0" applyNumberFormat="1" applyFont="1" applyFill="1" applyBorder="1"/>
    <xf numFmtId="167" fontId="8" fillId="2" borderId="4" xfId="0" applyNumberFormat="1" applyFont="1" applyFill="1" applyBorder="1"/>
    <xf numFmtId="167" fontId="8" fillId="2" borderId="5" xfId="0" applyNumberFormat="1" applyFont="1" applyFill="1" applyBorder="1"/>
    <xf numFmtId="0" fontId="8" fillId="2" borderId="3" xfId="0" applyFont="1" applyFill="1" applyBorder="1"/>
    <xf numFmtId="0" fontId="6" fillId="2" borderId="0" xfId="0" applyFont="1" applyFill="1" applyAlignment="1">
      <alignment horizontal="center"/>
    </xf>
    <xf numFmtId="0" fontId="9" fillId="2" borderId="0" xfId="0" applyFont="1" applyFill="1"/>
    <xf numFmtId="167" fontId="8" fillId="2" borderId="1" xfId="0" applyNumberFormat="1" applyFont="1" applyFill="1" applyBorder="1"/>
    <xf numFmtId="167" fontId="8" fillId="2" borderId="6" xfId="0" applyNumberFormat="1" applyFont="1" applyFill="1" applyBorder="1"/>
    <xf numFmtId="167" fontId="6" fillId="2" borderId="1" xfId="0" applyNumberFormat="1" applyFont="1" applyFill="1" applyBorder="1"/>
    <xf numFmtId="0" fontId="0" fillId="2" borderId="0" xfId="0" applyFill="1" applyBorder="1"/>
    <xf numFmtId="0" fontId="8" fillId="2" borderId="0" xfId="0" applyFont="1" applyFill="1" applyBorder="1"/>
    <xf numFmtId="0" fontId="0" fillId="2" borderId="3" xfId="0" applyFill="1" applyBorder="1"/>
    <xf numFmtId="169" fontId="0" fillId="2" borderId="7" xfId="0" applyNumberFormat="1" applyFill="1" applyBorder="1"/>
    <xf numFmtId="169" fontId="0" fillId="2" borderId="8" xfId="0" applyNumberFormat="1" applyFill="1" applyBorder="1"/>
    <xf numFmtId="0" fontId="6" fillId="2" borderId="3" xfId="0" applyFont="1" applyFill="1" applyBorder="1"/>
    <xf numFmtId="169" fontId="6" fillId="2" borderId="4" xfId="0" applyNumberFormat="1" applyFont="1" applyFill="1" applyBorder="1"/>
    <xf numFmtId="169" fontId="0" fillId="2" borderId="5" xfId="0" applyNumberFormat="1" applyFill="1" applyBorder="1"/>
    <xf numFmtId="169" fontId="0" fillId="2" borderId="9" xfId="0" applyNumberFormat="1" applyFill="1" applyBorder="1"/>
    <xf numFmtId="169" fontId="6" fillId="2" borderId="0" xfId="0" applyNumberFormat="1" applyFont="1" applyFill="1" applyBorder="1"/>
    <xf numFmtId="169" fontId="0" fillId="2" borderId="0" xfId="0" applyNumberFormat="1" applyFill="1" applyBorder="1"/>
    <xf numFmtId="0" fontId="6" fillId="2" borderId="5" xfId="0" applyFont="1" applyFill="1" applyBorder="1"/>
    <xf numFmtId="0" fontId="6" fillId="2" borderId="4" xfId="0" applyFont="1" applyFill="1" applyBorder="1"/>
    <xf numFmtId="169" fontId="6" fillId="2" borderId="1" xfId="0" applyNumberFormat="1" applyFont="1" applyFill="1" applyBorder="1"/>
    <xf numFmtId="167" fontId="7" fillId="2" borderId="0" xfId="0" applyNumberFormat="1" applyFont="1" applyFill="1" applyBorder="1"/>
    <xf numFmtId="167" fontId="6" fillId="2" borderId="0" xfId="0" applyNumberFormat="1" applyFont="1" applyFill="1" applyBorder="1"/>
    <xf numFmtId="167" fontId="7" fillId="2" borderId="10" xfId="0" applyNumberFormat="1" applyFont="1" applyFill="1" applyBorder="1"/>
    <xf numFmtId="167" fontId="8" fillId="2" borderId="10" xfId="0" applyNumberFormat="1" applyFont="1" applyFill="1" applyBorder="1"/>
    <xf numFmtId="1" fontId="8" fillId="2" borderId="0" xfId="0" applyNumberFormat="1" applyFont="1" applyFill="1"/>
    <xf numFmtId="0" fontId="11" fillId="2" borderId="0" xfId="0" applyFont="1" applyFill="1"/>
    <xf numFmtId="170" fontId="11" fillId="2" borderId="0" xfId="0" applyNumberFormat="1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167" fontId="11" fillId="2" borderId="11" xfId="0" applyNumberFormat="1" applyFont="1" applyFill="1" applyBorder="1"/>
    <xf numFmtId="170" fontId="11" fillId="2" borderId="2" xfId="0" applyNumberFormat="1" applyFont="1" applyFill="1" applyBorder="1" applyAlignment="1">
      <alignment horizontal="right"/>
    </xf>
    <xf numFmtId="170" fontId="11" fillId="2" borderId="0" xfId="0" applyNumberFormat="1" applyFont="1" applyFill="1" applyBorder="1" applyAlignment="1">
      <alignment horizontal="right"/>
    </xf>
    <xf numFmtId="167" fontId="11" fillId="2" borderId="10" xfId="0" applyNumberFormat="1" applyFont="1" applyFill="1" applyBorder="1"/>
    <xf numFmtId="170" fontId="11" fillId="2" borderId="6" xfId="0" applyNumberFormat="1" applyFont="1" applyFill="1" applyBorder="1" applyAlignment="1">
      <alignment horizontal="right"/>
    </xf>
    <xf numFmtId="0" fontId="10" fillId="2" borderId="0" xfId="0" applyFont="1" applyFill="1" applyAlignment="1">
      <alignment horizontal="left"/>
    </xf>
    <xf numFmtId="167" fontId="10" fillId="2" borderId="12" xfId="0" applyNumberFormat="1" applyFont="1" applyFill="1" applyBorder="1"/>
    <xf numFmtId="170" fontId="10" fillId="2" borderId="1" xfId="0" applyNumberFormat="1" applyFont="1" applyFill="1" applyBorder="1" applyAlignment="1">
      <alignment horizontal="right"/>
    </xf>
    <xf numFmtId="167" fontId="11" fillId="2" borderId="0" xfId="0" applyNumberFormat="1" applyFont="1" applyFill="1"/>
    <xf numFmtId="170" fontId="11" fillId="2" borderId="3" xfId="0" applyNumberFormat="1" applyFont="1" applyFill="1" applyBorder="1" applyAlignment="1">
      <alignment horizontal="right"/>
    </xf>
    <xf numFmtId="167" fontId="11" fillId="2" borderId="13" xfId="0" applyNumberFormat="1" applyFont="1" applyFill="1" applyBorder="1"/>
    <xf numFmtId="170" fontId="11" fillId="2" borderId="2" xfId="0" applyNumberFormat="1" applyFont="1" applyFill="1" applyBorder="1" applyAlignment="1">
      <alignment horizontal="center"/>
    </xf>
    <xf numFmtId="170" fontId="11" fillId="2" borderId="3" xfId="0" applyNumberFormat="1" applyFont="1" applyFill="1" applyBorder="1" applyAlignment="1">
      <alignment horizontal="center"/>
    </xf>
    <xf numFmtId="170" fontId="10" fillId="2" borderId="1" xfId="0" applyNumberFormat="1" applyFont="1" applyFill="1" applyBorder="1" applyAlignment="1">
      <alignment horizontal="center"/>
    </xf>
    <xf numFmtId="170" fontId="11" fillId="2" borderId="11" xfId="0" applyNumberFormat="1" applyFont="1" applyFill="1" applyBorder="1" applyAlignment="1">
      <alignment horizontal="right"/>
    </xf>
    <xf numFmtId="170" fontId="11" fillId="2" borderId="10" xfId="0" applyNumberFormat="1" applyFont="1" applyFill="1" applyBorder="1" applyAlignment="1">
      <alignment horizontal="right"/>
    </xf>
    <xf numFmtId="170" fontId="11" fillId="2" borderId="13" xfId="0" applyNumberFormat="1" applyFont="1" applyFill="1" applyBorder="1" applyAlignment="1">
      <alignment horizontal="right"/>
    </xf>
    <xf numFmtId="170" fontId="11" fillId="2" borderId="6" xfId="0" applyNumberFormat="1" applyFont="1" applyFill="1" applyBorder="1" applyAlignment="1">
      <alignment horizontal="center"/>
    </xf>
    <xf numFmtId="170" fontId="11" fillId="2" borderId="0" xfId="0" applyNumberFormat="1" applyFont="1" applyFill="1" applyBorder="1" applyAlignment="1">
      <alignment horizontal="center"/>
    </xf>
    <xf numFmtId="172" fontId="11" fillId="2" borderId="0" xfId="0" applyNumberFormat="1" applyFont="1" applyFill="1"/>
    <xf numFmtId="167" fontId="6" fillId="2" borderId="0" xfId="0" applyNumberFormat="1" applyFont="1" applyFill="1"/>
    <xf numFmtId="0" fontId="0" fillId="0" borderId="0" xfId="0" applyFill="1"/>
    <xf numFmtId="4" fontId="0" fillId="0" borderId="0" xfId="0" applyNumberFormat="1" applyFill="1"/>
    <xf numFmtId="3" fontId="0" fillId="0" borderId="0" xfId="0" applyNumberFormat="1" applyFill="1"/>
    <xf numFmtId="0" fontId="0" fillId="3" borderId="11" xfId="0" applyFill="1" applyBorder="1"/>
    <xf numFmtId="0" fontId="0" fillId="3" borderId="4" xfId="0" applyFill="1" applyBorder="1"/>
    <xf numFmtId="0" fontId="0" fillId="3" borderId="10" xfId="0" applyFill="1" applyBorder="1"/>
    <xf numFmtId="0" fontId="0" fillId="3" borderId="0" xfId="0" applyFill="1" applyBorder="1"/>
    <xf numFmtId="0" fontId="0" fillId="3" borderId="8" xfId="0" applyFill="1" applyBorder="1"/>
    <xf numFmtId="3" fontId="0" fillId="3" borderId="0" xfId="0" applyNumberFormat="1" applyFill="1" applyBorder="1"/>
    <xf numFmtId="0" fontId="0" fillId="3" borderId="13" xfId="0" applyFill="1" applyBorder="1"/>
    <xf numFmtId="0" fontId="0" fillId="3" borderId="5" xfId="0" applyFill="1" applyBorder="1"/>
    <xf numFmtId="3" fontId="0" fillId="3" borderId="5" xfId="0" applyNumberFormat="1" applyFill="1" applyBorder="1"/>
    <xf numFmtId="0" fontId="6" fillId="5" borderId="0" xfId="0" applyFont="1" applyFill="1" applyAlignment="1">
      <alignment horizontal="center"/>
    </xf>
    <xf numFmtId="0" fontId="11" fillId="5" borderId="0" xfId="0" applyFont="1" applyFill="1"/>
    <xf numFmtId="170" fontId="11" fillId="5" borderId="0" xfId="0" applyNumberFormat="1" applyFont="1" applyFill="1"/>
    <xf numFmtId="170" fontId="11" fillId="5" borderId="0" xfId="0" applyNumberFormat="1" applyFont="1" applyFill="1" applyBorder="1" applyAlignment="1">
      <alignment horizontal="right"/>
    </xf>
    <xf numFmtId="167" fontId="11" fillId="5" borderId="11" xfId="0" applyNumberFormat="1" applyFont="1" applyFill="1" applyBorder="1"/>
    <xf numFmtId="170" fontId="11" fillId="5" borderId="2" xfId="0" applyNumberFormat="1" applyFont="1" applyFill="1" applyBorder="1" applyAlignment="1">
      <alignment horizontal="center"/>
    </xf>
    <xf numFmtId="167" fontId="11" fillId="5" borderId="10" xfId="0" applyNumberFormat="1" applyFont="1" applyFill="1" applyBorder="1"/>
    <xf numFmtId="170" fontId="11" fillId="5" borderId="6" xfId="0" applyNumberFormat="1" applyFont="1" applyFill="1" applyBorder="1" applyAlignment="1">
      <alignment horizontal="center"/>
    </xf>
    <xf numFmtId="167" fontId="10" fillId="5" borderId="12" xfId="0" applyNumberFormat="1" applyFont="1" applyFill="1" applyBorder="1"/>
    <xf numFmtId="170" fontId="10" fillId="5" borderId="1" xfId="0" applyNumberFormat="1" applyFont="1" applyFill="1" applyBorder="1" applyAlignment="1">
      <alignment horizontal="center"/>
    </xf>
    <xf numFmtId="167" fontId="11" fillId="5" borderId="0" xfId="0" applyNumberFormat="1" applyFont="1" applyFill="1"/>
    <xf numFmtId="170" fontId="11" fillId="5" borderId="0" xfId="0" applyNumberFormat="1" applyFont="1" applyFill="1" applyBorder="1" applyAlignment="1">
      <alignment horizontal="center"/>
    </xf>
    <xf numFmtId="170" fontId="11" fillId="5" borderId="3" xfId="0" applyNumberFormat="1" applyFont="1" applyFill="1" applyBorder="1" applyAlignment="1">
      <alignment horizontal="center"/>
    </xf>
    <xf numFmtId="167" fontId="11" fillId="5" borderId="13" xfId="0" applyNumberFormat="1" applyFont="1" applyFill="1" applyBorder="1"/>
    <xf numFmtId="167" fontId="11" fillId="2" borderId="0" xfId="0" applyNumberFormat="1" applyFont="1" applyFill="1" applyBorder="1"/>
    <xf numFmtId="168" fontId="9" fillId="5" borderId="0" xfId="0" applyNumberFormat="1" applyFont="1" applyFill="1"/>
    <xf numFmtId="0" fontId="0" fillId="0" borderId="10" xfId="0" applyBorder="1"/>
    <xf numFmtId="164" fontId="8" fillId="2" borderId="3" xfId="0" applyNumberFormat="1" applyFont="1" applyFill="1" applyBorder="1"/>
    <xf numFmtId="164" fontId="0" fillId="2" borderId="0" xfId="0" applyNumberFormat="1" applyFill="1"/>
    <xf numFmtId="0" fontId="8" fillId="5" borderId="0" xfId="0" applyFont="1" applyFill="1"/>
    <xf numFmtId="167" fontId="7" fillId="5" borderId="1" xfId="0" applyNumberFormat="1" applyFont="1" applyFill="1" applyBorder="1"/>
    <xf numFmtId="170" fontId="11" fillId="5" borderId="2" xfId="0" applyNumberFormat="1" applyFont="1" applyFill="1" applyBorder="1" applyAlignment="1">
      <alignment horizontal="right"/>
    </xf>
    <xf numFmtId="170" fontId="11" fillId="5" borderId="6" xfId="0" applyNumberFormat="1" applyFont="1" applyFill="1" applyBorder="1" applyAlignment="1">
      <alignment horizontal="right"/>
    </xf>
    <xf numFmtId="170" fontId="10" fillId="5" borderId="1" xfId="0" applyNumberFormat="1" applyFont="1" applyFill="1" applyBorder="1" applyAlignment="1">
      <alignment horizontal="right"/>
    </xf>
    <xf numFmtId="170" fontId="11" fillId="5" borderId="3" xfId="0" applyNumberFormat="1" applyFont="1" applyFill="1" applyBorder="1" applyAlignment="1">
      <alignment horizontal="right"/>
    </xf>
    <xf numFmtId="170" fontId="11" fillId="5" borderId="11" xfId="0" applyNumberFormat="1" applyFont="1" applyFill="1" applyBorder="1" applyAlignment="1">
      <alignment horizontal="right"/>
    </xf>
    <xf numFmtId="170" fontId="11" fillId="5" borderId="10" xfId="0" applyNumberFormat="1" applyFont="1" applyFill="1" applyBorder="1" applyAlignment="1">
      <alignment horizontal="right"/>
    </xf>
    <xf numFmtId="170" fontId="11" fillId="5" borderId="13" xfId="0" applyNumberFormat="1" applyFont="1" applyFill="1" applyBorder="1" applyAlignment="1">
      <alignment horizontal="right"/>
    </xf>
    <xf numFmtId="0" fontId="7" fillId="5" borderId="0" xfId="0" applyFont="1" applyFill="1"/>
    <xf numFmtId="0" fontId="10" fillId="5" borderId="0" xfId="0" applyFont="1" applyFill="1" applyAlignment="1">
      <alignment horizontal="center"/>
    </xf>
    <xf numFmtId="172" fontId="11" fillId="5" borderId="0" xfId="0" applyNumberFormat="1" applyFont="1" applyFill="1"/>
    <xf numFmtId="167" fontId="11" fillId="5" borderId="0" xfId="0" applyNumberFormat="1" applyFont="1" applyFill="1" applyBorder="1"/>
    <xf numFmtId="165" fontId="0" fillId="2" borderId="0" xfId="0" applyNumberFormat="1" applyFill="1"/>
    <xf numFmtId="0" fontId="4" fillId="0" borderId="0" xfId="4"/>
    <xf numFmtId="0" fontId="4" fillId="0" borderId="0" xfId="4" applyAlignment="1">
      <alignment horizontal="center"/>
    </xf>
    <xf numFmtId="0" fontId="4" fillId="0" borderId="0" xfId="4" applyFill="1" applyBorder="1"/>
    <xf numFmtId="0" fontId="4" fillId="0" borderId="0" xfId="4" applyFill="1"/>
    <xf numFmtId="0" fontId="12" fillId="6" borderId="1" xfId="4" applyFont="1" applyFill="1" applyBorder="1"/>
    <xf numFmtId="17" fontId="0" fillId="0" borderId="0" xfId="0" applyNumberFormat="1"/>
    <xf numFmtId="164" fontId="0" fillId="3" borderId="8" xfId="0" applyNumberFormat="1" applyFill="1" applyBorder="1"/>
    <xf numFmtId="164" fontId="0" fillId="3" borderId="9" xfId="0" applyNumberFormat="1" applyFill="1" applyBorder="1"/>
    <xf numFmtId="167" fontId="0" fillId="3" borderId="0" xfId="0" applyNumberFormat="1" applyFill="1" applyBorder="1"/>
    <xf numFmtId="167" fontId="0" fillId="3" borderId="8" xfId="0" applyNumberFormat="1" applyFill="1" applyBorder="1"/>
    <xf numFmtId="0" fontId="6" fillId="3" borderId="10" xfId="0" applyFont="1" applyFill="1" applyBorder="1"/>
    <xf numFmtId="0" fontId="4" fillId="3" borderId="1" xfId="4" applyFill="1" applyBorder="1"/>
    <xf numFmtId="170" fontId="11" fillId="0" borderId="0" xfId="0" applyNumberFormat="1" applyFont="1" applyFill="1"/>
    <xf numFmtId="0" fontId="11" fillId="0" borderId="0" xfId="0" applyFont="1" applyFill="1"/>
    <xf numFmtId="0" fontId="10" fillId="0" borderId="0" xfId="0" applyFont="1" applyFill="1" applyAlignment="1">
      <alignment horizontal="center"/>
    </xf>
    <xf numFmtId="17" fontId="10" fillId="0" borderId="0" xfId="0" quotePrefix="1" applyNumberFormat="1" applyFont="1" applyFill="1" applyAlignment="1">
      <alignment horizontal="center"/>
    </xf>
    <xf numFmtId="170" fontId="11" fillId="0" borderId="0" xfId="0" applyNumberFormat="1" applyFont="1" applyFill="1" applyBorder="1" applyAlignment="1">
      <alignment horizontal="right"/>
    </xf>
    <xf numFmtId="168" fontId="11" fillId="0" borderId="0" xfId="0" applyNumberFormat="1" applyFont="1" applyFill="1" applyBorder="1" applyAlignment="1">
      <alignment horizontal="right"/>
    </xf>
    <xf numFmtId="168" fontId="10" fillId="0" borderId="0" xfId="0" applyNumberFormat="1" applyFont="1" applyFill="1" applyBorder="1" applyAlignment="1">
      <alignment horizontal="right"/>
    </xf>
    <xf numFmtId="167" fontId="11" fillId="0" borderId="0" xfId="0" applyNumberFormat="1" applyFont="1" applyFill="1"/>
    <xf numFmtId="0" fontId="10" fillId="0" borderId="0" xfId="0" applyFont="1" applyFill="1"/>
    <xf numFmtId="0" fontId="11" fillId="0" borderId="0" xfId="0" applyFont="1" applyFill="1" applyAlignment="1">
      <alignment horizontal="left"/>
    </xf>
    <xf numFmtId="169" fontId="11" fillId="0" borderId="11" xfId="0" applyNumberFormat="1" applyFont="1" applyFill="1" applyBorder="1"/>
    <xf numFmtId="170" fontId="11" fillId="0" borderId="2" xfId="0" applyNumberFormat="1" applyFont="1" applyFill="1" applyBorder="1" applyAlignment="1">
      <alignment horizontal="right"/>
    </xf>
    <xf numFmtId="167" fontId="11" fillId="0" borderId="11" xfId="0" applyNumberFormat="1" applyFont="1" applyFill="1" applyBorder="1"/>
    <xf numFmtId="167" fontId="11" fillId="0" borderId="2" xfId="0" applyNumberFormat="1" applyFont="1" applyFill="1" applyBorder="1"/>
    <xf numFmtId="168" fontId="11" fillId="0" borderId="2" xfId="3" applyNumberFormat="1" applyFont="1" applyFill="1" applyBorder="1" applyAlignment="1">
      <alignment horizontal="center"/>
    </xf>
    <xf numFmtId="167" fontId="11" fillId="0" borderId="10" xfId="0" applyNumberFormat="1" applyFont="1" applyFill="1" applyBorder="1"/>
    <xf numFmtId="170" fontId="11" fillId="0" borderId="6" xfId="0" applyNumberFormat="1" applyFont="1" applyFill="1" applyBorder="1" applyAlignment="1">
      <alignment horizontal="right"/>
    </xf>
    <xf numFmtId="167" fontId="11" fillId="0" borderId="3" xfId="0" applyNumberFormat="1" applyFont="1" applyFill="1" applyBorder="1"/>
    <xf numFmtId="168" fontId="11" fillId="0" borderId="3" xfId="3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left"/>
    </xf>
    <xf numFmtId="169" fontId="6" fillId="0" borderId="12" xfId="0" applyNumberFormat="1" applyFont="1" applyFill="1" applyBorder="1"/>
    <xf numFmtId="170" fontId="10" fillId="0" borderId="1" xfId="0" applyNumberFormat="1" applyFont="1" applyFill="1" applyBorder="1" applyAlignment="1">
      <alignment horizontal="right"/>
    </xf>
    <xf numFmtId="167" fontId="10" fillId="0" borderId="12" xfId="0" applyNumberFormat="1" applyFont="1" applyFill="1" applyBorder="1"/>
    <xf numFmtId="167" fontId="10" fillId="0" borderId="1" xfId="0" applyNumberFormat="1" applyFont="1" applyFill="1" applyBorder="1"/>
    <xf numFmtId="168" fontId="10" fillId="0" borderId="1" xfId="3" applyNumberFormat="1" applyFont="1" applyFill="1" applyBorder="1" applyAlignment="1">
      <alignment horizontal="center"/>
    </xf>
    <xf numFmtId="168" fontId="11" fillId="0" borderId="0" xfId="3" applyNumberFormat="1" applyFont="1" applyFill="1" applyAlignment="1">
      <alignment horizontal="center"/>
    </xf>
    <xf numFmtId="170" fontId="11" fillId="0" borderId="3" xfId="0" applyNumberFormat="1" applyFont="1" applyFill="1" applyBorder="1" applyAlignment="1">
      <alignment horizontal="right"/>
    </xf>
    <xf numFmtId="167" fontId="11" fillId="0" borderId="13" xfId="0" applyNumberFormat="1" applyFont="1" applyFill="1" applyBorder="1"/>
    <xf numFmtId="170" fontId="11" fillId="0" borderId="11" xfId="0" applyNumberFormat="1" applyFont="1" applyFill="1" applyBorder="1" applyAlignment="1">
      <alignment horizontal="right"/>
    </xf>
    <xf numFmtId="170" fontId="11" fillId="0" borderId="10" xfId="0" applyNumberFormat="1" applyFont="1" applyFill="1" applyBorder="1" applyAlignment="1">
      <alignment horizontal="right"/>
    </xf>
    <xf numFmtId="170" fontId="11" fillId="0" borderId="13" xfId="0" applyNumberFormat="1" applyFont="1" applyFill="1" applyBorder="1" applyAlignment="1">
      <alignment horizontal="right"/>
    </xf>
    <xf numFmtId="0" fontId="6" fillId="0" borderId="0" xfId="0" applyFont="1" applyFill="1"/>
    <xf numFmtId="170" fontId="11" fillId="0" borderId="7" xfId="0" applyNumberFormat="1" applyFont="1" applyFill="1" applyBorder="1" applyAlignment="1">
      <alignment horizontal="right"/>
    </xf>
    <xf numFmtId="170" fontId="11" fillId="0" borderId="8" xfId="0" applyNumberFormat="1" applyFont="1" applyFill="1" applyBorder="1" applyAlignment="1">
      <alignment horizontal="right"/>
    </xf>
    <xf numFmtId="170" fontId="11" fillId="0" borderId="9" xfId="0" applyNumberFormat="1" applyFont="1" applyFill="1" applyBorder="1" applyAlignment="1">
      <alignment horizontal="right"/>
    </xf>
    <xf numFmtId="170" fontId="11" fillId="0" borderId="2" xfId="0" applyNumberFormat="1" applyFont="1" applyFill="1" applyBorder="1" applyAlignment="1">
      <alignment horizontal="center"/>
    </xf>
    <xf numFmtId="170" fontId="11" fillId="0" borderId="6" xfId="0" applyNumberFormat="1" applyFont="1" applyFill="1" applyBorder="1" applyAlignment="1">
      <alignment horizontal="center"/>
    </xf>
    <xf numFmtId="170" fontId="10" fillId="0" borderId="1" xfId="0" applyNumberFormat="1" applyFont="1" applyFill="1" applyBorder="1" applyAlignment="1">
      <alignment horizontal="center"/>
    </xf>
    <xf numFmtId="170" fontId="11" fillId="0" borderId="0" xfId="0" applyNumberFormat="1" applyFont="1" applyFill="1" applyBorder="1" applyAlignment="1">
      <alignment horizontal="center"/>
    </xf>
    <xf numFmtId="170" fontId="11" fillId="0" borderId="3" xfId="0" applyNumberFormat="1" applyFont="1" applyFill="1" applyBorder="1" applyAlignment="1">
      <alignment horizontal="center"/>
    </xf>
    <xf numFmtId="167" fontId="6" fillId="0" borderId="1" xfId="0" applyNumberFormat="1" applyFont="1" applyFill="1" applyBorder="1"/>
    <xf numFmtId="173" fontId="0" fillId="0" borderId="2" xfId="3" applyNumberFormat="1" applyFont="1" applyFill="1" applyBorder="1" applyAlignment="1">
      <alignment horizontal="center"/>
    </xf>
    <xf numFmtId="173" fontId="0" fillId="0" borderId="6" xfId="3" applyNumberFormat="1" applyFont="1" applyFill="1" applyBorder="1" applyAlignment="1">
      <alignment horizontal="center"/>
    </xf>
    <xf numFmtId="173" fontId="6" fillId="0" borderId="1" xfId="3" applyNumberFormat="1" applyFont="1" applyFill="1" applyBorder="1" applyAlignment="1">
      <alignment horizontal="center"/>
    </xf>
    <xf numFmtId="171" fontId="9" fillId="0" borderId="1" xfId="0" applyNumberFormat="1" applyFont="1" applyFill="1" applyBorder="1" applyAlignment="1">
      <alignment horizontal="center"/>
    </xf>
    <xf numFmtId="167" fontId="6" fillId="0" borderId="0" xfId="0" applyNumberFormat="1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0" xfId="0" applyFont="1" applyFill="1" applyBorder="1"/>
    <xf numFmtId="17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11" xfId="0" applyFill="1" applyBorder="1"/>
    <xf numFmtId="0" fontId="0" fillId="0" borderId="4" xfId="0" applyFill="1" applyBorder="1"/>
    <xf numFmtId="0" fontId="0" fillId="0" borderId="10" xfId="0" applyFill="1" applyBorder="1"/>
    <xf numFmtId="0" fontId="0" fillId="0" borderId="0" xfId="0" applyFill="1" applyBorder="1"/>
    <xf numFmtId="0" fontId="0" fillId="0" borderId="8" xfId="0" applyFill="1" applyBorder="1"/>
    <xf numFmtId="3" fontId="0" fillId="0" borderId="0" xfId="0" applyNumberFormat="1" applyFill="1" applyBorder="1"/>
    <xf numFmtId="164" fontId="0" fillId="0" borderId="8" xfId="0" applyNumberFormat="1" applyFill="1" applyBorder="1"/>
    <xf numFmtId="0" fontId="0" fillId="0" borderId="7" xfId="0" applyFill="1" applyBorder="1"/>
    <xf numFmtId="0" fontId="0" fillId="0" borderId="13" xfId="0" applyFill="1" applyBorder="1"/>
    <xf numFmtId="0" fontId="0" fillId="0" borderId="5" xfId="0" applyFill="1" applyBorder="1"/>
    <xf numFmtId="17" fontId="6" fillId="0" borderId="0" xfId="0" applyNumberFormat="1" applyFont="1" applyFill="1"/>
    <xf numFmtId="17" fontId="0" fillId="0" borderId="0" xfId="0" applyNumberFormat="1" applyFill="1"/>
    <xf numFmtId="167" fontId="0" fillId="0" borderId="0" xfId="0" applyNumberFormat="1" applyFill="1" applyBorder="1"/>
    <xf numFmtId="167" fontId="0" fillId="0" borderId="8" xfId="0" applyNumberFormat="1" applyFill="1" applyBorder="1"/>
    <xf numFmtId="167" fontId="0" fillId="0" borderId="0" xfId="0" applyNumberFormat="1" applyFill="1"/>
    <xf numFmtId="167" fontId="0" fillId="0" borderId="5" xfId="0" applyNumberFormat="1" applyFill="1" applyBorder="1"/>
    <xf numFmtId="167" fontId="0" fillId="0" borderId="9" xfId="0" applyNumberFormat="1" applyFill="1" applyBorder="1"/>
    <xf numFmtId="4" fontId="0" fillId="0" borderId="0" xfId="0" applyNumberFormat="1" applyFill="1" applyBorder="1"/>
    <xf numFmtId="0" fontId="6" fillId="0" borderId="0" xfId="0" applyFont="1" applyFill="1" applyBorder="1"/>
    <xf numFmtId="17" fontId="0" fillId="0" borderId="0" xfId="0" applyNumberFormat="1" applyFill="1" applyBorder="1"/>
    <xf numFmtId="0" fontId="0" fillId="8" borderId="10" xfId="0" applyFill="1" applyBorder="1"/>
    <xf numFmtId="0" fontId="0" fillId="8" borderId="0" xfId="0" applyFill="1" applyBorder="1"/>
    <xf numFmtId="0" fontId="6" fillId="7" borderId="0" xfId="0" applyFont="1" applyFill="1"/>
    <xf numFmtId="0" fontId="10" fillId="7" borderId="0" xfId="0" applyFont="1" applyFill="1"/>
    <xf numFmtId="0" fontId="10" fillId="7" borderId="0" xfId="0" applyFont="1" applyFill="1" applyAlignment="1">
      <alignment horizontal="center"/>
    </xf>
    <xf numFmtId="0" fontId="6" fillId="0" borderId="0" xfId="0" applyFont="1"/>
    <xf numFmtId="38" fontId="0" fillId="0" borderId="0" xfId="0" applyNumberFormat="1"/>
    <xf numFmtId="38" fontId="6" fillId="0" borderId="0" xfId="0" applyNumberFormat="1" applyFont="1"/>
    <xf numFmtId="175" fontId="0" fillId="0" borderId="0" xfId="3" applyNumberFormat="1" applyFont="1"/>
    <xf numFmtId="166" fontId="0" fillId="0" borderId="0" xfId="5" applyFont="1"/>
    <xf numFmtId="0" fontId="10" fillId="0" borderId="0" xfId="0" applyFont="1" applyFill="1" applyAlignment="1">
      <alignment horizontal="center"/>
    </xf>
    <xf numFmtId="0" fontId="6" fillId="8" borderId="11" xfId="0" applyFont="1" applyFill="1" applyBorder="1"/>
    <xf numFmtId="0" fontId="6" fillId="8" borderId="4" xfId="0" applyFont="1" applyFill="1" applyBorder="1"/>
    <xf numFmtId="0" fontId="6" fillId="8" borderId="7" xfId="0" applyFont="1" applyFill="1" applyBorder="1"/>
    <xf numFmtId="0" fontId="6" fillId="8" borderId="10" xfId="0" applyFont="1" applyFill="1" applyBorder="1"/>
    <xf numFmtId="0" fontId="6" fillId="8" borderId="0" xfId="0" applyFont="1" applyFill="1" applyBorder="1"/>
    <xf numFmtId="0" fontId="6" fillId="8" borderId="8" xfId="0" applyFont="1" applyFill="1" applyBorder="1"/>
    <xf numFmtId="0" fontId="6" fillId="8" borderId="13" xfId="0" applyFont="1" applyFill="1" applyBorder="1"/>
    <xf numFmtId="0" fontId="6" fillId="8" borderId="5" xfId="0" applyFont="1" applyFill="1" applyBorder="1"/>
    <xf numFmtId="0" fontId="6" fillId="8" borderId="9" xfId="0" applyFont="1" applyFill="1" applyBorder="1"/>
    <xf numFmtId="167" fontId="0" fillId="3" borderId="5" xfId="0" applyNumberFormat="1" applyFill="1" applyBorder="1"/>
    <xf numFmtId="167" fontId="0" fillId="3" borderId="9" xfId="0" applyNumberFormat="1" applyFill="1" applyBorder="1"/>
    <xf numFmtId="0" fontId="0" fillId="8" borderId="13" xfId="0" applyFill="1" applyBorder="1"/>
    <xf numFmtId="0" fontId="0" fillId="8" borderId="5" xfId="0" applyFill="1" applyBorder="1"/>
    <xf numFmtId="0" fontId="0" fillId="8" borderId="9" xfId="0" applyFill="1" applyBorder="1"/>
    <xf numFmtId="38" fontId="6" fillId="8" borderId="4" xfId="0" applyNumberFormat="1" applyFont="1" applyFill="1" applyBorder="1"/>
    <xf numFmtId="175" fontId="6" fillId="8" borderId="4" xfId="3" applyNumberFormat="1" applyFont="1" applyFill="1" applyBorder="1"/>
    <xf numFmtId="175" fontId="6" fillId="8" borderId="7" xfId="3" applyNumberFormat="1" applyFont="1" applyFill="1" applyBorder="1"/>
    <xf numFmtId="38" fontId="0" fillId="8" borderId="0" xfId="0" applyNumberFormat="1" applyFill="1" applyBorder="1"/>
    <xf numFmtId="175" fontId="0" fillId="8" borderId="0" xfId="3" applyNumberFormat="1" applyFont="1" applyFill="1" applyBorder="1"/>
    <xf numFmtId="175" fontId="0" fillId="8" borderId="8" xfId="3" applyNumberFormat="1" applyFont="1" applyFill="1" applyBorder="1"/>
    <xf numFmtId="38" fontId="0" fillId="8" borderId="5" xfId="0" applyNumberFormat="1" applyFill="1" applyBorder="1"/>
    <xf numFmtId="175" fontId="0" fillId="8" borderId="5" xfId="3" applyNumberFormat="1" applyFont="1" applyFill="1" applyBorder="1"/>
    <xf numFmtId="175" fontId="0" fillId="8" borderId="9" xfId="3" applyNumberFormat="1" applyFont="1" applyFill="1" applyBorder="1"/>
    <xf numFmtId="38" fontId="0" fillId="3" borderId="0" xfId="0" applyNumberFormat="1" applyFill="1" applyBorder="1"/>
    <xf numFmtId="166" fontId="0" fillId="3" borderId="0" xfId="5" applyFont="1" applyFill="1" applyBorder="1"/>
    <xf numFmtId="166" fontId="0" fillId="3" borderId="8" xfId="5" applyFont="1" applyFill="1" applyBorder="1"/>
    <xf numFmtId="38" fontId="0" fillId="3" borderId="5" xfId="0" applyNumberFormat="1" applyFill="1" applyBorder="1"/>
    <xf numFmtId="166" fontId="0" fillId="3" borderId="5" xfId="5" applyFont="1" applyFill="1" applyBorder="1"/>
    <xf numFmtId="166" fontId="0" fillId="3" borderId="9" xfId="5" applyFont="1" applyFill="1" applyBorder="1"/>
    <xf numFmtId="38" fontId="0" fillId="3" borderId="4" xfId="0" applyNumberFormat="1" applyFill="1" applyBorder="1"/>
    <xf numFmtId="166" fontId="0" fillId="3" borderId="4" xfId="5" applyFont="1" applyFill="1" applyBorder="1"/>
    <xf numFmtId="166" fontId="0" fillId="3" borderId="7" xfId="5" applyFont="1" applyFill="1" applyBorder="1"/>
    <xf numFmtId="170" fontId="11" fillId="0" borderId="0" xfId="0" applyNumberFormat="1" applyFont="1" applyFill="1" applyAlignment="1">
      <alignment horizontal="center"/>
    </xf>
    <xf numFmtId="169" fontId="0" fillId="0" borderId="0" xfId="0" applyNumberFormat="1" applyFill="1"/>
    <xf numFmtId="9" fontId="5" fillId="0" borderId="0" xfId="3" applyNumberFormat="1" applyFont="1" applyFill="1" applyBorder="1" applyAlignment="1">
      <alignment horizontal="center"/>
    </xf>
    <xf numFmtId="178" fontId="6" fillId="0" borderId="0" xfId="6" applyNumberFormat="1" applyFont="1" applyFill="1"/>
    <xf numFmtId="0" fontId="5" fillId="0" borderId="0" xfId="6"/>
    <xf numFmtId="166" fontId="5" fillId="0" borderId="0" xfId="6" applyNumberFormat="1"/>
    <xf numFmtId="0" fontId="18" fillId="0" borderId="0" xfId="6" applyFont="1"/>
    <xf numFmtId="0" fontId="16" fillId="0" borderId="0" xfId="6" applyFont="1"/>
    <xf numFmtId="0" fontId="6" fillId="0" borderId="0" xfId="6" applyFont="1"/>
    <xf numFmtId="166" fontId="16" fillId="0" borderId="0" xfId="6" applyNumberFormat="1" applyFont="1"/>
    <xf numFmtId="166" fontId="18" fillId="0" borderId="0" xfId="6" applyNumberFormat="1" applyFont="1"/>
    <xf numFmtId="0" fontId="19" fillId="5" borderId="0" xfId="6" applyFont="1" applyFill="1"/>
    <xf numFmtId="0" fontId="20" fillId="5" borderId="0" xfId="6" applyFont="1" applyFill="1"/>
    <xf numFmtId="166" fontId="20" fillId="5" borderId="0" xfId="6" applyNumberFormat="1" applyFont="1" applyFill="1"/>
    <xf numFmtId="166" fontId="20" fillId="5" borderId="1" xfId="6" applyNumberFormat="1" applyFont="1" applyFill="1" applyBorder="1"/>
    <xf numFmtId="0" fontId="20" fillId="5" borderId="1" xfId="6" applyFont="1" applyFill="1" applyBorder="1"/>
    <xf numFmtId="166" fontId="19" fillId="5" borderId="0" xfId="6" applyNumberFormat="1" applyFont="1" applyFill="1"/>
    <xf numFmtId="166" fontId="19" fillId="4" borderId="1" xfId="6" applyNumberFormat="1" applyFont="1" applyFill="1" applyBorder="1"/>
    <xf numFmtId="166" fontId="19" fillId="5" borderId="1" xfId="6" applyNumberFormat="1" applyFont="1" applyFill="1" applyBorder="1"/>
    <xf numFmtId="166" fontId="20" fillId="11" borderId="0" xfId="6" applyNumberFormat="1" applyFont="1" applyFill="1"/>
    <xf numFmtId="166" fontId="20" fillId="4" borderId="0" xfId="6" applyNumberFormat="1" applyFont="1" applyFill="1"/>
    <xf numFmtId="166" fontId="20" fillId="11" borderId="1" xfId="6" applyNumberFormat="1" applyFont="1" applyFill="1" applyBorder="1"/>
    <xf numFmtId="166" fontId="19" fillId="4" borderId="0" xfId="6" applyNumberFormat="1" applyFont="1" applyFill="1"/>
    <xf numFmtId="0" fontId="19" fillId="5" borderId="1" xfId="6" applyFont="1" applyFill="1" applyBorder="1"/>
    <xf numFmtId="166" fontId="19" fillId="5" borderId="0" xfId="6" applyNumberFormat="1" applyFont="1" applyFill="1" applyBorder="1"/>
    <xf numFmtId="0" fontId="19" fillId="5" borderId="0" xfId="6" applyFont="1" applyFill="1" applyBorder="1"/>
    <xf numFmtId="166" fontId="20" fillId="5" borderId="0" xfId="6" applyNumberFormat="1" applyFont="1" applyFill="1" applyBorder="1"/>
    <xf numFmtId="0" fontId="20" fillId="5" borderId="0" xfId="6" applyFont="1" applyFill="1" applyBorder="1"/>
    <xf numFmtId="0" fontId="20" fillId="12" borderId="2" xfId="6" applyFont="1" applyFill="1" applyBorder="1" applyAlignment="1">
      <alignment horizontal="center"/>
    </xf>
    <xf numFmtId="0" fontId="20" fillId="12" borderId="2" xfId="6" applyFont="1" applyFill="1" applyBorder="1"/>
    <xf numFmtId="0" fontId="20" fillId="11" borderId="2" xfId="6" applyFont="1" applyFill="1" applyBorder="1" applyAlignment="1">
      <alignment horizontal="center"/>
    </xf>
    <xf numFmtId="17" fontId="20" fillId="11" borderId="2" xfId="6" applyNumberFormat="1" applyFont="1" applyFill="1" applyBorder="1" applyAlignment="1">
      <alignment horizontal="center"/>
    </xf>
    <xf numFmtId="0" fontId="20" fillId="11" borderId="1" xfId="6" applyFont="1" applyFill="1" applyBorder="1" applyAlignment="1">
      <alignment horizontal="center"/>
    </xf>
    <xf numFmtId="17" fontId="20" fillId="11" borderId="1" xfId="6" applyNumberFormat="1" applyFont="1" applyFill="1" applyBorder="1" applyAlignment="1">
      <alignment horizontal="center"/>
    </xf>
    <xf numFmtId="179" fontId="5" fillId="0" borderId="0" xfId="6" applyNumberFormat="1"/>
    <xf numFmtId="179" fontId="6" fillId="0" borderId="1" xfId="6" applyNumberFormat="1" applyFont="1" applyBorder="1"/>
    <xf numFmtId="0" fontId="5" fillId="0" borderId="1" xfId="6" applyBorder="1"/>
    <xf numFmtId="179" fontId="5" fillId="0" borderId="1" xfId="6" applyNumberFormat="1" applyBorder="1"/>
    <xf numFmtId="179" fontId="16" fillId="0" borderId="4" xfId="7" applyNumberFormat="1" applyFont="1" applyBorder="1" applyProtection="1"/>
    <xf numFmtId="179" fontId="16" fillId="0" borderId="11" xfId="7" applyNumberFormat="1" applyFont="1" applyBorder="1" applyProtection="1"/>
    <xf numFmtId="179" fontId="18" fillId="2" borderId="1" xfId="7" applyNumberFormat="1" applyFont="1" applyFill="1" applyBorder="1" applyProtection="1">
      <protection locked="0"/>
    </xf>
    <xf numFmtId="179" fontId="18" fillId="4" borderId="1" xfId="7" applyNumberFormat="1" applyFont="1" applyFill="1" applyBorder="1" applyProtection="1">
      <protection locked="0"/>
    </xf>
    <xf numFmtId="179" fontId="18" fillId="0" borderId="1" xfId="7" applyNumberFormat="1" applyFont="1" applyBorder="1" applyProtection="1"/>
    <xf numFmtId="0" fontId="5" fillId="0" borderId="0" xfId="6" applyBorder="1"/>
    <xf numFmtId="179" fontId="18" fillId="13" borderId="1" xfId="7" applyNumberFormat="1" applyFont="1" applyFill="1" applyBorder="1" applyProtection="1">
      <protection locked="0"/>
    </xf>
    <xf numFmtId="37" fontId="21" fillId="0" borderId="0" xfId="6" applyNumberFormat="1" applyFont="1" applyBorder="1" applyAlignment="1" applyProtection="1">
      <alignment horizontal="left"/>
      <protection locked="0"/>
    </xf>
    <xf numFmtId="0" fontId="16" fillId="0" borderId="14" xfId="7" applyNumberFormat="1" applyFont="1" applyBorder="1" applyProtection="1"/>
    <xf numFmtId="179" fontId="16" fillId="0" borderId="14" xfId="7" applyNumberFormat="1" applyFont="1" applyBorder="1" applyProtection="1"/>
    <xf numFmtId="179" fontId="16" fillId="0" borderId="12" xfId="7" applyNumberFormat="1" applyFont="1" applyBorder="1" applyProtection="1"/>
    <xf numFmtId="179" fontId="18" fillId="0" borderId="0" xfId="7" applyNumberFormat="1" applyFont="1" applyProtection="1"/>
    <xf numFmtId="0" fontId="5" fillId="5" borderId="0" xfId="6" applyFill="1"/>
    <xf numFmtId="164" fontId="5" fillId="4" borderId="1" xfId="6" applyNumberFormat="1" applyFill="1" applyBorder="1"/>
    <xf numFmtId="164" fontId="5" fillId="5" borderId="0" xfId="6" applyNumberFormat="1" applyFill="1"/>
    <xf numFmtId="164" fontId="6" fillId="5" borderId="1" xfId="6" applyNumberFormat="1" applyFont="1" applyFill="1" applyBorder="1"/>
    <xf numFmtId="0" fontId="6" fillId="0" borderId="0" xfId="6" applyFont="1" applyFill="1"/>
    <xf numFmtId="0" fontId="5" fillId="0" borderId="0" xfId="6" applyFont="1" applyFill="1"/>
    <xf numFmtId="0" fontId="6" fillId="0" borderId="0" xfId="6" applyFont="1" applyFill="1" applyAlignment="1">
      <alignment horizontal="center"/>
    </xf>
    <xf numFmtId="177" fontId="14" fillId="0" borderId="0" xfId="7" applyNumberFormat="1" applyFont="1" applyFill="1" applyBorder="1"/>
    <xf numFmtId="177" fontId="14" fillId="0" borderId="0" xfId="6" applyNumberFormat="1" applyFont="1" applyFill="1" applyBorder="1"/>
    <xf numFmtId="0" fontId="6" fillId="0" borderId="0" xfId="6" applyFont="1" applyFill="1" applyBorder="1" applyAlignment="1">
      <alignment horizontal="center"/>
    </xf>
    <xf numFmtId="0" fontId="7" fillId="0" borderId="0" xfId="6" applyFont="1" applyFill="1"/>
    <xf numFmtId="176" fontId="6" fillId="0" borderId="1" xfId="7" applyNumberFormat="1" applyFont="1" applyFill="1" applyBorder="1"/>
    <xf numFmtId="176" fontId="6" fillId="0" borderId="0" xfId="7" applyNumberFormat="1" applyFont="1" applyFill="1" applyBorder="1"/>
    <xf numFmtId="176" fontId="5" fillId="0" borderId="0" xfId="7" applyNumberFormat="1" applyFont="1" applyFill="1"/>
    <xf numFmtId="176" fontId="5" fillId="0" borderId="0" xfId="6" applyNumberFormat="1" applyFont="1" applyFill="1"/>
    <xf numFmtId="166" fontId="5" fillId="0" borderId="0" xfId="6" applyNumberFormat="1" applyFont="1" applyFill="1"/>
    <xf numFmtId="176" fontId="6" fillId="0" borderId="0" xfId="7" applyNumberFormat="1" applyFont="1" applyFill="1"/>
    <xf numFmtId="0" fontId="6" fillId="0" borderId="0" xfId="6" applyFont="1" applyFill="1" applyBorder="1"/>
    <xf numFmtId="176" fontId="5" fillId="0" borderId="0" xfId="7" applyNumberFormat="1" applyFont="1" applyFill="1" applyBorder="1"/>
    <xf numFmtId="0" fontId="5" fillId="0" borderId="0" xfId="6" applyFont="1" applyFill="1" applyBorder="1"/>
    <xf numFmtId="0" fontId="15" fillId="0" borderId="0" xfId="6" applyFont="1" applyFill="1"/>
    <xf numFmtId="164" fontId="15" fillId="0" borderId="1" xfId="3" applyNumberFormat="1" applyFont="1" applyFill="1" applyBorder="1" applyAlignment="1">
      <alignment horizontal="center"/>
    </xf>
    <xf numFmtId="9" fontId="5" fillId="0" borderId="1" xfId="3" applyFont="1" applyFill="1" applyBorder="1" applyAlignment="1">
      <alignment horizontal="center"/>
    </xf>
    <xf numFmtId="0" fontId="5" fillId="0" borderId="0" xfId="6" applyFont="1" applyFill="1" applyBorder="1" applyAlignment="1">
      <alignment horizontal="center"/>
    </xf>
    <xf numFmtId="177" fontId="22" fillId="0" borderId="0" xfId="6" applyNumberFormat="1" applyFont="1" applyFill="1" applyBorder="1"/>
    <xf numFmtId="0" fontId="6" fillId="0" borderId="11" xfId="6" applyFont="1" applyFill="1" applyBorder="1"/>
    <xf numFmtId="176" fontId="6" fillId="0" borderId="7" xfId="7" applyNumberFormat="1" applyFont="1" applyFill="1" applyBorder="1"/>
    <xf numFmtId="0" fontId="6" fillId="0" borderId="10" xfId="6" applyFont="1" applyFill="1" applyBorder="1"/>
    <xf numFmtId="176" fontId="6" fillId="0" borderId="8" xfId="7" applyNumberFormat="1" applyFont="1" applyFill="1" applyBorder="1"/>
    <xf numFmtId="0" fontId="6" fillId="0" borderId="13" xfId="6" applyFont="1" applyFill="1" applyBorder="1"/>
    <xf numFmtId="176" fontId="6" fillId="0" borderId="9" xfId="7" applyNumberFormat="1" applyFont="1" applyFill="1" applyBorder="1"/>
    <xf numFmtId="9" fontId="6" fillId="0" borderId="0" xfId="3" applyNumberFormat="1" applyFont="1" applyFill="1" applyBorder="1" applyAlignment="1">
      <alignment horizontal="center"/>
    </xf>
    <xf numFmtId="0" fontId="17" fillId="0" borderId="0" xfId="6" applyFont="1" applyFill="1" applyBorder="1" applyAlignment="1">
      <alignment horizontal="center"/>
    </xf>
    <xf numFmtId="0" fontId="17" fillId="0" borderId="0" xfId="6" applyFont="1" applyFill="1" applyBorder="1"/>
    <xf numFmtId="176" fontId="6" fillId="0" borderId="4" xfId="7" applyNumberFormat="1" applyFont="1" applyFill="1" applyBorder="1"/>
    <xf numFmtId="176" fontId="6" fillId="0" borderId="5" xfId="7" applyNumberFormat="1" applyFont="1" applyFill="1" applyBorder="1"/>
    <xf numFmtId="0" fontId="17" fillId="0" borderId="2" xfId="6" applyFont="1" applyFill="1" applyBorder="1" applyAlignment="1">
      <alignment horizontal="center"/>
    </xf>
    <xf numFmtId="0" fontId="17" fillId="0" borderId="3" xfId="6" applyFont="1" applyFill="1" applyBorder="1" applyAlignment="1">
      <alignment horizontal="center"/>
    </xf>
    <xf numFmtId="0" fontId="17" fillId="0" borderId="6" xfId="6" applyFont="1" applyFill="1" applyBorder="1" applyAlignment="1">
      <alignment horizontal="center"/>
    </xf>
    <xf numFmtId="174" fontId="0" fillId="0" borderId="0" xfId="0" applyNumberFormat="1" applyFill="1"/>
    <xf numFmtId="168" fontId="0" fillId="3" borderId="4" xfId="5" applyNumberFormat="1" applyFont="1" applyFill="1" applyBorder="1"/>
    <xf numFmtId="168" fontId="0" fillId="3" borderId="0" xfId="5" applyNumberFormat="1" applyFont="1" applyFill="1" applyBorder="1"/>
    <xf numFmtId="168" fontId="0" fillId="3" borderId="5" xfId="5" applyNumberFormat="1" applyFont="1" applyFill="1" applyBorder="1"/>
    <xf numFmtId="168" fontId="0" fillId="3" borderId="7" xfId="5" applyNumberFormat="1" applyFont="1" applyFill="1" applyBorder="1"/>
    <xf numFmtId="168" fontId="0" fillId="3" borderId="8" xfId="5" applyNumberFormat="1" applyFont="1" applyFill="1" applyBorder="1"/>
    <xf numFmtId="168" fontId="0" fillId="3" borderId="9" xfId="5" applyNumberFormat="1" applyFont="1" applyFill="1" applyBorder="1"/>
    <xf numFmtId="170" fontId="10" fillId="0" borderId="0" xfId="0" applyNumberFormat="1" applyFont="1" applyFill="1" applyBorder="1" applyAlignment="1">
      <alignment horizontal="right"/>
    </xf>
    <xf numFmtId="168" fontId="10" fillId="0" borderId="0" xfId="3" applyNumberFormat="1" applyFont="1" applyFill="1" applyBorder="1" applyAlignment="1">
      <alignment horizontal="center"/>
    </xf>
    <xf numFmtId="170" fontId="10" fillId="0" borderId="0" xfId="0" applyNumberFormat="1" applyFont="1" applyFill="1" applyBorder="1" applyAlignment="1">
      <alignment horizontal="center"/>
    </xf>
    <xf numFmtId="0" fontId="12" fillId="14" borderId="1" xfId="4" applyFont="1" applyFill="1" applyBorder="1"/>
    <xf numFmtId="0" fontId="4" fillId="0" borderId="1" xfId="4" applyBorder="1"/>
    <xf numFmtId="0" fontId="4" fillId="0" borderId="1" xfId="4" applyBorder="1" applyAlignment="1">
      <alignment horizontal="center"/>
    </xf>
    <xf numFmtId="0" fontId="23" fillId="0" borderId="0" xfId="4" applyFont="1"/>
    <xf numFmtId="0" fontId="4" fillId="4" borderId="0" xfId="4" applyFill="1"/>
    <xf numFmtId="0" fontId="24" fillId="0" borderId="0" xfId="4" applyFont="1" applyAlignment="1">
      <alignment horizontal="left"/>
    </xf>
    <xf numFmtId="17" fontId="10" fillId="0" borderId="0" xfId="0" applyNumberFormat="1" applyFont="1" applyFill="1" applyAlignment="1">
      <alignment horizontal="center"/>
    </xf>
    <xf numFmtId="167" fontId="5" fillId="2" borderId="11" xfId="0" applyNumberFormat="1" applyFont="1" applyFill="1" applyBorder="1"/>
    <xf numFmtId="167" fontId="5" fillId="2" borderId="10" xfId="0" applyNumberFormat="1" applyFont="1" applyFill="1" applyBorder="1"/>
    <xf numFmtId="167" fontId="6" fillId="2" borderId="12" xfId="0" applyNumberFormat="1" applyFont="1" applyFill="1" applyBorder="1"/>
    <xf numFmtId="167" fontId="5" fillId="2" borderId="0" xfId="0" applyNumberFormat="1" applyFont="1" applyFill="1"/>
    <xf numFmtId="167" fontId="5" fillId="2" borderId="13" xfId="0" applyNumberFormat="1" applyFont="1" applyFill="1" applyBorder="1"/>
    <xf numFmtId="22" fontId="4" fillId="15" borderId="1" xfId="4" applyNumberFormat="1" applyFill="1" applyBorder="1"/>
    <xf numFmtId="0" fontId="6" fillId="7" borderId="0" xfId="6" applyFont="1" applyFill="1"/>
    <xf numFmtId="0" fontId="6" fillId="7" borderId="0" xfId="6" applyFont="1" applyFill="1" applyBorder="1"/>
    <xf numFmtId="0" fontId="25" fillId="0" borderId="0" xfId="0" applyFont="1"/>
    <xf numFmtId="167" fontId="0" fillId="0" borderId="0" xfId="0" applyNumberFormat="1"/>
    <xf numFmtId="167" fontId="11" fillId="2" borderId="2" xfId="0" applyNumberFormat="1" applyFont="1" applyFill="1" applyBorder="1"/>
    <xf numFmtId="167" fontId="11" fillId="2" borderId="3" xfId="0" applyNumberFormat="1" applyFont="1" applyFill="1" applyBorder="1"/>
    <xf numFmtId="167" fontId="10" fillId="2" borderId="1" xfId="0" applyNumberFormat="1" applyFont="1" applyFill="1" applyBorder="1"/>
    <xf numFmtId="167" fontId="11" fillId="2" borderId="6" xfId="0" applyNumberFormat="1" applyFont="1" applyFill="1" applyBorder="1"/>
    <xf numFmtId="167" fontId="0" fillId="0" borderId="1" xfId="0" applyNumberFormat="1" applyBorder="1" applyAlignment="1">
      <alignment horizontal="center"/>
    </xf>
    <xf numFmtId="0" fontId="11" fillId="0" borderId="0" xfId="0" applyFont="1" applyFill="1" applyAlignment="1">
      <alignment horizontal="left" vertical="center"/>
    </xf>
    <xf numFmtId="0" fontId="11" fillId="0" borderId="0" xfId="0" applyFont="1" applyFill="1" applyAlignment="1"/>
    <xf numFmtId="0" fontId="6" fillId="0" borderId="0" xfId="0" applyFont="1" applyFill="1" applyBorder="1" applyAlignment="1"/>
    <xf numFmtId="17" fontId="6" fillId="0" borderId="0" xfId="0" applyNumberFormat="1" applyFont="1" applyFill="1" applyAlignment="1"/>
    <xf numFmtId="0" fontId="6" fillId="0" borderId="0" xfId="0" applyFont="1" applyFill="1" applyAlignment="1"/>
    <xf numFmtId="172" fontId="11" fillId="0" borderId="0" xfId="0" applyNumberFormat="1" applyFont="1" applyFill="1" applyAlignment="1"/>
    <xf numFmtId="170" fontId="11" fillId="0" borderId="0" xfId="0" applyNumberFormat="1" applyFont="1" applyFill="1" applyAlignment="1"/>
    <xf numFmtId="167" fontId="11" fillId="0" borderId="0" xfId="0" applyNumberFormat="1" applyFont="1" applyFill="1" applyAlignment="1"/>
    <xf numFmtId="0" fontId="10" fillId="0" borderId="0" xfId="0" applyFont="1" applyFill="1" applyAlignment="1"/>
    <xf numFmtId="167" fontId="11" fillId="0" borderId="11" xfId="0" applyNumberFormat="1" applyFont="1" applyFill="1" applyBorder="1" applyAlignment="1"/>
    <xf numFmtId="167" fontId="11" fillId="0" borderId="10" xfId="0" applyNumberFormat="1" applyFont="1" applyFill="1" applyBorder="1" applyAlignment="1"/>
    <xf numFmtId="167" fontId="10" fillId="0" borderId="12" xfId="0" applyNumberFormat="1" applyFont="1" applyFill="1" applyBorder="1" applyAlignment="1"/>
    <xf numFmtId="167" fontId="11" fillId="0" borderId="13" xfId="0" applyNumberFormat="1" applyFont="1" applyFill="1" applyBorder="1" applyAlignment="1"/>
    <xf numFmtId="167" fontId="10" fillId="0" borderId="0" xfId="0" applyNumberFormat="1" applyFont="1" applyFill="1" applyBorder="1" applyAlignment="1"/>
    <xf numFmtId="167" fontId="6" fillId="0" borderId="1" xfId="0" applyNumberFormat="1" applyFont="1" applyFill="1" applyBorder="1" applyAlignment="1"/>
    <xf numFmtId="0" fontId="0" fillId="0" borderId="0" xfId="0" applyFill="1" applyAlignment="1"/>
    <xf numFmtId="167" fontId="0" fillId="0" borderId="2" xfId="0" applyNumberFormat="1" applyFill="1" applyBorder="1" applyAlignment="1"/>
    <xf numFmtId="167" fontId="5" fillId="0" borderId="2" xfId="0" applyNumberFormat="1" applyFont="1" applyFill="1" applyBorder="1" applyAlignment="1"/>
    <xf numFmtId="167" fontId="0" fillId="0" borderId="3" xfId="0" applyNumberFormat="1" applyFill="1" applyBorder="1" applyAlignment="1"/>
    <xf numFmtId="167" fontId="5" fillId="0" borderId="3" xfId="0" applyNumberFormat="1" applyFont="1" applyFill="1" applyBorder="1" applyAlignment="1"/>
    <xf numFmtId="167" fontId="10" fillId="0" borderId="1" xfId="0" applyNumberFormat="1" applyFont="1" applyFill="1" applyBorder="1" applyAlignment="1"/>
    <xf numFmtId="171" fontId="0" fillId="0" borderId="0" xfId="0" applyNumberFormat="1" applyFill="1" applyAlignment="1"/>
    <xf numFmtId="168" fontId="11" fillId="0" borderId="0" xfId="0" applyNumberFormat="1" applyFont="1" applyFill="1" applyAlignment="1"/>
    <xf numFmtId="169" fontId="11" fillId="0" borderId="11" xfId="0" applyNumberFormat="1" applyFont="1" applyFill="1" applyBorder="1" applyAlignment="1"/>
    <xf numFmtId="167" fontId="11" fillId="0" borderId="2" xfId="0" applyNumberFormat="1" applyFont="1" applyFill="1" applyBorder="1" applyAlignment="1"/>
    <xf numFmtId="164" fontId="11" fillId="0" borderId="11" xfId="0" applyNumberFormat="1" applyFont="1" applyFill="1" applyBorder="1" applyAlignment="1"/>
    <xf numFmtId="167" fontId="11" fillId="0" borderId="7" xfId="0" applyNumberFormat="1" applyFont="1" applyFill="1" applyBorder="1" applyAlignment="1"/>
    <xf numFmtId="167" fontId="11" fillId="0" borderId="3" xfId="0" applyNumberFormat="1" applyFont="1" applyFill="1" applyBorder="1" applyAlignment="1"/>
    <xf numFmtId="167" fontId="11" fillId="0" borderId="8" xfId="0" applyNumberFormat="1" applyFont="1" applyFill="1" applyBorder="1" applyAlignment="1"/>
    <xf numFmtId="169" fontId="6" fillId="0" borderId="12" xfId="0" applyNumberFormat="1" applyFont="1" applyFill="1" applyBorder="1" applyAlignment="1"/>
    <xf numFmtId="167" fontId="10" fillId="0" borderId="15" xfId="0" applyNumberFormat="1" applyFont="1" applyFill="1" applyBorder="1" applyAlignment="1"/>
    <xf numFmtId="167" fontId="6" fillId="0" borderId="2" xfId="0" applyNumberFormat="1" applyFont="1" applyFill="1" applyBorder="1" applyAlignment="1"/>
    <xf numFmtId="167" fontId="11" fillId="0" borderId="6" xfId="0" applyNumberFormat="1" applyFont="1" applyFill="1" applyBorder="1" applyAlignment="1"/>
    <xf numFmtId="167" fontId="11" fillId="0" borderId="14" xfId="0" applyNumberFormat="1" applyFont="1" applyFill="1" applyBorder="1" applyAlignment="1"/>
    <xf numFmtId="167" fontId="6" fillId="0" borderId="0" xfId="0" applyNumberFormat="1" applyFont="1" applyFill="1" applyAlignment="1"/>
    <xf numFmtId="0" fontId="26" fillId="0" borderId="0" xfId="8" applyFont="1"/>
    <xf numFmtId="0" fontId="3" fillId="0" borderId="0" xfId="8"/>
    <xf numFmtId="0" fontId="6" fillId="0" borderId="0" xfId="0" applyFont="1" applyFill="1" applyBorder="1" applyAlignment="1">
      <alignment horizontal="center"/>
    </xf>
    <xf numFmtId="0" fontId="26" fillId="0" borderId="0" xfId="8" applyFont="1" applyFill="1" applyAlignment="1">
      <alignment horizontal="center"/>
    </xf>
    <xf numFmtId="0" fontId="3" fillId="0" borderId="0" xfId="8" applyAlignment="1">
      <alignment horizontal="left"/>
    </xf>
    <xf numFmtId="0" fontId="3" fillId="0" borderId="0" xfId="8" applyAlignment="1">
      <alignment horizontal="center"/>
    </xf>
    <xf numFmtId="0" fontId="3" fillId="0" borderId="0" xfId="8" applyFont="1"/>
    <xf numFmtId="0" fontId="26" fillId="0" borderId="0" xfId="4" applyFont="1"/>
    <xf numFmtId="164" fontId="28" fillId="0" borderId="1" xfId="3" applyNumberFormat="1" applyFont="1" applyFill="1" applyBorder="1" applyAlignment="1">
      <alignment horizontal="center"/>
    </xf>
    <xf numFmtId="0" fontId="2" fillId="5" borderId="0" xfId="9" applyFill="1"/>
    <xf numFmtId="0" fontId="23" fillId="5" borderId="0" xfId="9" applyFont="1" applyFill="1"/>
    <xf numFmtId="0" fontId="2" fillId="5" borderId="0" xfId="9" applyFill="1" applyBorder="1"/>
    <xf numFmtId="0" fontId="23" fillId="5" borderId="0" xfId="9" applyFont="1" applyFill="1" applyBorder="1"/>
    <xf numFmtId="38" fontId="2" fillId="5" borderId="0" xfId="9" applyNumberFormat="1" applyFill="1"/>
    <xf numFmtId="0" fontId="29" fillId="5" borderId="0" xfId="9" applyFont="1" applyFill="1"/>
    <xf numFmtId="38" fontId="23" fillId="5" borderId="0" xfId="9" applyNumberFormat="1" applyFont="1" applyFill="1"/>
    <xf numFmtId="0" fontId="30" fillId="5" borderId="0" xfId="9" applyFont="1" applyFill="1" applyBorder="1"/>
    <xf numFmtId="0" fontId="31" fillId="5" borderId="0" xfId="9" applyFont="1" applyFill="1" applyBorder="1"/>
    <xf numFmtId="38" fontId="29" fillId="5" borderId="0" xfId="9" applyNumberFormat="1" applyFont="1" applyFill="1"/>
    <xf numFmtId="0" fontId="32" fillId="5" borderId="0" xfId="9" applyFont="1" applyFill="1" applyBorder="1"/>
    <xf numFmtId="0" fontId="32" fillId="5" borderId="0" xfId="9" applyFont="1" applyFill="1"/>
    <xf numFmtId="0" fontId="33" fillId="5" borderId="0" xfId="9" applyFont="1" applyFill="1"/>
    <xf numFmtId="179" fontId="16" fillId="5" borderId="0" xfId="10" applyNumberFormat="1" applyFont="1" applyFill="1" applyBorder="1" applyProtection="1"/>
    <xf numFmtId="164" fontId="34" fillId="5" borderId="0" xfId="10" applyNumberFormat="1" applyFont="1" applyFill="1" applyBorder="1" applyProtection="1"/>
    <xf numFmtId="38" fontId="32" fillId="5" borderId="0" xfId="9" applyNumberFormat="1" applyFont="1" applyFill="1"/>
    <xf numFmtId="179" fontId="35" fillId="5" borderId="0" xfId="10" applyNumberFormat="1" applyFont="1" applyFill="1" applyBorder="1" applyAlignment="1" applyProtection="1">
      <protection locked="0"/>
    </xf>
    <xf numFmtId="167" fontId="34" fillId="5" borderId="0" xfId="10" applyNumberFormat="1" applyFont="1" applyFill="1" applyBorder="1" applyProtection="1">
      <protection locked="0"/>
    </xf>
    <xf numFmtId="179" fontId="34" fillId="5" borderId="0" xfId="10" applyNumberFormat="1" applyFont="1" applyFill="1" applyBorder="1" applyProtection="1">
      <protection locked="0"/>
    </xf>
    <xf numFmtId="164" fontId="23" fillId="5" borderId="0" xfId="9" applyNumberFormat="1" applyFont="1" applyFill="1" applyBorder="1"/>
    <xf numFmtId="0" fontId="36" fillId="5" borderId="0" xfId="9" applyFont="1" applyFill="1"/>
    <xf numFmtId="38" fontId="23" fillId="16" borderId="1" xfId="9" applyNumberFormat="1" applyFont="1" applyFill="1" applyBorder="1"/>
    <xf numFmtId="179" fontId="34" fillId="16" borderId="1" xfId="7" applyNumberFormat="1" applyFont="1" applyFill="1" applyBorder="1" applyProtection="1"/>
    <xf numFmtId="37" fontId="34" fillId="16" borderId="1" xfId="12" applyNumberFormat="1" applyFont="1" applyFill="1" applyBorder="1" applyProtection="1"/>
    <xf numFmtId="38" fontId="23" fillId="5" borderId="3" xfId="9" applyNumberFormat="1" applyFont="1" applyFill="1" applyBorder="1"/>
    <xf numFmtId="179" fontId="34" fillId="5" borderId="3" xfId="7" applyNumberFormat="1" applyFont="1" applyFill="1" applyBorder="1" applyProtection="1">
      <protection locked="0"/>
    </xf>
    <xf numFmtId="164" fontId="23" fillId="5" borderId="3" xfId="9" applyNumberFormat="1" applyFont="1" applyFill="1" applyBorder="1"/>
    <xf numFmtId="0" fontId="23" fillId="5" borderId="10" xfId="9" applyFont="1" applyFill="1" applyBorder="1"/>
    <xf numFmtId="37" fontId="34" fillId="5" borderId="10" xfId="12" applyNumberFormat="1" applyFont="1" applyFill="1" applyBorder="1" applyProtection="1"/>
    <xf numFmtId="0" fontId="23" fillId="5" borderId="0" xfId="9" applyFont="1" applyFill="1" applyAlignment="1">
      <alignment horizontal="left"/>
    </xf>
    <xf numFmtId="38" fontId="23" fillId="16" borderId="1" xfId="9" applyNumberFormat="1" applyFont="1" applyFill="1" applyBorder="1" applyAlignment="1">
      <alignment horizontal="center"/>
    </xf>
    <xf numFmtId="0" fontId="23" fillId="16" borderId="1" xfId="9" applyFont="1" applyFill="1" applyBorder="1" applyAlignment="1">
      <alignment horizontal="center"/>
    </xf>
    <xf numFmtId="0" fontId="23" fillId="16" borderId="1" xfId="9" applyFont="1" applyFill="1" applyBorder="1"/>
    <xf numFmtId="38" fontId="23" fillId="5" borderId="0" xfId="9" applyNumberFormat="1" applyFont="1" applyFill="1" applyBorder="1" applyAlignment="1">
      <alignment horizontal="center"/>
    </xf>
    <xf numFmtId="0" fontId="23" fillId="5" borderId="0" xfId="9" applyFont="1" applyFill="1" applyBorder="1" applyAlignment="1">
      <alignment horizontal="center"/>
    </xf>
    <xf numFmtId="179" fontId="23" fillId="5" borderId="0" xfId="9" applyNumberFormat="1" applyFont="1" applyFill="1"/>
    <xf numFmtId="38" fontId="34" fillId="16" borderId="1" xfId="7" applyNumberFormat="1" applyFont="1" applyFill="1" applyBorder="1" applyProtection="1">
      <protection locked="0"/>
    </xf>
    <xf numFmtId="179" fontId="34" fillId="16" borderId="1" xfId="7" applyNumberFormat="1" applyFont="1" applyFill="1" applyBorder="1" applyProtection="1">
      <protection locked="0"/>
    </xf>
    <xf numFmtId="37" fontId="34" fillId="16" borderId="12" xfId="9" applyNumberFormat="1" applyFont="1" applyFill="1" applyBorder="1" applyProtection="1"/>
    <xf numFmtId="164" fontId="37" fillId="5" borderId="0" xfId="9" applyNumberFormat="1" applyFont="1" applyFill="1" applyBorder="1"/>
    <xf numFmtId="179" fontId="35" fillId="5" borderId="0" xfId="10" applyNumberFormat="1" applyFont="1" applyFill="1" applyBorder="1" applyProtection="1">
      <protection locked="0"/>
    </xf>
    <xf numFmtId="37" fontId="34" fillId="5" borderId="10" xfId="9" applyNumberFormat="1" applyFont="1" applyFill="1" applyBorder="1" applyProtection="1"/>
    <xf numFmtId="167" fontId="23" fillId="5" borderId="0" xfId="9" applyNumberFormat="1" applyFont="1" applyFill="1" applyBorder="1"/>
    <xf numFmtId="179" fontId="23" fillId="5" borderId="0" xfId="9" applyNumberFormat="1" applyFont="1" applyFill="1" applyBorder="1"/>
    <xf numFmtId="37" fontId="34" fillId="5" borderId="0" xfId="9" applyNumberFormat="1" applyFont="1" applyFill="1" applyBorder="1" applyAlignment="1" applyProtection="1">
      <alignment horizontal="left"/>
      <protection locked="0"/>
    </xf>
    <xf numFmtId="0" fontId="32" fillId="16" borderId="15" xfId="9" applyFont="1" applyFill="1" applyBorder="1"/>
    <xf numFmtId="0" fontId="32" fillId="16" borderId="1" xfId="9" applyFont="1" applyFill="1" applyBorder="1"/>
    <xf numFmtId="167" fontId="34" fillId="16" borderId="1" xfId="10" applyNumberFormat="1" applyFont="1" applyFill="1" applyBorder="1" applyProtection="1">
      <protection locked="0"/>
    </xf>
    <xf numFmtId="179" fontId="34" fillId="16" borderId="1" xfId="10" applyNumberFormat="1" applyFont="1" applyFill="1" applyBorder="1" applyProtection="1">
      <protection locked="0"/>
    </xf>
    <xf numFmtId="37" fontId="34" fillId="16" borderId="12" xfId="9" applyNumberFormat="1" applyFont="1" applyFill="1" applyBorder="1" applyAlignment="1" applyProtection="1">
      <alignment horizontal="left"/>
      <protection locked="0"/>
    </xf>
    <xf numFmtId="0" fontId="23" fillId="5" borderId="3" xfId="9" applyFont="1" applyFill="1" applyBorder="1"/>
    <xf numFmtId="37" fontId="34" fillId="5" borderId="10" xfId="9" applyNumberFormat="1" applyFont="1" applyFill="1" applyBorder="1" applyAlignment="1" applyProtection="1">
      <alignment horizontal="left"/>
      <protection locked="0"/>
    </xf>
    <xf numFmtId="0" fontId="23" fillId="5" borderId="0" xfId="9" applyFont="1" applyFill="1" applyBorder="1" applyAlignment="1">
      <alignment horizontal="left"/>
    </xf>
    <xf numFmtId="164" fontId="23" fillId="5" borderId="0" xfId="9" applyNumberFormat="1" applyFont="1" applyFill="1" applyBorder="1" applyAlignment="1">
      <alignment horizontal="center"/>
    </xf>
    <xf numFmtId="0" fontId="23" fillId="16" borderId="15" xfId="9" applyFont="1" applyFill="1" applyBorder="1" applyAlignment="1">
      <alignment horizontal="center"/>
    </xf>
    <xf numFmtId="0" fontId="23" fillId="16" borderId="12" xfId="9" applyFont="1" applyFill="1" applyBorder="1" applyAlignment="1">
      <alignment horizontal="left"/>
    </xf>
    <xf numFmtId="0" fontId="38" fillId="5" borderId="0" xfId="9" applyFont="1" applyFill="1"/>
    <xf numFmtId="0" fontId="26" fillId="5" borderId="0" xfId="9" applyFont="1" applyFill="1"/>
    <xf numFmtId="0" fontId="30" fillId="5" borderId="0" xfId="9" applyFont="1" applyFill="1"/>
    <xf numFmtId="0" fontId="31" fillId="5" borderId="0" xfId="9" applyFont="1" applyFill="1"/>
    <xf numFmtId="164" fontId="34" fillId="16" borderId="1" xfId="10" applyNumberFormat="1" applyFont="1" applyFill="1" applyBorder="1" applyProtection="1"/>
    <xf numFmtId="37" fontId="34" fillId="16" borderId="1" xfId="11" applyNumberFormat="1" applyFont="1" applyFill="1" applyBorder="1" applyProtection="1"/>
    <xf numFmtId="180" fontId="34" fillId="5" borderId="3" xfId="10" applyNumberFormat="1" applyFont="1" applyFill="1" applyBorder="1" applyProtection="1">
      <protection locked="0"/>
    </xf>
    <xf numFmtId="1" fontId="23" fillId="5" borderId="3" xfId="9" applyNumberFormat="1" applyFont="1" applyFill="1" applyBorder="1"/>
    <xf numFmtId="37" fontId="34" fillId="5" borderId="10" xfId="11" applyNumberFormat="1" applyFont="1" applyFill="1" applyBorder="1" applyProtection="1"/>
    <xf numFmtId="164" fontId="37" fillId="5" borderId="0" xfId="9" applyNumberFormat="1" applyFont="1" applyFill="1"/>
    <xf numFmtId="0" fontId="23" fillId="5" borderId="15" xfId="9" applyFont="1" applyFill="1" applyBorder="1"/>
    <xf numFmtId="0" fontId="23" fillId="5" borderId="1" xfId="9" applyFont="1" applyFill="1" applyBorder="1"/>
    <xf numFmtId="179" fontId="23" fillId="16" borderId="1" xfId="9" applyNumberFormat="1" applyFont="1" applyFill="1" applyBorder="1"/>
    <xf numFmtId="0" fontId="23" fillId="5" borderId="8" xfId="9" applyFont="1" applyFill="1" applyBorder="1"/>
    <xf numFmtId="38" fontId="34" fillId="5" borderId="3" xfId="10" applyNumberFormat="1" applyFont="1" applyFill="1" applyBorder="1" applyProtection="1">
      <protection locked="0"/>
    </xf>
    <xf numFmtId="179" fontId="34" fillId="5" borderId="3" xfId="10" applyNumberFormat="1" applyFont="1" applyFill="1" applyBorder="1" applyProtection="1">
      <protection locked="0"/>
    </xf>
    <xf numFmtId="179" fontId="2" fillId="5" borderId="0" xfId="9" applyNumberFormat="1" applyFill="1"/>
    <xf numFmtId="0" fontId="23" fillId="16" borderId="14" xfId="9" applyFont="1" applyFill="1" applyBorder="1" applyAlignment="1">
      <alignment horizontal="center"/>
    </xf>
    <xf numFmtId="0" fontId="2" fillId="7" borderId="0" xfId="9" applyFill="1"/>
    <xf numFmtId="0" fontId="39" fillId="5" borderId="0" xfId="9" applyFont="1" applyFill="1"/>
    <xf numFmtId="0" fontId="3" fillId="5" borderId="0" xfId="8" applyFill="1" applyAlignment="1">
      <alignment horizontal="left"/>
    </xf>
    <xf numFmtId="0" fontId="4" fillId="5" borderId="0" xfId="4" applyFill="1"/>
    <xf numFmtId="0" fontId="1" fillId="0" borderId="0" xfId="4" applyFont="1"/>
    <xf numFmtId="14" fontId="4" fillId="3" borderId="1" xfId="4" applyNumberFormat="1" applyFill="1" applyBorder="1"/>
    <xf numFmtId="0" fontId="10" fillId="10" borderId="11" xfId="0" applyFont="1" applyFill="1" applyBorder="1" applyAlignment="1">
      <alignment horizontal="center"/>
    </xf>
    <xf numFmtId="0" fontId="10" fillId="10" borderId="4" xfId="0" applyFont="1" applyFill="1" applyBorder="1" applyAlignment="1">
      <alignment horizontal="center"/>
    </xf>
    <xf numFmtId="0" fontId="10" fillId="10" borderId="7" xfId="0" applyFont="1" applyFill="1" applyBorder="1" applyAlignment="1">
      <alignment horizontal="center"/>
    </xf>
    <xf numFmtId="0" fontId="10" fillId="10" borderId="13" xfId="0" applyFont="1" applyFill="1" applyBorder="1" applyAlignment="1">
      <alignment horizontal="center"/>
    </xf>
    <xf numFmtId="0" fontId="10" fillId="10" borderId="5" xfId="0" applyFont="1" applyFill="1" applyBorder="1" applyAlignment="1">
      <alignment horizontal="center"/>
    </xf>
    <xf numFmtId="0" fontId="10" fillId="10" borderId="9" xfId="0" applyFont="1" applyFill="1" applyBorder="1" applyAlignment="1">
      <alignment horizontal="center"/>
    </xf>
    <xf numFmtId="17" fontId="10" fillId="0" borderId="0" xfId="0" applyNumberFormat="1" applyFont="1" applyFill="1" applyAlignment="1">
      <alignment horizontal="center"/>
    </xf>
    <xf numFmtId="0" fontId="10" fillId="9" borderId="13" xfId="0" applyFont="1" applyFill="1" applyBorder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0" fillId="9" borderId="11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7" xfId="0" applyFont="1" applyFill="1" applyBorder="1" applyAlignment="1">
      <alignment horizontal="center"/>
    </xf>
    <xf numFmtId="0" fontId="10" fillId="7" borderId="11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10" fillId="7" borderId="7" xfId="0" applyFont="1" applyFill="1" applyBorder="1" applyAlignment="1">
      <alignment horizontal="center"/>
    </xf>
    <xf numFmtId="0" fontId="10" fillId="7" borderId="13" xfId="0" applyFont="1" applyFill="1" applyBorder="1" applyAlignment="1">
      <alignment horizontal="center"/>
    </xf>
    <xf numFmtId="0" fontId="10" fillId="7" borderId="5" xfId="0" applyFont="1" applyFill="1" applyBorder="1" applyAlignment="1">
      <alignment horizontal="center"/>
    </xf>
    <xf numFmtId="0" fontId="10" fillId="7" borderId="9" xfId="0" applyFont="1" applyFill="1" applyBorder="1" applyAlignment="1">
      <alignment horizontal="center"/>
    </xf>
  </cellXfs>
  <cellStyles count="13">
    <cellStyle name="Currency 2" xfId="1"/>
    <cellStyle name="Millares" xfId="5" builtinId="3"/>
    <cellStyle name="Millares 2" xfId="7"/>
    <cellStyle name="Millares 3" xfId="10"/>
    <cellStyle name="Normal" xfId="0" builtinId="0"/>
    <cellStyle name="Normal 2" xfId="2"/>
    <cellStyle name="Normal 2 2" xfId="12"/>
    <cellStyle name="Normal 3" xfId="4"/>
    <cellStyle name="Normal 3 2" xfId="11"/>
    <cellStyle name="Normal 3 28" xfId="8"/>
    <cellStyle name="Normal 4" xfId="6"/>
    <cellStyle name="Normal 5" xfId="9"/>
    <cellStyle name="Porcentaje" xfId="3" builtinId="5"/>
  </cellStyles>
  <dxfs count="0"/>
  <tableStyles count="0" defaultTableStyle="TableStyleMedium9" defaultPivotStyle="PivotStyleLight16"/>
  <colors>
    <mruColors>
      <color rgb="FF99FF66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</c:f>
              <c:strCache>
                <c:ptCount val="1"/>
                <c:pt idx="0">
                  <c:v>Cobranza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Tendencias!$B$4:$M$4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2660.3588199999999</c:v>
                </c:pt>
                <c:pt idx="1">
                  <c:v>2797.0774899999997</c:v>
                </c:pt>
                <c:pt idx="2">
                  <c:v>2048.56927</c:v>
                </c:pt>
                <c:pt idx="3">
                  <c:v>2250.2097600000002</c:v>
                </c:pt>
              </c:numCache>
            </c:numRef>
          </c:val>
        </c:ser>
        <c:ser>
          <c:idx val="1"/>
          <c:order val="1"/>
          <c:tx>
            <c:strRef>
              <c:f>Tendencias!$A$6</c:f>
              <c:strCache>
                <c:ptCount val="1"/>
                <c:pt idx="0">
                  <c:v>Presupuesto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  <c:invertIfNegative val="0"/>
          <c:cat>
            <c:strRef>
              <c:f>Tendencias!$B$4:$M$4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1236.4621767333331</c:v>
                </c:pt>
                <c:pt idx="1">
                  <c:v>1228.3897803366967</c:v>
                </c:pt>
                <c:pt idx="2">
                  <c:v>1251.4747740670271</c:v>
                </c:pt>
                <c:pt idx="3">
                  <c:v>1416.9213979243245</c:v>
                </c:pt>
                <c:pt idx="4">
                  <c:v>1371.0463420355554</c:v>
                </c:pt>
                <c:pt idx="5">
                  <c:v>1249.3767907658857</c:v>
                </c:pt>
                <c:pt idx="6">
                  <c:v>1138.2823991153152</c:v>
                </c:pt>
                <c:pt idx="7">
                  <c:v>1378.3325577186788</c:v>
                </c:pt>
                <c:pt idx="8">
                  <c:v>1241.5685465759759</c:v>
                </c:pt>
                <c:pt idx="9">
                  <c:v>1145.7295555602402</c:v>
                </c:pt>
                <c:pt idx="10">
                  <c:v>1243.1218837827028</c:v>
                </c:pt>
                <c:pt idx="11">
                  <c:v>1246.6135011163963</c:v>
                </c:pt>
              </c:numCache>
            </c:numRef>
          </c:val>
        </c:ser>
        <c:ser>
          <c:idx val="2"/>
          <c:order val="2"/>
          <c:tx>
            <c:strRef>
              <c:f>Tendencias!$A$7</c:f>
              <c:strCache>
                <c:ptCount val="1"/>
                <c:pt idx="0">
                  <c:v>Cobranza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Tendencias!$B$4:$M$4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1164.75866</c:v>
                </c:pt>
                <c:pt idx="1">
                  <c:v>850.1638099999999</c:v>
                </c:pt>
                <c:pt idx="2">
                  <c:v>1364.9252799999999</c:v>
                </c:pt>
                <c:pt idx="3">
                  <c:v>1317.4155000000001</c:v>
                </c:pt>
                <c:pt idx="4">
                  <c:v>2418.9569999999999</c:v>
                </c:pt>
                <c:pt idx="5">
                  <c:v>1449.3770599999998</c:v>
                </c:pt>
                <c:pt idx="6">
                  <c:v>1690.1273000000001</c:v>
                </c:pt>
                <c:pt idx="7">
                  <c:v>2464.67137</c:v>
                </c:pt>
                <c:pt idx="8">
                  <c:v>1324.7035099999998</c:v>
                </c:pt>
                <c:pt idx="9">
                  <c:v>2281.16194</c:v>
                </c:pt>
                <c:pt idx="10">
                  <c:v>1354.0110400000001</c:v>
                </c:pt>
                <c:pt idx="11">
                  <c:v>5321.5266810000003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815136"/>
        <c:axId val="451815528"/>
      </c:barChart>
      <c:catAx>
        <c:axId val="4518151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51815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815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51815136"/>
        <c:crosses val="autoZero"/>
        <c:crossBetween val="between"/>
      </c:val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1200" b="1" i="0" baseline="0"/>
            </a:pPr>
            <a:endParaRPr lang="es-MX"/>
          </a:p>
        </c:txPr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Tendencias!$A$15</c:f>
              <c:strCache>
                <c:ptCount val="1"/>
                <c:pt idx="0">
                  <c:v>Venta Lotes 19</c:v>
                </c:pt>
              </c:strCache>
            </c:strRef>
          </c:tx>
          <c:spPr>
            <a:solidFill>
              <a:srgbClr val="33CC33"/>
            </a:solidFill>
            <a:ln w="12700">
              <a:solidFill>
                <a:schemeClr val="tx1"/>
              </a:solidFill>
              <a:prstDash val="solid"/>
            </a:ln>
          </c:spPr>
          <c:invertIfNegative val="0"/>
          <c:cat>
            <c:strRef>
              <c:f>Tendencias!$B$14:$M$14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Tendencias!$B$15:$M$15</c:f>
              <c:numCache>
                <c:formatCode>_-* #,##0_-;\-* #,##0_-;_-* "-"??_-;_-@_-</c:formatCode>
                <c:ptCount val="12"/>
                <c:pt idx="0">
                  <c:v>5149.2160000000003</c:v>
                </c:pt>
                <c:pt idx="1">
                  <c:v>7413.8995400000003</c:v>
                </c:pt>
                <c:pt idx="2">
                  <c:v>3305.66597</c:v>
                </c:pt>
                <c:pt idx="3">
                  <c:v>909.36599999999999</c:v>
                </c:pt>
              </c:numCache>
            </c:numRef>
          </c:val>
        </c:ser>
        <c:ser>
          <c:idx val="1"/>
          <c:order val="1"/>
          <c:tx>
            <c:strRef>
              <c:f>Tendencias!$A$16</c:f>
              <c:strCache>
                <c:ptCount val="1"/>
                <c:pt idx="0">
                  <c:v>Presupuesto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Tendencias!$B$14:$M$14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Tendencias!$B$16:$M$16</c:f>
              <c:numCache>
                <c:formatCode>_-* #,##0_-;\-* #,##0_-;_-* "-"??_-;_-@_-</c:formatCode>
                <c:ptCount val="12"/>
                <c:pt idx="0">
                  <c:v>2031.6922</c:v>
                </c:pt>
                <c:pt idx="1">
                  <c:v>1921.71155</c:v>
                </c:pt>
                <c:pt idx="2">
                  <c:v>2125.9645</c:v>
                </c:pt>
                <c:pt idx="3">
                  <c:v>3756.4934499999999</c:v>
                </c:pt>
                <c:pt idx="4">
                  <c:v>3279.125</c:v>
                </c:pt>
                <c:pt idx="5">
                  <c:v>2035.8325</c:v>
                </c:pt>
                <c:pt idx="6">
                  <c:v>890.3125</c:v>
                </c:pt>
                <c:pt idx="7">
                  <c:v>3261.5574000000001</c:v>
                </c:pt>
                <c:pt idx="8">
                  <c:v>1869.98</c:v>
                </c:pt>
                <c:pt idx="9">
                  <c:v>890.3125</c:v>
                </c:pt>
                <c:pt idx="10">
                  <c:v>1827</c:v>
                </c:pt>
                <c:pt idx="11">
                  <c:v>1806.0625</c:v>
                </c:pt>
              </c:numCache>
            </c:numRef>
          </c:val>
        </c:ser>
        <c:ser>
          <c:idx val="2"/>
          <c:order val="2"/>
          <c:tx>
            <c:strRef>
              <c:f>Tendencias!$A$17</c:f>
              <c:strCache>
                <c:ptCount val="1"/>
                <c:pt idx="0">
                  <c:v>Venta Lotes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Tendencias!$B$14:$M$14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Tendencias!$B$17:$M$17</c:f>
              <c:numCache>
                <c:formatCode>_-* #,##0_-;\-* #,##0_-;_-* "-"??_-;_-@_-</c:formatCode>
                <c:ptCount val="12"/>
                <c:pt idx="1">
                  <c:v>866.25092000000006</c:v>
                </c:pt>
                <c:pt idx="2">
                  <c:v>916.13599999999997</c:v>
                </c:pt>
                <c:pt idx="4">
                  <c:v>3426.7049999999999</c:v>
                </c:pt>
                <c:pt idx="5">
                  <c:v>409.4</c:v>
                </c:pt>
                <c:pt idx="6">
                  <c:v>2753.107</c:v>
                </c:pt>
                <c:pt idx="7">
                  <c:v>1379.6243999999999</c:v>
                </c:pt>
                <c:pt idx="8">
                  <c:v>2630.9140000000002</c:v>
                </c:pt>
                <c:pt idx="9">
                  <c:v>3789.0359100000001</c:v>
                </c:pt>
                <c:pt idx="10">
                  <c:v>1788.4010000000001</c:v>
                </c:pt>
                <c:pt idx="11">
                  <c:v>10329.13912</c:v>
                </c:pt>
              </c:numCache>
            </c:numRef>
          </c:val>
        </c:ser>
        <c:ser>
          <c:idx val="3"/>
          <c:order val="3"/>
          <c:tx>
            <c:strRef>
              <c:f>Tendencias!$A$18</c:f>
              <c:strCache>
                <c:ptCount val="1"/>
                <c:pt idx="0">
                  <c:v>Cancelacion Lote</c:v>
                </c:pt>
              </c:strCache>
            </c:strRef>
          </c:tx>
          <c:spPr>
            <a:noFill/>
          </c:spPr>
          <c:invertIfNegative val="0"/>
          <c:cat>
            <c:strRef>
              <c:f>Tendencias!$B$14:$M$14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Tendencias!$B$18:$M$18</c:f>
              <c:numCache>
                <c:formatCode>_(* #,##0_);_(* \(#,##0\);_(* "-"_);_(@_)</c:formatCode>
                <c:ptCount val="12"/>
                <c:pt idx="0">
                  <c:v>906.40498000000002</c:v>
                </c:pt>
                <c:pt idx="2">
                  <c:v>651.75165000000004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818664"/>
        <c:axId val="451819448"/>
      </c:barChart>
      <c:catAx>
        <c:axId val="451818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51819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819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51818664"/>
        <c:crosses val="autoZero"/>
        <c:crossBetween val="between"/>
      </c:val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1200" b="1" i="0" baseline="0"/>
            </a:pPr>
            <a:endParaRPr lang="es-MX"/>
          </a:p>
        </c:txPr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Tendencias!$A$38</c:f>
              <c:strCache>
                <c:ptCount val="1"/>
                <c:pt idx="0">
                  <c:v>Rentas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Tendencias!$B$37:$M$37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209.58</c:v>
                </c:pt>
                <c:pt idx="1">
                  <c:v>205.27500000000001</c:v>
                </c:pt>
                <c:pt idx="2">
                  <c:v>207.27</c:v>
                </c:pt>
                <c:pt idx="3">
                  <c:v>204.01499999999999</c:v>
                </c:pt>
              </c:numCache>
            </c:numRef>
          </c:val>
        </c:ser>
        <c:ser>
          <c:idx val="1"/>
          <c:order val="1"/>
          <c:tx>
            <c:strRef>
              <c:f>Tendencias!$A$39</c:f>
              <c:strCache>
                <c:ptCount val="1"/>
                <c:pt idx="0">
                  <c:v>Presupuesto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Tendencias!$B$37:$M$37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203.96249999999998</c:v>
                </c:pt>
                <c:pt idx="1">
                  <c:v>204.54</c:v>
                </c:pt>
                <c:pt idx="2">
                  <c:v>205.065</c:v>
                </c:pt>
                <c:pt idx="3">
                  <c:v>205.53750000000002</c:v>
                </c:pt>
                <c:pt idx="4">
                  <c:v>205.905</c:v>
                </c:pt>
                <c:pt idx="5">
                  <c:v>206.43</c:v>
                </c:pt>
                <c:pt idx="6">
                  <c:v>207.11250000000004</c:v>
                </c:pt>
                <c:pt idx="7">
                  <c:v>207.69</c:v>
                </c:pt>
                <c:pt idx="8">
                  <c:v>208.16249999999999</c:v>
                </c:pt>
                <c:pt idx="9">
                  <c:v>208.58250000000004</c:v>
                </c:pt>
                <c:pt idx="10">
                  <c:v>209.31750000000002</c:v>
                </c:pt>
                <c:pt idx="11">
                  <c:v>210.42</c:v>
                </c:pt>
              </c:numCache>
            </c:numRef>
          </c:val>
        </c:ser>
        <c:ser>
          <c:idx val="2"/>
          <c:order val="2"/>
          <c:tx>
            <c:strRef>
              <c:f>Tendencias!$A$40</c:f>
              <c:strCache>
                <c:ptCount val="1"/>
                <c:pt idx="0">
                  <c:v>Rentas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Tendencias!$B$37:$M$37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0">
                  <c:v>270.69819999999999</c:v>
                </c:pt>
                <c:pt idx="1">
                  <c:v>267.28800000000001</c:v>
                </c:pt>
                <c:pt idx="2">
                  <c:v>238</c:v>
                </c:pt>
                <c:pt idx="3">
                  <c:v>250.80500000000001</c:v>
                </c:pt>
                <c:pt idx="4">
                  <c:v>250.80500000000001</c:v>
                </c:pt>
                <c:pt idx="5">
                  <c:v>254.69</c:v>
                </c:pt>
                <c:pt idx="6">
                  <c:v>256.56</c:v>
                </c:pt>
                <c:pt idx="7">
                  <c:v>240.41</c:v>
                </c:pt>
                <c:pt idx="8">
                  <c:v>258.13499999999999</c:v>
                </c:pt>
                <c:pt idx="9">
                  <c:v>246.71</c:v>
                </c:pt>
                <c:pt idx="10">
                  <c:v>257.94499999999999</c:v>
                </c:pt>
                <c:pt idx="11">
                  <c:v>240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816704"/>
        <c:axId val="451817880"/>
      </c:barChart>
      <c:catAx>
        <c:axId val="451816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51817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817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51816704"/>
        <c:crosses val="autoZero"/>
        <c:crossBetween val="between"/>
      </c:val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1200" b="1" i="0" baseline="0"/>
            </a:pPr>
            <a:endParaRPr lang="es-MX"/>
          </a:p>
        </c:txPr>
      </c:dTable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Tendencias!$A$26</c:f>
              <c:strCache>
                <c:ptCount val="1"/>
                <c:pt idx="0">
                  <c:v>Const.Ventas 19</c:v>
                </c:pt>
              </c:strCache>
            </c:strRef>
          </c:tx>
          <c:spPr>
            <a:solidFill>
              <a:srgbClr val="00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Tendencias!$B$25:$M$25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Tendencias!$B$26:$M$26</c:f>
              <c:numCache>
                <c:formatCode>_-* #,##0_-;\-* #,##0_-;_-* "-"??_-;_-@_-</c:formatCode>
                <c:ptCount val="12"/>
                <c:pt idx="0">
                  <c:v>1249.2581200000002</c:v>
                </c:pt>
                <c:pt idx="1">
                  <c:v>2003.3511000000001</c:v>
                </c:pt>
                <c:pt idx="2">
                  <c:v>391.19472999999999</c:v>
                </c:pt>
                <c:pt idx="3">
                  <c:v>2217.672</c:v>
                </c:pt>
              </c:numCache>
            </c:numRef>
          </c:val>
        </c:ser>
        <c:ser>
          <c:idx val="1"/>
          <c:order val="1"/>
          <c:tx>
            <c:strRef>
              <c:f>Tendencias!$A$27</c:f>
              <c:strCache>
                <c:ptCount val="1"/>
                <c:pt idx="0">
                  <c:v>Const. Ppto 19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Tendencias!$B$25:$M$25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Tendencias!$B$27:$M$27</c:f>
              <c:numCache>
                <c:formatCode>_-* #,##0_-;\-* #,##0_-;_-* "-"??_-;_-@_-</c:formatCode>
                <c:ptCount val="12"/>
                <c:pt idx="0">
                  <c:v>1890</c:v>
                </c:pt>
                <c:pt idx="1">
                  <c:v>2421</c:v>
                </c:pt>
                <c:pt idx="2">
                  <c:v>1600</c:v>
                </c:pt>
                <c:pt idx="3">
                  <c:v>2175</c:v>
                </c:pt>
                <c:pt idx="4">
                  <c:v>1980.0000000000002</c:v>
                </c:pt>
                <c:pt idx="5">
                  <c:v>1730</c:v>
                </c:pt>
                <c:pt idx="6">
                  <c:v>854.99999999999989</c:v>
                </c:pt>
                <c:pt idx="7">
                  <c:v>1050</c:v>
                </c:pt>
                <c:pt idx="8">
                  <c:v>964.99999999999989</c:v>
                </c:pt>
                <c:pt idx="9">
                  <c:v>660</c:v>
                </c:pt>
                <c:pt idx="10">
                  <c:v>940.00000000000011</c:v>
                </c:pt>
                <c:pt idx="11">
                  <c:v>685</c:v>
                </c:pt>
              </c:numCache>
            </c:numRef>
          </c:val>
        </c:ser>
        <c:ser>
          <c:idx val="2"/>
          <c:order val="2"/>
          <c:tx>
            <c:strRef>
              <c:f>Tendencias!$A$28</c:f>
              <c:strCache>
                <c:ptCount val="1"/>
                <c:pt idx="0">
                  <c:v>Ventas 18</c:v>
                </c:pt>
              </c:strCache>
            </c:strRef>
          </c:tx>
          <c:spPr>
            <a:solidFill>
              <a:srgbClr val="3333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Tendencias!$B$25:$M$25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Tendencias!$B$28:$M$28</c:f>
              <c:numCache>
                <c:formatCode>_-* #,##0_-;\-* #,##0_-;_-* "-"??_-;_-@_-</c:formatCode>
                <c:ptCount val="12"/>
                <c:pt idx="0">
                  <c:v>753.98388</c:v>
                </c:pt>
                <c:pt idx="1">
                  <c:v>692.79</c:v>
                </c:pt>
                <c:pt idx="2">
                  <c:v>1237.78</c:v>
                </c:pt>
                <c:pt idx="3">
                  <c:v>421.32299999999998</c:v>
                </c:pt>
                <c:pt idx="4">
                  <c:v>1280.653</c:v>
                </c:pt>
                <c:pt idx="5">
                  <c:v>620.57399999999996</c:v>
                </c:pt>
                <c:pt idx="6">
                  <c:v>1123.133</c:v>
                </c:pt>
                <c:pt idx="7">
                  <c:v>1931.57242</c:v>
                </c:pt>
                <c:pt idx="8">
                  <c:v>1729.2426</c:v>
                </c:pt>
                <c:pt idx="9">
                  <c:v>598.26599999999996</c:v>
                </c:pt>
                <c:pt idx="10">
                  <c:v>1821.47</c:v>
                </c:pt>
                <c:pt idx="11">
                  <c:v>862.50400000000002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820232"/>
        <c:axId val="451789264"/>
      </c:barChart>
      <c:catAx>
        <c:axId val="4518202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5178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789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51820232"/>
        <c:crosses val="autoZero"/>
        <c:crossBetween val="between"/>
      </c:val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1200" b="1" i="0" baseline="0"/>
            </a:pPr>
            <a:endParaRPr lang="es-MX"/>
          </a:p>
        </c:txPr>
      </c:dTable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2</xdr:row>
          <xdr:rowOff>0</xdr:rowOff>
        </xdr:from>
        <xdr:to>
          <xdr:col>9</xdr:col>
          <xdr:colOff>184150</xdr:colOff>
          <xdr:row>3</xdr:row>
          <xdr:rowOff>12700</xdr:rowOff>
        </xdr:to>
        <xdr:sp macro="" textlink="">
          <xdr:nvSpPr>
            <xdr:cNvPr id="2051" name="Rep_Me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2</xdr:row>
          <xdr:rowOff>50800</xdr:rowOff>
        </xdr:from>
        <xdr:to>
          <xdr:col>9</xdr:col>
          <xdr:colOff>184150</xdr:colOff>
          <xdr:row>3</xdr:row>
          <xdr:rowOff>63500</xdr:rowOff>
        </xdr:to>
        <xdr:sp macro="" textlink="">
          <xdr:nvSpPr>
            <xdr:cNvPr id="2052" name="Rep_Trim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3</xdr:row>
          <xdr:rowOff>12700</xdr:rowOff>
        </xdr:from>
        <xdr:to>
          <xdr:col>8</xdr:col>
          <xdr:colOff>279400</xdr:colOff>
          <xdr:row>5</xdr:row>
          <xdr:rowOff>0</xdr:rowOff>
        </xdr:to>
        <xdr:sp macro="" textlink="">
          <xdr:nvSpPr>
            <xdr:cNvPr id="2056" name="Inicio_Revisión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5</xdr:row>
          <xdr:rowOff>146050</xdr:rowOff>
        </xdr:from>
        <xdr:to>
          <xdr:col>8</xdr:col>
          <xdr:colOff>273050</xdr:colOff>
          <xdr:row>8</xdr:row>
          <xdr:rowOff>0</xdr:rowOff>
        </xdr:to>
        <xdr:sp macro="" textlink="">
          <xdr:nvSpPr>
            <xdr:cNvPr id="2057" name="Inicio_Importar_Reportes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8</xdr:row>
          <xdr:rowOff>127000</xdr:rowOff>
        </xdr:from>
        <xdr:to>
          <xdr:col>8</xdr:col>
          <xdr:colOff>273050</xdr:colOff>
          <xdr:row>10</xdr:row>
          <xdr:rowOff>114300</xdr:rowOff>
        </xdr:to>
        <xdr:sp macro="" textlink="">
          <xdr:nvSpPr>
            <xdr:cNvPr id="2058" name="Inicio_Exportar_a_PPTX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2663</xdr:colOff>
      <xdr:row>0</xdr:row>
      <xdr:rowOff>0</xdr:rowOff>
    </xdr:from>
    <xdr:to>
      <xdr:col>29</xdr:col>
      <xdr:colOff>39040</xdr:colOff>
      <xdr:row>21</xdr:row>
      <xdr:rowOff>1667</xdr:rowOff>
    </xdr:to>
    <xdr:graphicFrame macro="">
      <xdr:nvGraphicFramePr>
        <xdr:cNvPr id="2" name="GRA_INMEXEL_COBRANZ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14111</xdr:colOff>
      <xdr:row>23</xdr:row>
      <xdr:rowOff>143934</xdr:rowOff>
    </xdr:from>
    <xdr:to>
      <xdr:col>29</xdr:col>
      <xdr:colOff>50488</xdr:colOff>
      <xdr:row>45</xdr:row>
      <xdr:rowOff>44369</xdr:rowOff>
    </xdr:to>
    <xdr:graphicFrame macro="">
      <xdr:nvGraphicFramePr>
        <xdr:cNvPr id="3" name="GRA_INMEXEL_VENTA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24342</xdr:colOff>
      <xdr:row>68</xdr:row>
      <xdr:rowOff>48681</xdr:rowOff>
    </xdr:from>
    <xdr:to>
      <xdr:col>29</xdr:col>
      <xdr:colOff>60719</xdr:colOff>
      <xdr:row>90</xdr:row>
      <xdr:rowOff>4333</xdr:rowOff>
    </xdr:to>
    <xdr:graphicFrame macro="">
      <xdr:nvGraphicFramePr>
        <xdr:cNvPr id="13" name="GRA_SILN_ARRENDAMIEN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21166</xdr:colOff>
      <xdr:row>46</xdr:row>
      <xdr:rowOff>35983</xdr:rowOff>
    </xdr:from>
    <xdr:to>
      <xdr:col>29</xdr:col>
      <xdr:colOff>57543</xdr:colOff>
      <xdr:row>67</xdr:row>
      <xdr:rowOff>157287</xdr:rowOff>
    </xdr:to>
    <xdr:graphicFrame macro="">
      <xdr:nvGraphicFramePr>
        <xdr:cNvPr id="21" name="GRA_SILN_VENTA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Tere%20Ramirez\Local%20Settings\Temporary%20Internet%20Files\OLK413\PresentAlim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ES"/>
      <sheetName val="PRESENTA"/>
      <sheetName val="RESULTADOS"/>
      <sheetName val="GVTA"/>
      <sheetName val="UDO-CHURCHS"/>
      <sheetName val="UDO-PIZZA"/>
      <sheetName val="CONGTSADM"/>
      <sheetName val="CONGTSVTA"/>
      <sheetName val="KOMAL X CLIENTE"/>
      <sheetName val="flujos"/>
      <sheetName val="BALANCES"/>
      <sheetName val="KOMAL_X_CLIENTE"/>
    </sheetNames>
    <sheetDataSet>
      <sheetData sheetId="0" refreshError="1">
        <row r="18">
          <cell r="E18" t="str">
            <v xml:space="preserve"> DICIEMBRE  2004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Actividades1"/>
      <sheetName val="Macro1"/>
      <sheetName val="Actividades"/>
      <sheetName val="Hoja18"/>
      <sheetName val="Hoja6"/>
      <sheetName val="Macro2"/>
      <sheetName val="Reportes"/>
      <sheetName val="DATOS"/>
      <sheetName val="Hoja9"/>
      <sheetName val="Proyectos"/>
      <sheetName val="Conexiones"/>
      <sheetName val="Hoja2"/>
      <sheetName val="Emp_Ppto"/>
      <sheetName val="Txt"/>
      <sheetName val="CC_Infofin"/>
      <sheetName val="Correos"/>
      <sheetName val="Hoja12"/>
      <sheetName val="Pre_Ind"/>
      <sheetName val="Contratos"/>
      <sheetName val="Inicio"/>
      <sheetName val="Configuraciones"/>
      <sheetName val="Name_Rep"/>
      <sheetName val="Archivo"/>
      <sheetName val="Presupuestos"/>
      <sheetName val="Hoja10"/>
      <sheetName val="Pasivos_Eu"/>
      <sheetName val="Hoja4"/>
      <sheetName val="Hoja1"/>
      <sheetName val="Hoja8"/>
      <sheetName val="Hoja5"/>
      <sheetName val="Macro3"/>
      <sheetName val="Hoja11"/>
      <sheetName val="Hoja3"/>
      <sheetName val="Hoja13"/>
      <sheetName val="Hoja14"/>
      <sheetName val="PJ_Txt"/>
      <sheetName val="Hoja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>
            <v>2018</v>
          </cell>
        </row>
        <row r="2">
          <cell r="A2" t="str">
            <v>SEPTIEMBRE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2">
          <cell r="B2" t="str">
            <v>Renombrar archivos mensuales y trimestrales de trabajo</v>
          </cell>
        </row>
        <row r="5">
          <cell r="D5" t="str">
            <v>March 2019.xls</v>
          </cell>
        </row>
        <row r="11">
          <cell r="E11" t="str">
            <v>marzo 2019</v>
          </cell>
        </row>
      </sheetData>
      <sheetData sheetId="22"/>
      <sheetData sheetId="23"/>
      <sheetData sheetId="24"/>
      <sheetData sheetId="25"/>
      <sheetData sheetId="26"/>
      <sheetData sheetId="27">
        <row r="1">
          <cell r="A1">
            <v>0.106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icio">
    <tabColor rgb="FF99FF66"/>
  </sheetPr>
  <dimension ref="B2:T37"/>
  <sheetViews>
    <sheetView showGridLines="0" tabSelected="1" topLeftCell="A2" zoomScale="73" zoomScaleNormal="100" workbookViewId="0">
      <selection activeCell="C17" sqref="C17"/>
    </sheetView>
  </sheetViews>
  <sheetFormatPr baseColWidth="10" defaultColWidth="10.81640625" defaultRowHeight="14.5" x14ac:dyDescent="0.35"/>
  <cols>
    <col min="1" max="1" width="3.1796875" style="108" customWidth="1"/>
    <col min="2" max="2" width="10.81640625" style="108"/>
    <col min="3" max="3" width="51.26953125" style="108" customWidth="1"/>
    <col min="4" max="4" width="2.54296875" style="108" customWidth="1"/>
    <col min="5" max="5" width="18.26953125" style="109" customWidth="1"/>
    <col min="6" max="6" width="5.54296875" style="108" bestFit="1" customWidth="1"/>
    <col min="7" max="7" width="5.54296875" style="109" bestFit="1" customWidth="1"/>
    <col min="8" max="8" width="5.54296875" style="108" bestFit="1" customWidth="1"/>
    <col min="9" max="9" width="5.54296875" style="109" bestFit="1" customWidth="1"/>
    <col min="10" max="10" width="4.81640625" style="109" bestFit="1" customWidth="1"/>
    <col min="11" max="11" width="8" style="108" customWidth="1"/>
    <col min="12" max="12" width="5.54296875" style="108" customWidth="1"/>
    <col min="13" max="13" width="5.54296875" style="108" bestFit="1" customWidth="1"/>
    <col min="14" max="14" width="4.81640625" style="108" bestFit="1" customWidth="1"/>
    <col min="15" max="15" width="8.453125" style="108" customWidth="1"/>
    <col min="16" max="16" width="5.1796875" style="108" bestFit="1" customWidth="1"/>
    <col min="17" max="16384" width="10.81640625" style="108"/>
  </cols>
  <sheetData>
    <row r="2" spans="2:16" ht="18.5" x14ac:dyDescent="0.45">
      <c r="B2" s="336" t="s">
        <v>400</v>
      </c>
      <c r="O2" s="477" t="s">
        <v>637</v>
      </c>
      <c r="P2" s="108" t="s">
        <v>643</v>
      </c>
    </row>
    <row r="4" spans="2:16" x14ac:dyDescent="0.35">
      <c r="B4" s="112" t="s">
        <v>195</v>
      </c>
      <c r="C4" s="333">
        <v>613</v>
      </c>
      <c r="L4" s="108" t="s">
        <v>565</v>
      </c>
    </row>
    <row r="5" spans="2:16" ht="12.65" customHeight="1" x14ac:dyDescent="0.35">
      <c r="B5" s="112" t="s">
        <v>194</v>
      </c>
      <c r="C5" s="333">
        <v>601</v>
      </c>
      <c r="L5" s="108" t="s">
        <v>566</v>
      </c>
    </row>
    <row r="6" spans="2:16" ht="12.65" customHeight="1" x14ac:dyDescent="0.35">
      <c r="B6" s="112" t="s">
        <v>193</v>
      </c>
      <c r="C6" s="333" t="str">
        <f>CONCATENATE(C7,C4," AND A.INFI_REPORTE=",C5," ORDER BY A.INFS_RENGLON")</f>
        <v>Select infs_renglon renglon, RENC_DESCRIPCION CONCEPTO, renf_valor1 SI_ANO, renf_valor2 CaEnero,  renf_valor3 CrEnero,  renf_valor4 CaFebrero,  renf_valor5 CrFebrero,  renf_valor6 CaMarzo,  renf_valor7 CrMarzo, renf_valor8 SalMarzo,  renf_valor9 CaAbril,  renf_valor10 CrAbril,renf_valor11 CaMayo,  renf_valor12 CrMayo, renf_valor13 CaJunio, renf_valor14 CrJunio, renf_valor15 SalJunio,renf_valor16 CaJulio,renf_valor17 CrJulio,renf_valor18 CaAgosto,renf_valor19 CrAgosto, renf_valor20 CaSeptiebre, renf_valor21 CrSeptiembre,renf_valor22 SalSeptiembre,renf_valor23 CaOctubre,renf_valor24 CrOctubre,renf_valor25 CaNoviembre,renf_valor26 CrNoviembre,renf_valor27 CaDiciembre,renf_valor28 CrDiciembre, renf_valor29 SalDiciembre,   TO_CHAR(REPD_FECHAULTMOD,'MON-YYYY')  FECHA  FROM INF_RENGLONES A, INF_REPORTES B where A.CTBS_CIA = B.CTBS_CIA AND A.INFI_REPORTE = B.INFI_REPORTE AND A.ctbs_cia =613 AND A.INFI_REPORTE=601 ORDER BY A.INFS_RENGLON</v>
      </c>
      <c r="D6" s="108" t="s">
        <v>251</v>
      </c>
      <c r="L6" s="108" t="s">
        <v>567</v>
      </c>
    </row>
    <row r="7" spans="2:16" ht="12.65" customHeight="1" x14ac:dyDescent="0.35">
      <c r="B7" s="112"/>
      <c r="C7" s="333" t="s">
        <v>530</v>
      </c>
      <c r="D7" s="108" t="s">
        <v>251</v>
      </c>
      <c r="L7" s="108" t="s">
        <v>568</v>
      </c>
    </row>
    <row r="8" spans="2:16" ht="12.65" customHeight="1" x14ac:dyDescent="0.35">
      <c r="L8" s="108" t="s">
        <v>569</v>
      </c>
    </row>
    <row r="10" spans="2:16" x14ac:dyDescent="0.35">
      <c r="B10" s="112" t="s">
        <v>390</v>
      </c>
      <c r="C10" s="345"/>
      <c r="D10" s="345">
        <v>43566.770555555559</v>
      </c>
    </row>
    <row r="12" spans="2:16" x14ac:dyDescent="0.35">
      <c r="B12" s="112" t="s">
        <v>196</v>
      </c>
      <c r="C12" s="478" t="s">
        <v>642</v>
      </c>
      <c r="D12" s="109"/>
      <c r="E12" s="108"/>
      <c r="G12" s="108"/>
      <c r="I12" s="108"/>
      <c r="J12" s="108"/>
    </row>
    <row r="13" spans="2:16" x14ac:dyDescent="0.35">
      <c r="D13" s="109"/>
      <c r="E13" s="108"/>
      <c r="G13" s="108"/>
      <c r="I13" s="108"/>
      <c r="J13" s="108"/>
    </row>
    <row r="14" spans="2:16" x14ac:dyDescent="0.35">
      <c r="B14" s="112" t="s">
        <v>192</v>
      </c>
      <c r="C14" s="112" t="s">
        <v>191</v>
      </c>
      <c r="D14" s="109"/>
      <c r="E14" s="108"/>
      <c r="F14" s="111"/>
      <c r="G14" s="111"/>
      <c r="H14" s="111"/>
      <c r="I14" s="111"/>
      <c r="J14" s="108"/>
    </row>
    <row r="15" spans="2:16" x14ac:dyDescent="0.35">
      <c r="B15" s="335">
        <v>615</v>
      </c>
      <c r="C15" s="334" t="s">
        <v>189</v>
      </c>
      <c r="D15" s="109"/>
      <c r="E15" s="110"/>
      <c r="F15" s="119" t="s">
        <v>187</v>
      </c>
      <c r="G15" s="119" t="s">
        <v>188</v>
      </c>
      <c r="H15" s="119" t="s">
        <v>186</v>
      </c>
      <c r="I15" s="119" t="s">
        <v>254</v>
      </c>
      <c r="J15" s="108"/>
    </row>
    <row r="16" spans="2:16" x14ac:dyDescent="0.35">
      <c r="B16" s="335">
        <v>613</v>
      </c>
      <c r="C16" s="334" t="s">
        <v>190</v>
      </c>
      <c r="D16" s="109"/>
      <c r="E16" s="110"/>
      <c r="F16" s="119" t="s">
        <v>187</v>
      </c>
      <c r="G16" s="119" t="s">
        <v>188</v>
      </c>
      <c r="H16" s="119" t="s">
        <v>186</v>
      </c>
      <c r="I16" s="119" t="s">
        <v>254</v>
      </c>
      <c r="J16" s="108"/>
    </row>
    <row r="17" spans="2:20" x14ac:dyDescent="0.35">
      <c r="D17" s="109"/>
      <c r="E17" s="108"/>
      <c r="G17" s="108"/>
      <c r="I17" s="108"/>
      <c r="J17" s="108"/>
    </row>
    <row r="18" spans="2:20" x14ac:dyDescent="0.35">
      <c r="B18" s="112" t="s">
        <v>419</v>
      </c>
      <c r="C18" s="112" t="s">
        <v>420</v>
      </c>
      <c r="D18" s="112" t="s">
        <v>436</v>
      </c>
      <c r="E18" s="112" t="s">
        <v>442</v>
      </c>
      <c r="K18" s="390" t="s">
        <v>456</v>
      </c>
    </row>
    <row r="19" spans="2:20" x14ac:dyDescent="0.35">
      <c r="B19" s="108" t="s">
        <v>401</v>
      </c>
      <c r="C19" s="108" t="s">
        <v>421</v>
      </c>
      <c r="D19" s="108" t="s">
        <v>438</v>
      </c>
      <c r="E19" s="338"/>
    </row>
    <row r="20" spans="2:20" x14ac:dyDescent="0.35">
      <c r="B20" s="108" t="s">
        <v>402</v>
      </c>
      <c r="C20" s="108" t="s">
        <v>422</v>
      </c>
      <c r="D20" s="108" t="s">
        <v>437</v>
      </c>
      <c r="E20" s="338"/>
      <c r="K20" s="392">
        <v>1</v>
      </c>
      <c r="L20" s="397" t="s">
        <v>467</v>
      </c>
    </row>
    <row r="21" spans="2:20" x14ac:dyDescent="0.35">
      <c r="B21" s="108" t="s">
        <v>403</v>
      </c>
      <c r="C21" s="108" t="s">
        <v>423</v>
      </c>
      <c r="D21" s="108" t="s">
        <v>439</v>
      </c>
      <c r="E21" s="338"/>
      <c r="L21" s="108" t="s">
        <v>468</v>
      </c>
    </row>
    <row r="22" spans="2:20" x14ac:dyDescent="0.35">
      <c r="B22" s="108" t="s">
        <v>404</v>
      </c>
      <c r="C22" s="108" t="s">
        <v>424</v>
      </c>
      <c r="D22" s="108" t="s">
        <v>439</v>
      </c>
      <c r="E22" s="338" t="str">
        <f>IF(+BDBG!D59+BDBG!Q59&lt;&gt;0,"Existe Descuadre en Hoja BG","")</f>
        <v/>
      </c>
      <c r="L22" s="108" t="s">
        <v>469</v>
      </c>
    </row>
    <row r="23" spans="2:20" x14ac:dyDescent="0.35">
      <c r="B23" s="108" t="s">
        <v>405</v>
      </c>
      <c r="C23" s="108" t="s">
        <v>425</v>
      </c>
      <c r="D23" s="108" t="s">
        <v>439</v>
      </c>
      <c r="E23" s="338"/>
    </row>
    <row r="24" spans="2:20" x14ac:dyDescent="0.35">
      <c r="B24" s="108" t="s">
        <v>406</v>
      </c>
      <c r="C24" s="108" t="s">
        <v>426</v>
      </c>
      <c r="D24" s="108" t="s">
        <v>439</v>
      </c>
      <c r="E24" s="338" t="str">
        <f>IF(+FE!F71&lt;&gt;0,"Existe Descuadre en Hoja ER","")</f>
        <v/>
      </c>
      <c r="K24" s="392">
        <v>2</v>
      </c>
      <c r="L24" s="189" t="s">
        <v>457</v>
      </c>
      <c r="M24"/>
    </row>
    <row r="25" spans="2:20" x14ac:dyDescent="0.35">
      <c r="B25" s="108" t="s">
        <v>407</v>
      </c>
      <c r="C25" s="108" t="s">
        <v>427</v>
      </c>
      <c r="D25" s="108" t="s">
        <v>439</v>
      </c>
      <c r="E25" s="338"/>
      <c r="K25" s="393"/>
      <c r="L25" s="391"/>
      <c r="M25" s="475" t="s">
        <v>458</v>
      </c>
      <c r="N25" s="476"/>
      <c r="O25" s="476"/>
      <c r="P25" s="476"/>
      <c r="Q25" s="476"/>
      <c r="R25" s="476"/>
      <c r="S25" s="476"/>
      <c r="T25" s="476"/>
    </row>
    <row r="26" spans="2:20" x14ac:dyDescent="0.35">
      <c r="B26" s="108" t="s">
        <v>408</v>
      </c>
      <c r="C26" s="108" t="s">
        <v>427</v>
      </c>
      <c r="D26" s="108" t="s">
        <v>439</v>
      </c>
      <c r="E26" s="338"/>
      <c r="K26" s="393"/>
      <c r="L26" s="391"/>
      <c r="M26" s="394" t="s">
        <v>459</v>
      </c>
    </row>
    <row r="27" spans="2:20" x14ac:dyDescent="0.35">
      <c r="B27" s="108" t="s">
        <v>409</v>
      </c>
      <c r="C27" s="108" t="s">
        <v>428</v>
      </c>
      <c r="D27" s="108" t="s">
        <v>439</v>
      </c>
      <c r="E27" s="338"/>
      <c r="K27" s="393"/>
      <c r="L27" s="391"/>
      <c r="M27" s="395"/>
    </row>
    <row r="28" spans="2:20" x14ac:dyDescent="0.35">
      <c r="B28" s="108" t="s">
        <v>410</v>
      </c>
      <c r="C28" s="108" t="s">
        <v>429</v>
      </c>
      <c r="D28" s="108" t="s">
        <v>439</v>
      </c>
      <c r="E28" s="338"/>
      <c r="K28" s="393">
        <v>3</v>
      </c>
      <c r="L28" s="390" t="s">
        <v>460</v>
      </c>
      <c r="M28" s="395"/>
    </row>
    <row r="29" spans="2:20" x14ac:dyDescent="0.35">
      <c r="B29" s="108" t="s">
        <v>411</v>
      </c>
      <c r="C29" s="108" t="s">
        <v>430</v>
      </c>
      <c r="D29" s="337" t="s">
        <v>440</v>
      </c>
      <c r="E29" s="338" t="s">
        <v>470</v>
      </c>
      <c r="K29" s="393"/>
      <c r="L29" s="391"/>
      <c r="M29" s="394" t="s">
        <v>461</v>
      </c>
    </row>
    <row r="30" spans="2:20" x14ac:dyDescent="0.35">
      <c r="B30" s="108" t="s">
        <v>412</v>
      </c>
      <c r="C30" s="108" t="s">
        <v>431</v>
      </c>
      <c r="D30" s="108" t="s">
        <v>439</v>
      </c>
      <c r="E30" s="338"/>
      <c r="K30" s="393"/>
      <c r="L30" s="391"/>
      <c r="M30" s="394" t="s">
        <v>462</v>
      </c>
    </row>
    <row r="31" spans="2:20" x14ac:dyDescent="0.35">
      <c r="B31" s="108" t="s">
        <v>413</v>
      </c>
      <c r="C31" s="108" t="s">
        <v>432</v>
      </c>
      <c r="D31" s="108" t="s">
        <v>439</v>
      </c>
      <c r="E31" s="338"/>
      <c r="K31" s="393"/>
      <c r="L31" s="391"/>
      <c r="M31" s="394" t="s">
        <v>463</v>
      </c>
    </row>
    <row r="32" spans="2:20" x14ac:dyDescent="0.35">
      <c r="B32" s="108" t="s">
        <v>414</v>
      </c>
      <c r="C32" s="108" t="s">
        <v>433</v>
      </c>
      <c r="D32" s="108" t="s">
        <v>439</v>
      </c>
      <c r="E32" s="338"/>
      <c r="K32" s="393"/>
      <c r="L32" s="391"/>
      <c r="M32" s="395"/>
    </row>
    <row r="33" spans="2:13" x14ac:dyDescent="0.35">
      <c r="B33" s="108" t="s">
        <v>392</v>
      </c>
      <c r="C33" s="108" t="s">
        <v>434</v>
      </c>
      <c r="D33" s="337" t="s">
        <v>439</v>
      </c>
      <c r="E33" s="338"/>
      <c r="K33" s="393">
        <v>4</v>
      </c>
      <c r="L33" s="390" t="s">
        <v>464</v>
      </c>
      <c r="M33" s="395"/>
    </row>
    <row r="34" spans="2:13" x14ac:dyDescent="0.35">
      <c r="B34" s="108" t="s">
        <v>415</v>
      </c>
      <c r="C34" s="108" t="s">
        <v>435</v>
      </c>
      <c r="D34" s="337" t="s">
        <v>440</v>
      </c>
      <c r="E34" s="338"/>
      <c r="K34" s="393"/>
      <c r="L34" s="391"/>
      <c r="M34" s="396" t="s">
        <v>465</v>
      </c>
    </row>
    <row r="35" spans="2:13" x14ac:dyDescent="0.35">
      <c r="B35" s="108" t="s">
        <v>416</v>
      </c>
      <c r="C35" s="108" t="s">
        <v>435</v>
      </c>
      <c r="D35" s="337" t="s">
        <v>440</v>
      </c>
      <c r="E35" s="338"/>
      <c r="M35" s="108" t="s">
        <v>466</v>
      </c>
    </row>
    <row r="36" spans="2:13" x14ac:dyDescent="0.35">
      <c r="B36" s="108" t="s">
        <v>417</v>
      </c>
      <c r="C36" s="108" t="s">
        <v>435</v>
      </c>
      <c r="D36" s="337" t="s">
        <v>440</v>
      </c>
      <c r="E36" s="338"/>
    </row>
    <row r="37" spans="2:13" x14ac:dyDescent="0.35">
      <c r="B37" s="108" t="s">
        <v>418</v>
      </c>
      <c r="C37" s="108" t="s">
        <v>435</v>
      </c>
      <c r="D37" s="337" t="s">
        <v>440</v>
      </c>
      <c r="E37" s="33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Rep_Trim">
          <controlPr defaultSize="0" autoLine="0" r:id="rId5">
            <anchor moveWithCells="1">
              <from>
                <xdr:col>6</xdr:col>
                <xdr:colOff>323850</xdr:colOff>
                <xdr:row>2</xdr:row>
                <xdr:rowOff>50800</xdr:rowOff>
              </from>
              <to>
                <xdr:col>9</xdr:col>
                <xdr:colOff>184150</xdr:colOff>
                <xdr:row>3</xdr:row>
                <xdr:rowOff>63500</xdr:rowOff>
              </to>
            </anchor>
          </controlPr>
        </control>
      </mc:Choice>
      <mc:Fallback>
        <control shapeId="2052" r:id="rId4" name="Rep_Trim"/>
      </mc:Fallback>
    </mc:AlternateContent>
    <mc:AlternateContent xmlns:mc="http://schemas.openxmlformats.org/markup-compatibility/2006">
      <mc:Choice Requires="x14">
        <control shapeId="2051" r:id="rId6" name="Rep_Mes">
          <controlPr defaultSize="0" autoLine="0" r:id="rId7">
            <anchor moveWithCells="1">
              <from>
                <xdr:col>6</xdr:col>
                <xdr:colOff>323850</xdr:colOff>
                <xdr:row>2</xdr:row>
                <xdr:rowOff>0</xdr:rowOff>
              </from>
              <to>
                <xdr:col>9</xdr:col>
                <xdr:colOff>184150</xdr:colOff>
                <xdr:row>3</xdr:row>
                <xdr:rowOff>12700</xdr:rowOff>
              </to>
            </anchor>
          </controlPr>
        </control>
      </mc:Choice>
      <mc:Fallback>
        <control shapeId="2051" r:id="rId6" name="Rep_Mes"/>
      </mc:Fallback>
    </mc:AlternateContent>
    <mc:AlternateContent xmlns:mc="http://schemas.openxmlformats.org/markup-compatibility/2006">
      <mc:Choice Requires="x14">
        <control shapeId="2056" r:id="rId8" name="Inicio_Revisión">
          <controlPr defaultSize="0" autoLine="0" r:id="rId9">
            <anchor moveWithCells="1">
              <from>
                <xdr:col>5</xdr:col>
                <xdr:colOff>107950</xdr:colOff>
                <xdr:row>3</xdr:row>
                <xdr:rowOff>12700</xdr:rowOff>
              </from>
              <to>
                <xdr:col>8</xdr:col>
                <xdr:colOff>279400</xdr:colOff>
                <xdr:row>5</xdr:row>
                <xdr:rowOff>0</xdr:rowOff>
              </to>
            </anchor>
          </controlPr>
        </control>
      </mc:Choice>
      <mc:Fallback>
        <control shapeId="2056" r:id="rId8" name="Inicio_Revisión"/>
      </mc:Fallback>
    </mc:AlternateContent>
    <mc:AlternateContent xmlns:mc="http://schemas.openxmlformats.org/markup-compatibility/2006">
      <mc:Choice Requires="x14">
        <control shapeId="2057" r:id="rId10" name="Inicio_Importar_Reportes">
          <controlPr defaultSize="0" autoLine="0" r:id="rId11">
            <anchor moveWithCells="1">
              <from>
                <xdr:col>5</xdr:col>
                <xdr:colOff>107950</xdr:colOff>
                <xdr:row>5</xdr:row>
                <xdr:rowOff>146050</xdr:rowOff>
              </from>
              <to>
                <xdr:col>8</xdr:col>
                <xdr:colOff>273050</xdr:colOff>
                <xdr:row>8</xdr:row>
                <xdr:rowOff>0</xdr:rowOff>
              </to>
            </anchor>
          </controlPr>
        </control>
      </mc:Choice>
      <mc:Fallback>
        <control shapeId="2057" r:id="rId10" name="Inicio_Importar_Reportes"/>
      </mc:Fallback>
    </mc:AlternateContent>
    <mc:AlternateContent xmlns:mc="http://schemas.openxmlformats.org/markup-compatibility/2006">
      <mc:Choice Requires="x14">
        <control shapeId="2058" r:id="rId12" name="Inicio_Exportar_a_PPTX">
          <controlPr defaultSize="0" autoLine="0" r:id="rId13">
            <anchor moveWithCells="1">
              <from>
                <xdr:col>5</xdr:col>
                <xdr:colOff>107950</xdr:colOff>
                <xdr:row>8</xdr:row>
                <xdr:rowOff>127000</xdr:rowOff>
              </from>
              <to>
                <xdr:col>8</xdr:col>
                <xdr:colOff>273050</xdr:colOff>
                <xdr:row>10</xdr:row>
                <xdr:rowOff>114300</xdr:rowOff>
              </to>
            </anchor>
          </controlPr>
        </control>
      </mc:Choice>
      <mc:Fallback>
        <control shapeId="2058" r:id="rId12" name="Inicio_Exportar_a_PPT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_Info"/>
  <dimension ref="A1:DCP65"/>
  <sheetViews>
    <sheetView workbookViewId="0">
      <selection activeCell="A2" sqref="A2:Z22"/>
    </sheetView>
  </sheetViews>
  <sheetFormatPr baseColWidth="10" defaultRowHeight="12.5" x14ac:dyDescent="0.25"/>
  <sheetData>
    <row r="1" spans="1:43 1831:2043 2051:2798" x14ac:dyDescent="0.25">
      <c r="A1" t="s">
        <v>531</v>
      </c>
      <c r="B1" t="s">
        <v>532</v>
      </c>
      <c r="C1" t="s">
        <v>533</v>
      </c>
      <c r="E1" t="s">
        <v>534</v>
      </c>
      <c r="G1" t="s">
        <v>535</v>
      </c>
      <c r="I1" t="s">
        <v>536</v>
      </c>
      <c r="K1" t="s">
        <v>537</v>
      </c>
      <c r="M1" t="s">
        <v>538</v>
      </c>
      <c r="O1" t="s">
        <v>539</v>
      </c>
      <c r="Q1" t="s">
        <v>540</v>
      </c>
      <c r="S1" t="s">
        <v>541</v>
      </c>
      <c r="U1" t="s">
        <v>542</v>
      </c>
      <c r="W1" t="s">
        <v>543</v>
      </c>
      <c r="Y1" t="s">
        <v>638</v>
      </c>
      <c r="Z1" t="s">
        <v>544</v>
      </c>
      <c r="AA1" t="s">
        <v>639</v>
      </c>
      <c r="AB1" t="s">
        <v>545</v>
      </c>
      <c r="AC1" t="s">
        <v>640</v>
      </c>
      <c r="AD1" t="s">
        <v>546</v>
      </c>
      <c r="AE1" t="s">
        <v>547</v>
      </c>
      <c r="AF1" t="s">
        <v>548</v>
      </c>
      <c r="AG1" t="s">
        <v>549</v>
      </c>
      <c r="AH1" t="s">
        <v>550</v>
      </c>
      <c r="AI1" t="s">
        <v>551</v>
      </c>
      <c r="AJ1" t="s">
        <v>552</v>
      </c>
      <c r="AK1" t="s">
        <v>553</v>
      </c>
      <c r="AL1" t="s">
        <v>554</v>
      </c>
      <c r="AM1" t="s">
        <v>555</v>
      </c>
      <c r="AN1" t="s">
        <v>556</v>
      </c>
      <c r="AO1" t="s">
        <v>557</v>
      </c>
      <c r="AP1" t="s">
        <v>558</v>
      </c>
      <c r="AQ1" t="s">
        <v>559</v>
      </c>
    </row>
    <row r="2" spans="1:43 1831:2043 2051:2798" x14ac:dyDescent="0.25">
      <c r="A2">
        <v>30</v>
      </c>
      <c r="B2" t="s">
        <v>16</v>
      </c>
      <c r="C2">
        <v>2116962</v>
      </c>
      <c r="E2">
        <v>2648540</v>
      </c>
      <c r="G2">
        <v>1828065</v>
      </c>
      <c r="I2">
        <v>2403538</v>
      </c>
      <c r="K2">
        <v>2208905</v>
      </c>
      <c r="M2">
        <v>1959430</v>
      </c>
      <c r="O2">
        <v>1085112</v>
      </c>
      <c r="Q2">
        <v>1280690</v>
      </c>
      <c r="S2">
        <v>1196162</v>
      </c>
      <c r="U2">
        <v>891582</v>
      </c>
      <c r="W2">
        <v>1172318</v>
      </c>
      <c r="Y2">
        <v>918420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 t="s">
        <v>641</v>
      </c>
      <c r="BRK2" s="113"/>
      <c r="BRN2" s="113"/>
      <c r="BRV2" s="113"/>
      <c r="BRY2" s="113"/>
      <c r="BSG2" s="113"/>
      <c r="BSJ2" s="113"/>
      <c r="BSR2" s="113"/>
      <c r="BSU2" s="113"/>
      <c r="BTC2" s="113"/>
      <c r="BTF2" s="113"/>
      <c r="BTN2" s="113"/>
      <c r="BTQ2" s="113"/>
      <c r="BTY2" s="113"/>
      <c r="BUB2" s="113"/>
      <c r="BUJ2" s="113"/>
      <c r="BUM2" s="113"/>
      <c r="BUU2" s="113"/>
      <c r="BUX2" s="113"/>
      <c r="BVF2" s="113"/>
      <c r="BVI2" s="113"/>
      <c r="BVQ2" s="113"/>
      <c r="BVT2" s="113"/>
      <c r="BWB2" s="113"/>
      <c r="BWE2" s="113"/>
      <c r="BWM2" s="113"/>
      <c r="BWP2" s="113"/>
      <c r="BWX2" s="113"/>
      <c r="BXA2" s="113"/>
      <c r="BXI2" s="113"/>
      <c r="BXL2" s="113"/>
      <c r="BXT2" s="113"/>
      <c r="BXW2" s="113"/>
      <c r="BYE2" s="113"/>
      <c r="BYH2" s="113"/>
      <c r="BYP2" s="113"/>
      <c r="BYS2" s="113"/>
      <c r="BZA2" s="113"/>
      <c r="BZD2" s="113"/>
      <c r="BZL2" s="113"/>
      <c r="BZO2" s="113"/>
      <c r="BZW2" s="113"/>
      <c r="BZZ2" s="113"/>
      <c r="CAH2" s="113"/>
      <c r="CAK2" s="113"/>
      <c r="CAS2" s="113"/>
      <c r="CAV2" s="113"/>
      <c r="CBD2" s="113"/>
      <c r="CBG2" s="113"/>
      <c r="CBO2" s="113"/>
      <c r="CBR2" s="113"/>
      <c r="CBZ2" s="113"/>
      <c r="CCC2" s="113"/>
      <c r="CCK2" s="113"/>
      <c r="CCN2" s="113"/>
      <c r="CCV2" s="113"/>
      <c r="CCY2" s="113"/>
      <c r="CDG2" s="113"/>
      <c r="CDJ2" s="113"/>
      <c r="CDR2" s="113"/>
      <c r="CDU2" s="113"/>
      <c r="CEC2" s="113"/>
      <c r="CEF2" s="113"/>
      <c r="CEN2" s="113"/>
      <c r="CEQ2" s="113"/>
      <c r="CEY2" s="113"/>
      <c r="CFB2" s="113"/>
      <c r="CFJ2" s="113"/>
      <c r="CFM2" s="113"/>
      <c r="CFU2" s="113"/>
      <c r="CFX2" s="113"/>
      <c r="CGF2" s="113"/>
      <c r="CGI2" s="113"/>
      <c r="CGQ2" s="113"/>
      <c r="CGT2" s="113"/>
      <c r="CHB2" s="113"/>
      <c r="CHE2" s="113"/>
      <c r="CHM2" s="113"/>
      <c r="CHP2" s="113"/>
      <c r="CHX2" s="113"/>
      <c r="CIA2" s="113"/>
      <c r="CII2" s="113"/>
      <c r="CIL2" s="113"/>
      <c r="CIT2" s="113"/>
      <c r="CIW2" s="113"/>
      <c r="CJE2" s="113"/>
      <c r="CJH2" s="113"/>
      <c r="CJP2" s="113"/>
      <c r="CJS2" s="113"/>
      <c r="CKA2" s="113"/>
      <c r="CKD2" s="113"/>
      <c r="CKL2" s="113"/>
      <c r="CKO2" s="113"/>
      <c r="CKW2" s="113"/>
      <c r="CKZ2" s="113"/>
      <c r="CLB2" s="113"/>
      <c r="CLE2" s="113"/>
      <c r="CLH2" s="113"/>
      <c r="CLK2" s="113"/>
      <c r="CLM2" s="113"/>
      <c r="CLP2" s="113"/>
      <c r="CLX2" s="113"/>
      <c r="CMA2" s="113"/>
      <c r="CMI2" s="113"/>
      <c r="CML2" s="113"/>
      <c r="CMT2" s="113"/>
      <c r="CMW2" s="113"/>
      <c r="CNE2" s="113"/>
      <c r="CNH2" s="113"/>
      <c r="CNP2" s="113"/>
      <c r="CNS2" s="113"/>
      <c r="COA2" s="113"/>
      <c r="COD2" s="113"/>
      <c r="COL2" s="113"/>
      <c r="COO2" s="113"/>
      <c r="COW2" s="113"/>
      <c r="COZ2" s="113"/>
      <c r="CPH2" s="113"/>
      <c r="CPK2" s="113"/>
      <c r="CPS2" s="113"/>
      <c r="CPV2" s="113"/>
      <c r="CQD2" s="113"/>
      <c r="CQG2" s="113"/>
      <c r="CQO2" s="113"/>
      <c r="CQR2" s="113"/>
      <c r="CQZ2" s="113"/>
      <c r="CRC2" s="113"/>
      <c r="CRK2" s="113"/>
      <c r="CRN2" s="113"/>
      <c r="CRV2" s="113"/>
      <c r="CRY2" s="113"/>
      <c r="CSG2" s="113"/>
      <c r="CSJ2" s="113"/>
      <c r="CSR2" s="113"/>
      <c r="CSU2" s="113"/>
      <c r="CTC2" s="113"/>
      <c r="CTF2" s="113"/>
      <c r="CTN2" s="113"/>
      <c r="CTQ2" s="113"/>
      <c r="CTY2" s="113"/>
      <c r="CUB2" s="113"/>
      <c r="CUJ2" s="113"/>
      <c r="CUM2" s="113"/>
      <c r="CUU2" s="113"/>
      <c r="CUX2" s="113"/>
      <c r="CVF2" s="113"/>
      <c r="CVI2" s="113"/>
      <c r="CVQ2" s="113"/>
      <c r="CVT2" s="113"/>
      <c r="CWB2" s="113"/>
      <c r="CWE2" s="113"/>
      <c r="CWM2" s="113"/>
      <c r="CWX2" s="113"/>
      <c r="CXI2" s="113"/>
      <c r="CXT2" s="113"/>
      <c r="CYE2" s="113"/>
      <c r="CYP2" s="113"/>
      <c r="CYS2" s="113"/>
      <c r="CYX2" s="113"/>
      <c r="CZA2" s="113"/>
      <c r="CZD2" s="113"/>
      <c r="CZI2" s="113"/>
      <c r="CZL2" s="113"/>
      <c r="CZQ2" s="113"/>
      <c r="CZT2" s="113"/>
      <c r="CZW2" s="113"/>
      <c r="DAB2" s="113"/>
      <c r="DAE2" s="113"/>
      <c r="DAM2" s="113"/>
      <c r="DAP2" s="113"/>
      <c r="DAX2" s="113"/>
      <c r="DBA2" s="113"/>
      <c r="DBI2" s="113"/>
      <c r="DBL2" s="113"/>
      <c r="DBT2" s="113"/>
      <c r="DBW2" s="113"/>
      <c r="DCE2" s="113"/>
      <c r="DCF2" s="113"/>
      <c r="DCI2" s="113"/>
      <c r="DCP2" s="113"/>
    </row>
    <row r="3" spans="1:43 1831:2043 2051:2798" x14ac:dyDescent="0.25">
      <c r="A3">
        <v>40</v>
      </c>
      <c r="B3" t="s">
        <v>252</v>
      </c>
      <c r="C3">
        <v>0</v>
      </c>
      <c r="E3">
        <v>0</v>
      </c>
      <c r="G3">
        <v>0</v>
      </c>
      <c r="I3">
        <v>0</v>
      </c>
      <c r="K3">
        <v>0</v>
      </c>
      <c r="M3">
        <v>0</v>
      </c>
      <c r="O3">
        <v>0</v>
      </c>
      <c r="Q3">
        <v>0</v>
      </c>
      <c r="S3">
        <v>0</v>
      </c>
      <c r="U3">
        <v>0</v>
      </c>
      <c r="W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t="s">
        <v>641</v>
      </c>
      <c r="BRK3" s="113"/>
      <c r="BRN3" s="113"/>
      <c r="BRV3" s="113"/>
      <c r="BRY3" s="113"/>
      <c r="BSG3" s="113"/>
      <c r="BSJ3" s="113"/>
      <c r="BSR3" s="113"/>
      <c r="BSU3" s="113"/>
      <c r="BTC3" s="113"/>
      <c r="BTF3" s="113"/>
      <c r="BTN3" s="113"/>
      <c r="BTQ3" s="113"/>
      <c r="BTY3" s="113"/>
      <c r="BUB3" s="113"/>
      <c r="BUJ3" s="113"/>
      <c r="BUM3" s="113"/>
      <c r="BUU3" s="113"/>
      <c r="BUX3" s="113"/>
      <c r="BVF3" s="113"/>
      <c r="BVI3" s="113"/>
      <c r="BVQ3" s="113"/>
      <c r="BVT3" s="113"/>
      <c r="BWB3" s="113"/>
      <c r="BWE3" s="113"/>
      <c r="BWM3" s="113"/>
      <c r="BWP3" s="113"/>
      <c r="BWX3" s="113"/>
      <c r="BXA3" s="113"/>
      <c r="BXI3" s="113"/>
      <c r="BXL3" s="113"/>
      <c r="BXT3" s="113"/>
      <c r="BXW3" s="113"/>
      <c r="BYE3" s="113"/>
      <c r="BYH3" s="113"/>
      <c r="BYP3" s="113"/>
      <c r="BYS3" s="113"/>
      <c r="BZA3" s="113"/>
      <c r="BZD3" s="113"/>
      <c r="BZL3" s="113"/>
      <c r="BZO3" s="113"/>
      <c r="BZW3" s="113"/>
      <c r="BZZ3" s="113"/>
      <c r="CAH3" s="113"/>
      <c r="CAK3" s="113"/>
      <c r="CAS3" s="113"/>
      <c r="CAV3" s="113"/>
      <c r="CBD3" s="113"/>
      <c r="CBG3" s="113"/>
      <c r="CBO3" s="113"/>
      <c r="CBR3" s="113"/>
      <c r="CBZ3" s="113"/>
      <c r="CCC3" s="113"/>
      <c r="CCK3" s="113"/>
      <c r="CCN3" s="113"/>
      <c r="CCV3" s="113"/>
      <c r="CCY3" s="113"/>
      <c r="CDG3" s="113"/>
      <c r="CDJ3" s="113"/>
      <c r="CDR3" s="113"/>
      <c r="CDU3" s="113"/>
      <c r="CEC3" s="113"/>
      <c r="CEF3" s="113"/>
      <c r="CEN3" s="113"/>
      <c r="CEQ3" s="113"/>
      <c r="CEY3" s="113"/>
      <c r="CFB3" s="113"/>
      <c r="CFJ3" s="113"/>
      <c r="CFM3" s="113"/>
      <c r="CFU3" s="113"/>
      <c r="CFX3" s="113"/>
      <c r="CGF3" s="113"/>
      <c r="CGI3" s="113"/>
      <c r="CGQ3" s="113"/>
      <c r="CGT3" s="113"/>
      <c r="CHB3" s="113"/>
      <c r="CHE3" s="113"/>
      <c r="CHM3" s="113"/>
      <c r="CHP3" s="113"/>
      <c r="CHX3" s="113"/>
      <c r="CIA3" s="113"/>
      <c r="CII3" s="113"/>
      <c r="CIL3" s="113"/>
      <c r="CIT3" s="113"/>
      <c r="CIW3" s="113"/>
      <c r="CJE3" s="113"/>
      <c r="CJH3" s="113"/>
      <c r="CJP3" s="113"/>
      <c r="CJS3" s="113"/>
      <c r="CKA3" s="113"/>
      <c r="CKD3" s="113"/>
      <c r="CKL3" s="113"/>
      <c r="CKO3" s="113"/>
      <c r="CKW3" s="113"/>
      <c r="CKZ3" s="113"/>
      <c r="CLB3" s="113"/>
      <c r="CLE3" s="113"/>
      <c r="CLH3" s="113"/>
      <c r="CLK3" s="113"/>
      <c r="CLM3" s="113"/>
      <c r="CLP3" s="113"/>
      <c r="CLX3" s="113"/>
      <c r="CMA3" s="113"/>
      <c r="CMI3" s="113"/>
      <c r="CML3" s="113"/>
      <c r="CMT3" s="113"/>
      <c r="CMW3" s="113"/>
      <c r="CNE3" s="113"/>
      <c r="CNH3" s="113"/>
      <c r="CNP3" s="113"/>
      <c r="CNS3" s="113"/>
      <c r="COA3" s="113"/>
      <c r="COD3" s="113"/>
      <c r="COL3" s="113"/>
      <c r="COO3" s="113"/>
      <c r="COW3" s="113"/>
      <c r="COZ3" s="113"/>
      <c r="CPH3" s="113"/>
      <c r="CPK3" s="113"/>
      <c r="CPS3" s="113"/>
      <c r="CPV3" s="113"/>
      <c r="CQD3" s="113"/>
      <c r="CQG3" s="113"/>
      <c r="CQO3" s="113"/>
      <c r="CQR3" s="113"/>
      <c r="CQZ3" s="113"/>
      <c r="CRC3" s="113"/>
      <c r="CRK3" s="113"/>
      <c r="CRN3" s="113"/>
      <c r="CRV3" s="113"/>
      <c r="CRY3" s="113"/>
      <c r="CSG3" s="113"/>
      <c r="CSJ3" s="113"/>
      <c r="CSR3" s="113"/>
      <c r="CSU3" s="113"/>
      <c r="CTC3" s="113"/>
      <c r="CTF3" s="113"/>
      <c r="CTN3" s="113"/>
      <c r="CTQ3" s="113"/>
      <c r="CTY3" s="113"/>
      <c r="CUB3" s="113"/>
      <c r="CUJ3" s="113"/>
      <c r="CUM3" s="113"/>
      <c r="CUU3" s="113"/>
      <c r="CUX3" s="113"/>
      <c r="CVF3" s="113"/>
      <c r="CVI3" s="113"/>
      <c r="CVQ3" s="113"/>
      <c r="CVT3" s="113"/>
      <c r="CWB3" s="113"/>
      <c r="CWE3" s="113"/>
      <c r="CWM3" s="113"/>
      <c r="CWX3" s="113"/>
      <c r="CXI3" s="113"/>
      <c r="CXT3" s="113"/>
      <c r="CYE3" s="113"/>
      <c r="CYP3" s="113"/>
      <c r="CYS3" s="113"/>
      <c r="CYX3" s="113"/>
      <c r="CZA3" s="113"/>
      <c r="CZD3" s="113"/>
      <c r="CZI3" s="113"/>
      <c r="CZL3" s="113"/>
      <c r="CZQ3" s="113"/>
      <c r="CZT3" s="113"/>
      <c r="CZW3" s="113"/>
      <c r="DAB3" s="113"/>
      <c r="DAE3" s="113"/>
      <c r="DAM3" s="113"/>
      <c r="DAP3" s="113"/>
      <c r="DAX3" s="113"/>
      <c r="DBA3" s="113"/>
      <c r="DBI3" s="113"/>
      <c r="DBL3" s="113"/>
      <c r="DBT3" s="113"/>
      <c r="DBW3" s="113"/>
      <c r="DCE3" s="113"/>
      <c r="DCF3" s="113"/>
      <c r="DCI3" s="113"/>
      <c r="DCP3" s="113"/>
    </row>
    <row r="4" spans="1:43 1831:2043 2051:2798" x14ac:dyDescent="0.25">
      <c r="A4">
        <v>50</v>
      </c>
      <c r="B4" t="s">
        <v>17</v>
      </c>
      <c r="C4">
        <v>2116962</v>
      </c>
      <c r="E4">
        <v>2648540</v>
      </c>
      <c r="G4">
        <v>1828065</v>
      </c>
      <c r="I4">
        <v>2403538</v>
      </c>
      <c r="K4">
        <v>2208905</v>
      </c>
      <c r="M4">
        <v>1959430</v>
      </c>
      <c r="O4">
        <v>1085112</v>
      </c>
      <c r="Q4">
        <v>1280690</v>
      </c>
      <c r="S4">
        <v>1196162</v>
      </c>
      <c r="U4">
        <v>891582</v>
      </c>
      <c r="W4">
        <v>1172318</v>
      </c>
      <c r="Y4">
        <v>918420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t="s">
        <v>641</v>
      </c>
      <c r="BRK4" s="113"/>
      <c r="BRN4" s="113"/>
      <c r="BRV4" s="113"/>
      <c r="BRY4" s="113"/>
      <c r="BSG4" s="113"/>
      <c r="BSJ4" s="113"/>
      <c r="BSR4" s="113"/>
      <c r="BSU4" s="113"/>
      <c r="BTC4" s="113"/>
      <c r="BTF4" s="113"/>
      <c r="BTN4" s="113"/>
      <c r="BTQ4" s="113"/>
      <c r="BTY4" s="113"/>
      <c r="BUB4" s="113"/>
      <c r="BUJ4" s="113"/>
      <c r="BUM4" s="113"/>
      <c r="BUU4" s="113"/>
      <c r="BUX4" s="113"/>
      <c r="BVF4" s="113"/>
      <c r="BVI4" s="113"/>
      <c r="BVQ4" s="113"/>
      <c r="BVT4" s="113"/>
      <c r="BWB4" s="113"/>
      <c r="BWE4" s="113"/>
      <c r="BWM4" s="113"/>
      <c r="BWP4" s="113"/>
      <c r="BWX4" s="113"/>
      <c r="BXA4" s="113"/>
      <c r="BXI4" s="113"/>
      <c r="BXL4" s="113"/>
      <c r="BXT4" s="113"/>
      <c r="BXW4" s="113"/>
      <c r="BYE4" s="113"/>
      <c r="BYH4" s="113"/>
      <c r="BYP4" s="113"/>
      <c r="BYS4" s="113"/>
      <c r="BZA4" s="113"/>
      <c r="BZD4" s="113"/>
      <c r="BZL4" s="113"/>
      <c r="BZO4" s="113"/>
      <c r="BZW4" s="113"/>
      <c r="BZZ4" s="113"/>
      <c r="CAH4" s="113"/>
      <c r="CAK4" s="113"/>
      <c r="CAS4" s="113"/>
      <c r="CAV4" s="113"/>
      <c r="CBD4" s="113"/>
      <c r="CBG4" s="113"/>
      <c r="CBO4" s="113"/>
      <c r="CBR4" s="113"/>
      <c r="CBZ4" s="113"/>
      <c r="CCC4" s="113"/>
      <c r="CCK4" s="113"/>
      <c r="CCN4" s="113"/>
      <c r="CCV4" s="113"/>
      <c r="CCY4" s="113"/>
      <c r="CDG4" s="113"/>
      <c r="CDJ4" s="113"/>
      <c r="CDR4" s="113"/>
      <c r="CDU4" s="113"/>
      <c r="CEC4" s="113"/>
      <c r="CEF4" s="113"/>
      <c r="CEN4" s="113"/>
      <c r="CEQ4" s="113"/>
      <c r="CEY4" s="113"/>
      <c r="CFB4" s="113"/>
      <c r="CFJ4" s="113"/>
      <c r="CFM4" s="113"/>
      <c r="CFU4" s="113"/>
      <c r="CFX4" s="113"/>
      <c r="CGF4" s="113"/>
      <c r="CGI4" s="113"/>
      <c r="CGQ4" s="113"/>
      <c r="CGT4" s="113"/>
      <c r="CHB4" s="113"/>
      <c r="CHE4" s="113"/>
      <c r="CHM4" s="113"/>
      <c r="CHP4" s="113"/>
      <c r="CHX4" s="113"/>
      <c r="CIA4" s="113"/>
      <c r="CII4" s="113"/>
      <c r="CIL4" s="113"/>
      <c r="CIT4" s="113"/>
      <c r="CIW4" s="113"/>
      <c r="CJE4" s="113"/>
      <c r="CJH4" s="113"/>
      <c r="CJP4" s="113"/>
      <c r="CJS4" s="113"/>
      <c r="CKA4" s="113"/>
      <c r="CKD4" s="113"/>
      <c r="CKL4" s="113"/>
      <c r="CKO4" s="113"/>
      <c r="CKW4" s="113"/>
      <c r="CKZ4" s="113"/>
      <c r="CLB4" s="113"/>
      <c r="CLE4" s="113"/>
      <c r="CLH4" s="113"/>
      <c r="CLK4" s="113"/>
      <c r="CLM4" s="113"/>
      <c r="CLP4" s="113"/>
      <c r="CLX4" s="113"/>
      <c r="CMA4" s="113"/>
      <c r="CMI4" s="113"/>
      <c r="CML4" s="113"/>
      <c r="CMT4" s="113"/>
      <c r="CMW4" s="113"/>
      <c r="CNE4" s="113"/>
      <c r="CNH4" s="113"/>
      <c r="CNP4" s="113"/>
      <c r="CNS4" s="113"/>
      <c r="COA4" s="113"/>
      <c r="COD4" s="113"/>
      <c r="COL4" s="113"/>
      <c r="COO4" s="113"/>
      <c r="COW4" s="113"/>
      <c r="COZ4" s="113"/>
      <c r="CPH4" s="113"/>
      <c r="CPK4" s="113"/>
      <c r="CPS4" s="113"/>
      <c r="CPV4" s="113"/>
      <c r="CQD4" s="113"/>
      <c r="CQG4" s="113"/>
      <c r="CQO4" s="113"/>
      <c r="CQR4" s="113"/>
      <c r="CQZ4" s="113"/>
      <c r="CRC4" s="113"/>
      <c r="CRK4" s="113"/>
      <c r="CRN4" s="113"/>
      <c r="CRV4" s="113"/>
      <c r="CRY4" s="113"/>
      <c r="CSG4" s="113"/>
      <c r="CSJ4" s="113"/>
      <c r="CSR4" s="113"/>
      <c r="CSU4" s="113"/>
      <c r="CTC4" s="113"/>
      <c r="CTF4" s="113"/>
      <c r="CTN4" s="113"/>
      <c r="CTQ4" s="113"/>
      <c r="CTY4" s="113"/>
      <c r="CUB4" s="113"/>
      <c r="CUJ4" s="113"/>
      <c r="CUM4" s="113"/>
      <c r="CUU4" s="113"/>
      <c r="CUX4" s="113"/>
      <c r="CVF4" s="113"/>
      <c r="CVI4" s="113"/>
      <c r="CVQ4" s="113"/>
      <c r="CVT4" s="113"/>
      <c r="CWB4" s="113"/>
      <c r="CWE4" s="113"/>
      <c r="CWM4" s="113"/>
      <c r="CWX4" s="113"/>
      <c r="CXI4" s="113"/>
      <c r="CXT4" s="113"/>
      <c r="CYE4" s="113"/>
      <c r="CYP4" s="113"/>
      <c r="CYS4" s="113"/>
      <c r="CYX4" s="113"/>
      <c r="CZA4" s="113"/>
      <c r="CZD4" s="113"/>
      <c r="CZI4" s="113"/>
      <c r="CZL4" s="113"/>
      <c r="CZQ4" s="113"/>
      <c r="CZT4" s="113"/>
      <c r="CZW4" s="113"/>
      <c r="DAB4" s="113"/>
      <c r="DAE4" s="113"/>
      <c r="DAM4" s="113"/>
      <c r="DAP4" s="113"/>
      <c r="DAX4" s="113"/>
      <c r="DBA4" s="113"/>
      <c r="DBI4" s="113"/>
      <c r="DBL4" s="113"/>
      <c r="DBT4" s="113"/>
      <c r="DBW4" s="113"/>
      <c r="DCE4" s="113"/>
      <c r="DCF4" s="113"/>
      <c r="DCI4" s="113"/>
      <c r="DCP4" s="113"/>
    </row>
    <row r="5" spans="1:43 1831:2043 2051:2798" x14ac:dyDescent="0.25">
      <c r="A5">
        <v>60</v>
      </c>
      <c r="B5" t="s">
        <v>18</v>
      </c>
      <c r="C5">
        <v>1718050</v>
      </c>
      <c r="E5">
        <v>2098480</v>
      </c>
      <c r="G5">
        <v>1377700</v>
      </c>
      <c r="I5">
        <v>1860200</v>
      </c>
      <c r="K5">
        <v>1676000</v>
      </c>
      <c r="M5">
        <v>1468750</v>
      </c>
      <c r="O5">
        <v>692750</v>
      </c>
      <c r="Q5">
        <v>866300</v>
      </c>
      <c r="S5">
        <v>779550</v>
      </c>
      <c r="U5">
        <v>586000</v>
      </c>
      <c r="W5">
        <v>852500</v>
      </c>
      <c r="Y5">
        <v>610750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641</v>
      </c>
      <c r="BRK5" s="113"/>
      <c r="BRN5" s="113"/>
      <c r="BRV5" s="113"/>
      <c r="BRY5" s="113"/>
      <c r="BSG5" s="113"/>
      <c r="BSJ5" s="113"/>
      <c r="BSR5" s="113"/>
      <c r="BSU5" s="113"/>
      <c r="BTC5" s="113"/>
      <c r="BTF5" s="113"/>
      <c r="BTN5" s="113"/>
      <c r="BTQ5" s="113"/>
      <c r="BTY5" s="113"/>
      <c r="BUB5" s="113"/>
      <c r="BUJ5" s="113"/>
      <c r="BUM5" s="113"/>
      <c r="BUU5" s="113"/>
      <c r="BUX5" s="113"/>
      <c r="BVF5" s="113"/>
      <c r="BVI5" s="113"/>
      <c r="BVQ5" s="113"/>
      <c r="BVT5" s="113"/>
      <c r="BWB5" s="113"/>
      <c r="BWE5" s="113"/>
      <c r="BWM5" s="113"/>
      <c r="BWP5" s="113"/>
      <c r="BWX5" s="113"/>
      <c r="BXA5" s="113"/>
      <c r="BXI5" s="113"/>
      <c r="BXL5" s="113"/>
      <c r="BXT5" s="113"/>
      <c r="BXW5" s="113"/>
      <c r="BYE5" s="113"/>
      <c r="BYH5" s="113"/>
      <c r="BYP5" s="113"/>
      <c r="BYS5" s="113"/>
      <c r="BZA5" s="113"/>
      <c r="BZD5" s="113"/>
      <c r="BZL5" s="113"/>
      <c r="BZO5" s="113"/>
      <c r="BZW5" s="113"/>
      <c r="BZZ5" s="113"/>
      <c r="CAH5" s="113"/>
      <c r="CAK5" s="113"/>
      <c r="CAS5" s="113"/>
      <c r="CAV5" s="113"/>
      <c r="CBD5" s="113"/>
      <c r="CBG5" s="113"/>
      <c r="CBO5" s="113"/>
      <c r="CBR5" s="113"/>
      <c r="CBZ5" s="113"/>
      <c r="CCC5" s="113"/>
      <c r="CCK5" s="113"/>
      <c r="CCN5" s="113"/>
      <c r="CCV5" s="113"/>
      <c r="CCY5" s="113"/>
      <c r="CDG5" s="113"/>
      <c r="CDJ5" s="113"/>
      <c r="CDR5" s="113"/>
      <c r="CDU5" s="113"/>
      <c r="CEC5" s="113"/>
      <c r="CEF5" s="113"/>
      <c r="CEN5" s="113"/>
      <c r="CEQ5" s="113"/>
      <c r="CEY5" s="113"/>
      <c r="CFB5" s="113"/>
      <c r="CFJ5" s="113"/>
      <c r="CFM5" s="113"/>
      <c r="CFU5" s="113"/>
      <c r="CFX5" s="113"/>
      <c r="CGF5" s="113"/>
      <c r="CGI5" s="113"/>
      <c r="CGQ5" s="113"/>
      <c r="CGT5" s="113"/>
      <c r="CHB5" s="113"/>
      <c r="CHE5" s="113"/>
      <c r="CHM5" s="113"/>
      <c r="CHP5" s="113"/>
      <c r="CHX5" s="113"/>
      <c r="CIA5" s="113"/>
      <c r="CII5" s="113"/>
      <c r="CIL5" s="113"/>
      <c r="CIT5" s="113"/>
      <c r="CIW5" s="113"/>
      <c r="CJE5" s="113"/>
      <c r="CJH5" s="113"/>
      <c r="CJP5" s="113"/>
      <c r="CJS5" s="113"/>
      <c r="CKA5" s="113"/>
      <c r="CKD5" s="113"/>
      <c r="CKL5" s="113"/>
      <c r="CKO5" s="113"/>
      <c r="CKW5" s="113"/>
      <c r="CKZ5" s="113"/>
      <c r="CLB5" s="113"/>
      <c r="CLE5" s="113"/>
      <c r="CLH5" s="113"/>
      <c r="CLK5" s="113"/>
      <c r="CLM5" s="113"/>
      <c r="CLP5" s="113"/>
      <c r="CLX5" s="113"/>
      <c r="CMA5" s="113"/>
      <c r="CMI5" s="113"/>
      <c r="CML5" s="113"/>
      <c r="CMT5" s="113"/>
      <c r="CMW5" s="113"/>
      <c r="CNE5" s="113"/>
      <c r="CNH5" s="113"/>
      <c r="CNP5" s="113"/>
      <c r="CNS5" s="113"/>
      <c r="COA5" s="113"/>
      <c r="COD5" s="113"/>
      <c r="COL5" s="113"/>
      <c r="COO5" s="113"/>
      <c r="COW5" s="113"/>
      <c r="COZ5" s="113"/>
      <c r="CPH5" s="113"/>
      <c r="CPK5" s="113"/>
      <c r="CPS5" s="113"/>
      <c r="CPV5" s="113"/>
      <c r="CQD5" s="113"/>
      <c r="CQG5" s="113"/>
      <c r="CQO5" s="113"/>
      <c r="CQR5" s="113"/>
      <c r="CQZ5" s="113"/>
      <c r="CRC5" s="113"/>
      <c r="CRK5" s="113"/>
      <c r="CRN5" s="113"/>
      <c r="CRV5" s="113"/>
      <c r="CRY5" s="113"/>
      <c r="CSG5" s="113"/>
      <c r="CSJ5" s="113"/>
      <c r="CSR5" s="113"/>
      <c r="CSU5" s="113"/>
      <c r="CTC5" s="113"/>
      <c r="CTF5" s="113"/>
      <c r="CTN5" s="113"/>
      <c r="CTQ5" s="113"/>
      <c r="CTY5" s="113"/>
      <c r="CUB5" s="113"/>
      <c r="CUJ5" s="113"/>
      <c r="CUM5" s="113"/>
      <c r="CUU5" s="113"/>
      <c r="CUX5" s="113"/>
      <c r="CVF5" s="113"/>
      <c r="CVI5" s="113"/>
      <c r="CVQ5" s="113"/>
      <c r="CVT5" s="113"/>
      <c r="CWB5" s="113"/>
      <c r="CWE5" s="113"/>
      <c r="CWM5" s="113"/>
      <c r="CWX5" s="113"/>
      <c r="CXI5" s="113"/>
      <c r="CXT5" s="113"/>
      <c r="CYE5" s="113"/>
      <c r="CYP5" s="113"/>
      <c r="CYS5" s="113"/>
      <c r="CYX5" s="113"/>
      <c r="CZA5" s="113"/>
      <c r="CZD5" s="113"/>
      <c r="CZI5" s="113"/>
      <c r="CZL5" s="113"/>
      <c r="CZQ5" s="113"/>
      <c r="CZT5" s="113"/>
      <c r="CZW5" s="113"/>
      <c r="DAB5" s="113"/>
      <c r="DAE5" s="113"/>
      <c r="DAM5" s="113"/>
      <c r="DAP5" s="113"/>
      <c r="DAX5" s="113"/>
      <c r="DBA5" s="113"/>
      <c r="DBI5" s="113"/>
      <c r="DBL5" s="113"/>
      <c r="DBT5" s="113"/>
      <c r="DBW5" s="113"/>
      <c r="DCE5" s="113"/>
      <c r="DCF5" s="113"/>
      <c r="DCI5" s="113"/>
      <c r="DCP5" s="113"/>
    </row>
    <row r="6" spans="1:43 1831:2043 2051:2798" x14ac:dyDescent="0.25">
      <c r="A6">
        <v>70</v>
      </c>
      <c r="B6" t="s">
        <v>584</v>
      </c>
      <c r="C6">
        <v>398912</v>
      </c>
      <c r="E6">
        <v>550060</v>
      </c>
      <c r="G6">
        <v>450365</v>
      </c>
      <c r="I6">
        <v>543338</v>
      </c>
      <c r="K6">
        <v>532905</v>
      </c>
      <c r="M6">
        <v>490680</v>
      </c>
      <c r="O6">
        <v>392362</v>
      </c>
      <c r="Q6">
        <v>414390</v>
      </c>
      <c r="S6">
        <v>416612</v>
      </c>
      <c r="U6">
        <v>305582</v>
      </c>
      <c r="W6">
        <v>319818</v>
      </c>
      <c r="Y6">
        <v>307670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641</v>
      </c>
      <c r="BRK6" s="113"/>
      <c r="BRN6" s="113"/>
      <c r="BRV6" s="113"/>
      <c r="BRY6" s="113"/>
      <c r="BSG6" s="113"/>
      <c r="BSJ6" s="113"/>
      <c r="BSR6" s="113"/>
      <c r="BSU6" s="113"/>
      <c r="BTC6" s="113"/>
      <c r="BTF6" s="113"/>
      <c r="BTN6" s="113"/>
      <c r="BTQ6" s="113"/>
      <c r="BTY6" s="113"/>
      <c r="BUB6" s="113"/>
      <c r="BUJ6" s="113"/>
      <c r="BUM6" s="113"/>
      <c r="BUU6" s="113"/>
      <c r="BUX6" s="113"/>
      <c r="BVF6" s="113"/>
      <c r="BVI6" s="113"/>
      <c r="BVQ6" s="113"/>
      <c r="BVT6" s="113"/>
      <c r="BWB6" s="113"/>
      <c r="BWE6" s="113"/>
      <c r="BWM6" s="113"/>
      <c r="BWP6" s="113"/>
      <c r="BWX6" s="113"/>
      <c r="BXA6" s="113"/>
      <c r="BXI6" s="113"/>
      <c r="BXL6" s="113"/>
      <c r="BXT6" s="113"/>
      <c r="BXW6" s="113"/>
      <c r="BYE6" s="113"/>
      <c r="BYH6" s="113"/>
      <c r="BYP6" s="113"/>
      <c r="BYS6" s="113"/>
      <c r="BZA6" s="113"/>
      <c r="BZD6" s="113"/>
      <c r="BZL6" s="113"/>
      <c r="BZO6" s="113"/>
      <c r="BZW6" s="113"/>
      <c r="BZZ6" s="113"/>
      <c r="CAH6" s="113"/>
      <c r="CAK6" s="113"/>
      <c r="CAS6" s="113"/>
      <c r="CAV6" s="113"/>
      <c r="CBD6" s="113"/>
      <c r="CBG6" s="113"/>
      <c r="CBO6" s="113"/>
      <c r="CBR6" s="113"/>
      <c r="CBZ6" s="113"/>
      <c r="CCC6" s="113"/>
      <c r="CCK6" s="113"/>
      <c r="CCN6" s="113"/>
      <c r="CCV6" s="113"/>
      <c r="CCY6" s="113"/>
      <c r="CDG6" s="113"/>
      <c r="CDJ6" s="113"/>
      <c r="CDR6" s="113"/>
      <c r="CDU6" s="113"/>
      <c r="CEC6" s="113"/>
      <c r="CEF6" s="113"/>
      <c r="CEN6" s="113"/>
      <c r="CEQ6" s="113"/>
      <c r="CEY6" s="113"/>
      <c r="CFB6" s="113"/>
      <c r="CFJ6" s="113"/>
      <c r="CFM6" s="113"/>
      <c r="CFU6" s="113"/>
      <c r="CFX6" s="113"/>
      <c r="CGF6" s="113"/>
      <c r="CGI6" s="113"/>
      <c r="CGQ6" s="113"/>
      <c r="CGT6" s="113"/>
      <c r="CHB6" s="113"/>
      <c r="CHE6" s="113"/>
      <c r="CHM6" s="113"/>
      <c r="CHP6" s="113"/>
      <c r="CHX6" s="113"/>
      <c r="CIA6" s="113"/>
      <c r="CII6" s="113"/>
      <c r="CIL6" s="113"/>
      <c r="CIT6" s="113"/>
      <c r="CIW6" s="113"/>
      <c r="CJE6" s="113"/>
      <c r="CJH6" s="113"/>
      <c r="CJP6" s="113"/>
      <c r="CJS6" s="113"/>
      <c r="CKA6" s="113"/>
      <c r="CKD6" s="113"/>
      <c r="CKL6" s="113"/>
      <c r="CKO6" s="113"/>
      <c r="CKW6" s="113"/>
      <c r="CKZ6" s="113"/>
      <c r="CLB6" s="113"/>
      <c r="CLE6" s="113"/>
      <c r="CLH6" s="113"/>
      <c r="CLK6" s="113"/>
      <c r="CLM6" s="113"/>
      <c r="CLP6" s="113"/>
      <c r="CLX6" s="113"/>
      <c r="CMA6" s="113"/>
      <c r="CMI6" s="113"/>
      <c r="CML6" s="113"/>
      <c r="CMT6" s="113"/>
      <c r="CMW6" s="113"/>
      <c r="CNE6" s="113"/>
      <c r="CNH6" s="113"/>
      <c r="CNP6" s="113"/>
      <c r="CNS6" s="113"/>
      <c r="COA6" s="113"/>
      <c r="COD6" s="113"/>
      <c r="COL6" s="113"/>
      <c r="COO6" s="113"/>
      <c r="COW6" s="113"/>
      <c r="COZ6" s="113"/>
      <c r="CPH6" s="113"/>
      <c r="CPK6" s="113"/>
      <c r="CPS6" s="113"/>
      <c r="CPV6" s="113"/>
      <c r="CQD6" s="113"/>
      <c r="CQG6" s="113"/>
      <c r="CQO6" s="113"/>
      <c r="CQR6" s="113"/>
      <c r="CQZ6" s="113"/>
      <c r="CRC6" s="113"/>
      <c r="CRK6" s="113"/>
      <c r="CRN6" s="113"/>
      <c r="CRV6" s="113"/>
      <c r="CRY6" s="113"/>
      <c r="CSG6" s="113"/>
      <c r="CSJ6" s="113"/>
      <c r="CSR6" s="113"/>
      <c r="CSU6" s="113"/>
      <c r="CTC6" s="113"/>
      <c r="CTF6" s="113"/>
      <c r="CTN6" s="113"/>
      <c r="CTQ6" s="113"/>
      <c r="CTY6" s="113"/>
      <c r="CUB6" s="113"/>
      <c r="CUJ6" s="113"/>
      <c r="CUM6" s="113"/>
      <c r="CUU6" s="113"/>
      <c r="CUX6" s="113"/>
      <c r="CVF6" s="113"/>
      <c r="CVI6" s="113"/>
      <c r="CVQ6" s="113"/>
      <c r="CVT6" s="113"/>
      <c r="CWB6" s="113"/>
      <c r="CWE6" s="113"/>
      <c r="CWM6" s="113"/>
      <c r="CWX6" s="113"/>
      <c r="CXI6" s="113"/>
      <c r="CXT6" s="113"/>
      <c r="CYE6" s="113"/>
      <c r="CYP6" s="113"/>
      <c r="CYS6" s="113"/>
      <c r="CYX6" s="113"/>
      <c r="CZA6" s="113"/>
      <c r="CZD6" s="113"/>
      <c r="CZI6" s="113"/>
      <c r="CZL6" s="113"/>
      <c r="CZQ6" s="113"/>
      <c r="CZT6" s="113"/>
      <c r="CZW6" s="113"/>
      <c r="DAB6" s="113"/>
      <c r="DAE6" s="113"/>
      <c r="DAM6" s="113"/>
      <c r="DAP6" s="113"/>
      <c r="DAX6" s="113"/>
      <c r="DBA6" s="113"/>
      <c r="DBI6" s="113"/>
      <c r="DBL6" s="113"/>
      <c r="DBT6" s="113"/>
      <c r="DBW6" s="113"/>
      <c r="DCE6" s="113"/>
      <c r="DCF6" s="113"/>
      <c r="DCI6" s="113"/>
      <c r="DCP6" s="113"/>
    </row>
    <row r="7" spans="1:43 1831:2043 2051:2798" x14ac:dyDescent="0.25">
      <c r="A7">
        <v>80</v>
      </c>
      <c r="B7" t="s">
        <v>20</v>
      </c>
      <c r="C7">
        <v>0</v>
      </c>
      <c r="E7">
        <v>0</v>
      </c>
      <c r="G7">
        <v>0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U7">
        <v>0</v>
      </c>
      <c r="W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641</v>
      </c>
      <c r="BRK7" s="113"/>
      <c r="BRN7" s="113"/>
      <c r="BRV7" s="113"/>
      <c r="BRY7" s="113"/>
      <c r="BSG7" s="113"/>
      <c r="BSJ7" s="113"/>
      <c r="BSR7" s="113"/>
      <c r="BSU7" s="113"/>
      <c r="BTC7" s="113"/>
      <c r="BTF7" s="113"/>
      <c r="BTN7" s="113"/>
      <c r="BTQ7" s="113"/>
      <c r="BTY7" s="113"/>
      <c r="BUB7" s="113"/>
      <c r="BUJ7" s="113"/>
      <c r="BUM7" s="113"/>
      <c r="BUU7" s="113"/>
      <c r="BUX7" s="113"/>
      <c r="BVF7" s="113"/>
      <c r="BVI7" s="113"/>
      <c r="BVQ7" s="113"/>
      <c r="BVT7" s="113"/>
      <c r="BWB7" s="113"/>
      <c r="BWE7" s="113"/>
      <c r="BWM7" s="113"/>
      <c r="BWP7" s="113"/>
      <c r="BWX7" s="113"/>
      <c r="BXA7" s="113"/>
      <c r="BXI7" s="113"/>
      <c r="BXL7" s="113"/>
      <c r="BXT7" s="113"/>
      <c r="BXW7" s="113"/>
      <c r="BYE7" s="113"/>
      <c r="BYH7" s="113"/>
      <c r="BYP7" s="113"/>
      <c r="BYS7" s="113"/>
      <c r="BZA7" s="113"/>
      <c r="BZD7" s="113"/>
      <c r="BZL7" s="113"/>
      <c r="BZO7" s="113"/>
      <c r="BZW7" s="113"/>
      <c r="BZZ7" s="113"/>
      <c r="CAH7" s="113"/>
      <c r="CAK7" s="113"/>
      <c r="CAS7" s="113"/>
      <c r="CAV7" s="113"/>
      <c r="CBD7" s="113"/>
      <c r="CBG7" s="113"/>
      <c r="CBO7" s="113"/>
      <c r="CBR7" s="113"/>
      <c r="CBZ7" s="113"/>
      <c r="CCC7" s="113"/>
      <c r="CCK7" s="113"/>
      <c r="CCN7" s="113"/>
      <c r="CCV7" s="113"/>
      <c r="CCY7" s="113"/>
      <c r="CDG7" s="113"/>
      <c r="CDJ7" s="113"/>
      <c r="CDR7" s="113"/>
      <c r="CDU7" s="113"/>
      <c r="CEC7" s="113"/>
      <c r="CEF7" s="113"/>
      <c r="CEN7" s="113"/>
      <c r="CEQ7" s="113"/>
      <c r="CEY7" s="113"/>
      <c r="CFB7" s="113"/>
      <c r="CFJ7" s="113"/>
      <c r="CFM7" s="113"/>
      <c r="CFU7" s="113"/>
      <c r="CFX7" s="113"/>
      <c r="CGF7" s="113"/>
      <c r="CGI7" s="113"/>
      <c r="CGQ7" s="113"/>
      <c r="CGT7" s="113"/>
      <c r="CHB7" s="113"/>
      <c r="CHE7" s="113"/>
      <c r="CHM7" s="113"/>
      <c r="CHP7" s="113"/>
      <c r="CHX7" s="113"/>
      <c r="CIA7" s="113"/>
      <c r="CII7" s="113"/>
      <c r="CIL7" s="113"/>
      <c r="CIT7" s="113"/>
      <c r="CIW7" s="113"/>
      <c r="CJE7" s="113"/>
      <c r="CJH7" s="113"/>
      <c r="CJP7" s="113"/>
      <c r="CJS7" s="113"/>
      <c r="CKA7" s="113"/>
      <c r="CKD7" s="113"/>
      <c r="CKL7" s="113"/>
      <c r="CKO7" s="113"/>
      <c r="CKW7" s="113"/>
      <c r="CKZ7" s="113"/>
      <c r="CLB7" s="113"/>
      <c r="CLE7" s="113"/>
      <c r="CLH7" s="113"/>
      <c r="CLK7" s="113"/>
      <c r="CLM7" s="113"/>
      <c r="CLP7" s="113"/>
      <c r="CLX7" s="113"/>
      <c r="CMA7" s="113"/>
      <c r="CMI7" s="113"/>
      <c r="CML7" s="113"/>
      <c r="CMT7" s="113"/>
      <c r="CMW7" s="113"/>
      <c r="CNE7" s="113"/>
      <c r="CNH7" s="113"/>
      <c r="CNP7" s="113"/>
      <c r="CNS7" s="113"/>
      <c r="COA7" s="113"/>
      <c r="COD7" s="113"/>
      <c r="COL7" s="113"/>
      <c r="COO7" s="113"/>
      <c r="COW7" s="113"/>
      <c r="COZ7" s="113"/>
      <c r="CPH7" s="113"/>
      <c r="CPK7" s="113"/>
      <c r="CPS7" s="113"/>
      <c r="CPV7" s="113"/>
      <c r="CQD7" s="113"/>
      <c r="CQG7" s="113"/>
      <c r="CQO7" s="113"/>
      <c r="CQR7" s="113"/>
      <c r="CQZ7" s="113"/>
      <c r="CRC7" s="113"/>
      <c r="CRK7" s="113"/>
      <c r="CRN7" s="113"/>
      <c r="CRV7" s="113"/>
      <c r="CRY7" s="113"/>
      <c r="CSG7" s="113"/>
      <c r="CSJ7" s="113"/>
      <c r="CSR7" s="113"/>
      <c r="CSU7" s="113"/>
      <c r="CTC7" s="113"/>
      <c r="CTF7" s="113"/>
      <c r="CTN7" s="113"/>
      <c r="CTQ7" s="113"/>
      <c r="CTY7" s="113"/>
      <c r="CUB7" s="113"/>
      <c r="CUJ7" s="113"/>
      <c r="CUM7" s="113"/>
      <c r="CUU7" s="113"/>
      <c r="CUX7" s="113"/>
      <c r="CVF7" s="113"/>
      <c r="CVI7" s="113"/>
      <c r="CVQ7" s="113"/>
      <c r="CVT7" s="113"/>
      <c r="CWB7" s="113"/>
      <c r="CWE7" s="113"/>
      <c r="CWM7" s="113"/>
      <c r="CWX7" s="113"/>
      <c r="CXI7" s="113"/>
      <c r="CXT7" s="113"/>
      <c r="CYE7" s="113"/>
      <c r="CYP7" s="113"/>
      <c r="CYS7" s="113"/>
      <c r="CYX7" s="113"/>
      <c r="CZA7" s="113"/>
      <c r="CZD7" s="113"/>
      <c r="CZI7" s="113"/>
      <c r="CZL7" s="113"/>
      <c r="CZQ7" s="113"/>
      <c r="CZT7" s="113"/>
      <c r="CZW7" s="113"/>
      <c r="DAB7" s="113"/>
      <c r="DAE7" s="113"/>
      <c r="DAM7" s="113"/>
      <c r="DAP7" s="113"/>
      <c r="DAX7" s="113"/>
      <c r="DBA7" s="113"/>
      <c r="DBI7" s="113"/>
      <c r="DBL7" s="113"/>
      <c r="DBT7" s="113"/>
      <c r="DBW7" s="113"/>
      <c r="DCE7" s="113"/>
      <c r="DCF7" s="113"/>
      <c r="DCI7" s="113"/>
      <c r="DCP7" s="113"/>
    </row>
    <row r="8" spans="1:43 1831:2043 2051:2798" x14ac:dyDescent="0.25">
      <c r="A8">
        <v>90</v>
      </c>
      <c r="B8" t="s">
        <v>64</v>
      </c>
      <c r="C8">
        <v>114050</v>
      </c>
      <c r="E8">
        <v>118050</v>
      </c>
      <c r="G8">
        <v>131550</v>
      </c>
      <c r="I8">
        <v>119550</v>
      </c>
      <c r="K8">
        <v>114550</v>
      </c>
      <c r="M8">
        <v>135550</v>
      </c>
      <c r="O8">
        <v>114550</v>
      </c>
      <c r="Q8">
        <v>134550</v>
      </c>
      <c r="S8">
        <v>115550</v>
      </c>
      <c r="U8">
        <v>118550</v>
      </c>
      <c r="W8">
        <v>114550</v>
      </c>
      <c r="Y8">
        <v>136550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641</v>
      </c>
      <c r="BRK8" s="113"/>
      <c r="BRN8" s="113"/>
      <c r="BRV8" s="113"/>
      <c r="BRY8" s="113"/>
      <c r="BSG8" s="113"/>
      <c r="BSJ8" s="113"/>
      <c r="BSR8" s="113"/>
      <c r="BSU8" s="113"/>
      <c r="BTC8" s="113"/>
      <c r="BTF8" s="113"/>
      <c r="BTN8" s="113"/>
      <c r="BTQ8" s="113"/>
      <c r="BTY8" s="113"/>
      <c r="BUB8" s="113"/>
      <c r="BUJ8" s="113"/>
      <c r="BUM8" s="113"/>
      <c r="BUU8" s="113"/>
      <c r="BUX8" s="113"/>
      <c r="BVF8" s="113"/>
      <c r="BVI8" s="113"/>
      <c r="BVQ8" s="113"/>
      <c r="BVT8" s="113"/>
      <c r="BWB8" s="113"/>
      <c r="BWE8" s="113"/>
      <c r="BWM8" s="113"/>
      <c r="BWP8" s="113"/>
      <c r="BWX8" s="113"/>
      <c r="BXA8" s="113"/>
      <c r="BXI8" s="113"/>
      <c r="BXL8" s="113"/>
      <c r="BXT8" s="113"/>
      <c r="BXW8" s="113"/>
      <c r="BYE8" s="113"/>
      <c r="BYH8" s="113"/>
      <c r="BYP8" s="113"/>
      <c r="BYS8" s="113"/>
      <c r="BZA8" s="113"/>
      <c r="BZD8" s="113"/>
      <c r="BZL8" s="113"/>
      <c r="BZO8" s="113"/>
      <c r="BZW8" s="113"/>
      <c r="BZZ8" s="113"/>
      <c r="CAH8" s="113"/>
      <c r="CAK8" s="113"/>
      <c r="CAS8" s="113"/>
      <c r="CAV8" s="113"/>
      <c r="CBD8" s="113"/>
      <c r="CBG8" s="113"/>
      <c r="CBO8" s="113"/>
      <c r="CBR8" s="113"/>
      <c r="CBZ8" s="113"/>
      <c r="CCC8" s="113"/>
      <c r="CCK8" s="113"/>
      <c r="CCN8" s="113"/>
      <c r="CCV8" s="113"/>
      <c r="CCY8" s="113"/>
      <c r="CDG8" s="113"/>
      <c r="CDJ8" s="113"/>
      <c r="CDR8" s="113"/>
      <c r="CDU8" s="113"/>
      <c r="CEC8" s="113"/>
      <c r="CEF8" s="113"/>
      <c r="CEN8" s="113"/>
      <c r="CEQ8" s="113"/>
      <c r="CEY8" s="113"/>
      <c r="CFB8" s="113"/>
      <c r="CFJ8" s="113"/>
      <c r="CFM8" s="113"/>
      <c r="CFU8" s="113"/>
      <c r="CFX8" s="113"/>
      <c r="CGF8" s="113"/>
      <c r="CGI8" s="113"/>
      <c r="CGQ8" s="113"/>
      <c r="CGT8" s="113"/>
      <c r="CHB8" s="113"/>
      <c r="CHE8" s="113"/>
      <c r="CHM8" s="113"/>
      <c r="CHP8" s="113"/>
      <c r="CHX8" s="113"/>
      <c r="CIA8" s="113"/>
      <c r="CII8" s="113"/>
      <c r="CIL8" s="113"/>
      <c r="CIT8" s="113"/>
      <c r="CIW8" s="113"/>
      <c r="CJE8" s="113"/>
      <c r="CJH8" s="113"/>
      <c r="CJP8" s="113"/>
      <c r="CJS8" s="113"/>
      <c r="CKA8" s="113"/>
      <c r="CKD8" s="113"/>
      <c r="CKL8" s="113"/>
      <c r="CKO8" s="113"/>
      <c r="CKW8" s="113"/>
      <c r="CKZ8" s="113"/>
      <c r="CLB8" s="113"/>
      <c r="CLE8" s="113"/>
      <c r="CLH8" s="113"/>
      <c r="CLK8" s="113"/>
      <c r="CLM8" s="113"/>
      <c r="CLP8" s="113"/>
      <c r="CLX8" s="113"/>
      <c r="CMA8" s="113"/>
      <c r="CMI8" s="113"/>
      <c r="CML8" s="113"/>
      <c r="CMT8" s="113"/>
      <c r="CMW8" s="113"/>
      <c r="CNE8" s="113"/>
      <c r="CNH8" s="113"/>
      <c r="CNP8" s="113"/>
      <c r="CNS8" s="113"/>
      <c r="COA8" s="113"/>
      <c r="COD8" s="113"/>
      <c r="COL8" s="113"/>
      <c r="COO8" s="113"/>
      <c r="COW8" s="113"/>
      <c r="COZ8" s="113"/>
      <c r="CPH8" s="113"/>
      <c r="CPK8" s="113"/>
      <c r="CPS8" s="113"/>
      <c r="CPV8" s="113"/>
      <c r="CQD8" s="113"/>
      <c r="CQG8" s="113"/>
      <c r="CQO8" s="113"/>
      <c r="CQR8" s="113"/>
      <c r="CQZ8" s="113"/>
      <c r="CRC8" s="113"/>
      <c r="CRK8" s="113"/>
      <c r="CRN8" s="113"/>
      <c r="CRV8" s="113"/>
      <c r="CRY8" s="113"/>
      <c r="CSG8" s="113"/>
      <c r="CSJ8" s="113"/>
      <c r="CSR8" s="113"/>
      <c r="CSU8" s="113"/>
      <c r="CTC8" s="113"/>
      <c r="CTF8" s="113"/>
      <c r="CTN8" s="113"/>
      <c r="CTQ8" s="113"/>
      <c r="CTY8" s="113"/>
      <c r="CUB8" s="113"/>
      <c r="CUJ8" s="113"/>
      <c r="CUM8" s="113"/>
      <c r="CUU8" s="113"/>
      <c r="CUX8" s="113"/>
      <c r="CVF8" s="113"/>
      <c r="CVI8" s="113"/>
      <c r="CVQ8" s="113"/>
      <c r="CVT8" s="113"/>
      <c r="CWB8" s="113"/>
      <c r="CWE8" s="113"/>
      <c r="CWM8" s="113"/>
      <c r="CWX8" s="113"/>
      <c r="CXI8" s="113"/>
      <c r="CXT8" s="113"/>
      <c r="CYE8" s="113"/>
      <c r="CYP8" s="113"/>
      <c r="CYS8" s="113"/>
      <c r="CYX8" s="113"/>
      <c r="CZA8" s="113"/>
      <c r="CZD8" s="113"/>
      <c r="CZI8" s="113"/>
      <c r="CZL8" s="113"/>
      <c r="CZQ8" s="113"/>
      <c r="CZT8" s="113"/>
      <c r="CZW8" s="113"/>
      <c r="DAB8" s="113"/>
      <c r="DAE8" s="113"/>
      <c r="DAM8" s="113"/>
      <c r="DAP8" s="113"/>
      <c r="DAX8" s="113"/>
      <c r="DBA8" s="113"/>
      <c r="DBI8" s="113"/>
      <c r="DBL8" s="113"/>
      <c r="DBT8" s="113"/>
      <c r="DBW8" s="113"/>
      <c r="DCE8" s="113"/>
      <c r="DCF8" s="113"/>
      <c r="DCI8" s="113"/>
      <c r="DCP8" s="113"/>
    </row>
    <row r="9" spans="1:43 1831:2043 2051:2798" x14ac:dyDescent="0.25">
      <c r="A9">
        <v>100</v>
      </c>
      <c r="B9" t="s">
        <v>585</v>
      </c>
      <c r="C9">
        <v>24300</v>
      </c>
      <c r="E9">
        <v>24300</v>
      </c>
      <c r="G9">
        <v>24300</v>
      </c>
      <c r="I9">
        <v>24300</v>
      </c>
      <c r="K9">
        <v>24300</v>
      </c>
      <c r="M9">
        <v>24300</v>
      </c>
      <c r="O9">
        <v>24300</v>
      </c>
      <c r="Q9">
        <v>24300</v>
      </c>
      <c r="S9">
        <v>24300</v>
      </c>
      <c r="U9">
        <v>24300</v>
      </c>
      <c r="W9">
        <v>24300</v>
      </c>
      <c r="Y9">
        <v>24300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641</v>
      </c>
      <c r="BRK9" s="113"/>
      <c r="BRN9" s="113"/>
      <c r="BRV9" s="113"/>
      <c r="BRY9" s="113"/>
      <c r="BSG9" s="113"/>
      <c r="BSJ9" s="113"/>
      <c r="BSR9" s="113"/>
      <c r="BSU9" s="113"/>
      <c r="BTC9" s="113"/>
      <c r="BTF9" s="113"/>
      <c r="BTN9" s="113"/>
      <c r="BTQ9" s="113"/>
      <c r="BTY9" s="113"/>
      <c r="BUB9" s="113"/>
      <c r="BUJ9" s="113"/>
      <c r="BUM9" s="113"/>
      <c r="BUU9" s="113"/>
      <c r="BUX9" s="113"/>
      <c r="BVF9" s="113"/>
      <c r="BVI9" s="113"/>
      <c r="BVQ9" s="113"/>
      <c r="BVT9" s="113"/>
      <c r="BWB9" s="113"/>
      <c r="BWE9" s="113"/>
      <c r="BWM9" s="113"/>
      <c r="BWP9" s="113"/>
      <c r="BWX9" s="113"/>
      <c r="BXA9" s="113"/>
      <c r="BXI9" s="113"/>
      <c r="BXL9" s="113"/>
      <c r="BXT9" s="113"/>
      <c r="BXW9" s="113"/>
      <c r="BYE9" s="113"/>
      <c r="BYH9" s="113"/>
      <c r="BYP9" s="113"/>
      <c r="BYS9" s="113"/>
      <c r="BZA9" s="113"/>
      <c r="BZD9" s="113"/>
      <c r="BZL9" s="113"/>
      <c r="BZO9" s="113"/>
      <c r="BZW9" s="113"/>
      <c r="BZZ9" s="113"/>
      <c r="CAH9" s="113"/>
      <c r="CAK9" s="113"/>
      <c r="CAS9" s="113"/>
      <c r="CAV9" s="113"/>
      <c r="CBD9" s="113"/>
      <c r="CBG9" s="113"/>
      <c r="CBO9" s="113"/>
      <c r="CBR9" s="113"/>
      <c r="CBZ9" s="113"/>
      <c r="CCC9" s="113"/>
      <c r="CCK9" s="113"/>
      <c r="CCN9" s="113"/>
      <c r="CCV9" s="113"/>
      <c r="CCY9" s="113"/>
      <c r="CDG9" s="113"/>
      <c r="CDJ9" s="113"/>
      <c r="CDR9" s="113"/>
      <c r="CDU9" s="113"/>
      <c r="CEC9" s="113"/>
      <c r="CEF9" s="113"/>
      <c r="CEN9" s="113"/>
      <c r="CEQ9" s="113"/>
      <c r="CEY9" s="113"/>
      <c r="CFB9" s="113"/>
      <c r="CFJ9" s="113"/>
      <c r="CFM9" s="113"/>
      <c r="CFU9" s="113"/>
      <c r="CFX9" s="113"/>
      <c r="CGF9" s="113"/>
      <c r="CGI9" s="113"/>
      <c r="CGQ9" s="113"/>
      <c r="CGT9" s="113"/>
      <c r="CHB9" s="113"/>
      <c r="CHE9" s="113"/>
      <c r="CHM9" s="113"/>
      <c r="CHP9" s="113"/>
      <c r="CHX9" s="113"/>
      <c r="CIA9" s="113"/>
      <c r="CII9" s="113"/>
      <c r="CIL9" s="113"/>
      <c r="CIT9" s="113"/>
      <c r="CIW9" s="113"/>
      <c r="CJE9" s="113"/>
      <c r="CJH9" s="113"/>
      <c r="CJP9" s="113"/>
      <c r="CJS9" s="113"/>
      <c r="CKA9" s="113"/>
      <c r="CKD9" s="113"/>
      <c r="CKL9" s="113"/>
      <c r="CKO9" s="113"/>
      <c r="CKW9" s="113"/>
      <c r="CKZ9" s="113"/>
      <c r="CLB9" s="113"/>
      <c r="CLE9" s="113"/>
      <c r="CLH9" s="113"/>
      <c r="CLK9" s="113"/>
      <c r="CLM9" s="113"/>
      <c r="CLP9" s="113"/>
      <c r="CLX9" s="113"/>
      <c r="CMA9" s="113"/>
      <c r="CMI9" s="113"/>
      <c r="CML9" s="113"/>
      <c r="CMT9" s="113"/>
      <c r="CMW9" s="113"/>
      <c r="CNE9" s="113"/>
      <c r="CNH9" s="113"/>
      <c r="CNP9" s="113"/>
      <c r="CNS9" s="113"/>
      <c r="COA9" s="113"/>
      <c r="COD9" s="113"/>
      <c r="COL9" s="113"/>
      <c r="COO9" s="113"/>
      <c r="COW9" s="113"/>
      <c r="COZ9" s="113"/>
      <c r="CPH9" s="113"/>
      <c r="CPK9" s="113"/>
      <c r="CPS9" s="113"/>
      <c r="CPV9" s="113"/>
      <c r="CQD9" s="113"/>
      <c r="CQG9" s="113"/>
      <c r="CQO9" s="113"/>
      <c r="CQR9" s="113"/>
      <c r="CQZ9" s="113"/>
      <c r="CRC9" s="113"/>
      <c r="CRK9" s="113"/>
      <c r="CRN9" s="113"/>
      <c r="CRV9" s="113"/>
      <c r="CRY9" s="113"/>
      <c r="CSG9" s="113"/>
      <c r="CSJ9" s="113"/>
      <c r="CSR9" s="113"/>
      <c r="CSU9" s="113"/>
      <c r="CTC9" s="113"/>
      <c r="CTF9" s="113"/>
      <c r="CTN9" s="113"/>
      <c r="CTQ9" s="113"/>
      <c r="CTY9" s="113"/>
      <c r="CUB9" s="113"/>
      <c r="CUJ9" s="113"/>
      <c r="CUM9" s="113"/>
      <c r="CUU9" s="113"/>
      <c r="CUX9" s="113"/>
      <c r="CVF9" s="113"/>
      <c r="CVI9" s="113"/>
      <c r="CVQ9" s="113"/>
      <c r="CVT9" s="113"/>
      <c r="CWB9" s="113"/>
      <c r="CWE9" s="113"/>
      <c r="CWM9" s="113"/>
      <c r="CWX9" s="113"/>
      <c r="CXI9" s="113"/>
      <c r="CXT9" s="113"/>
      <c r="CYE9" s="113"/>
      <c r="CYP9" s="113"/>
      <c r="CYS9" s="113"/>
      <c r="CYX9" s="113"/>
      <c r="CZA9" s="113"/>
      <c r="CZD9" s="113"/>
      <c r="CZI9" s="113"/>
      <c r="CZL9" s="113"/>
      <c r="CZQ9" s="113"/>
      <c r="CZT9" s="113"/>
      <c r="CZW9" s="113"/>
      <c r="DAB9" s="113"/>
      <c r="DAE9" s="113"/>
      <c r="DAM9" s="113"/>
      <c r="DAP9" s="113"/>
      <c r="DAX9" s="113"/>
      <c r="DBA9" s="113"/>
      <c r="DBI9" s="113"/>
      <c r="DBL9" s="113"/>
      <c r="DBT9" s="113"/>
      <c r="DBW9" s="113"/>
      <c r="DCE9" s="113"/>
      <c r="DCF9" s="113"/>
      <c r="DCI9" s="113"/>
      <c r="DCP9" s="113"/>
    </row>
    <row r="10" spans="1:43 1831:2043 2051:2798" x14ac:dyDescent="0.25">
      <c r="A10">
        <v>110</v>
      </c>
      <c r="B10" t="s">
        <v>23</v>
      </c>
      <c r="C10">
        <v>138350</v>
      </c>
      <c r="E10">
        <v>142350</v>
      </c>
      <c r="G10">
        <v>155850</v>
      </c>
      <c r="I10">
        <v>143850</v>
      </c>
      <c r="K10">
        <v>138850</v>
      </c>
      <c r="M10">
        <v>159850</v>
      </c>
      <c r="O10">
        <v>138850</v>
      </c>
      <c r="Q10">
        <v>158850</v>
      </c>
      <c r="S10">
        <v>139850</v>
      </c>
      <c r="U10">
        <v>142850</v>
      </c>
      <c r="W10">
        <v>138850</v>
      </c>
      <c r="Y10">
        <v>160850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641</v>
      </c>
      <c r="BRK10" s="113"/>
      <c r="BRN10" s="113"/>
      <c r="BRV10" s="113"/>
      <c r="BRY10" s="113"/>
      <c r="BSG10" s="113"/>
      <c r="BSJ10" s="113"/>
      <c r="BSR10" s="113"/>
      <c r="BSU10" s="113"/>
      <c r="BTC10" s="113"/>
      <c r="BTF10" s="113"/>
      <c r="BTN10" s="113"/>
      <c r="BTQ10" s="113"/>
      <c r="BTY10" s="113"/>
      <c r="BUB10" s="113"/>
      <c r="BUJ10" s="113"/>
      <c r="BUM10" s="113"/>
      <c r="BUU10" s="113"/>
      <c r="BUX10" s="113"/>
      <c r="BVF10" s="113"/>
      <c r="BVI10" s="113"/>
      <c r="BVQ10" s="113"/>
      <c r="BVT10" s="113"/>
      <c r="BWB10" s="113"/>
      <c r="BWE10" s="113"/>
      <c r="BWM10" s="113"/>
      <c r="BWP10" s="113"/>
      <c r="BWX10" s="113"/>
      <c r="BXA10" s="113"/>
      <c r="BXI10" s="113"/>
      <c r="BXL10" s="113"/>
      <c r="BXT10" s="113"/>
      <c r="BXW10" s="113"/>
      <c r="BYE10" s="113"/>
      <c r="BYH10" s="113"/>
      <c r="BYP10" s="113"/>
      <c r="BYS10" s="113"/>
      <c r="BZA10" s="113"/>
      <c r="BZD10" s="113"/>
      <c r="BZL10" s="113"/>
      <c r="BZO10" s="113"/>
      <c r="BZW10" s="113"/>
      <c r="BZZ10" s="113"/>
      <c r="CAH10" s="113"/>
      <c r="CAK10" s="113"/>
      <c r="CAS10" s="113"/>
      <c r="CAV10" s="113"/>
      <c r="CBD10" s="113"/>
      <c r="CBG10" s="113"/>
      <c r="CBO10" s="113"/>
      <c r="CBR10" s="113"/>
      <c r="CBZ10" s="113"/>
      <c r="CCC10" s="113"/>
      <c r="CCK10" s="113"/>
      <c r="CCN10" s="113"/>
      <c r="CCV10" s="113"/>
      <c r="CCY10" s="113"/>
      <c r="CDG10" s="113"/>
      <c r="CDJ10" s="113"/>
      <c r="CDR10" s="113"/>
      <c r="CDU10" s="113"/>
      <c r="CEC10" s="113"/>
      <c r="CEF10" s="113"/>
      <c r="CEN10" s="113"/>
      <c r="CEQ10" s="113"/>
      <c r="CEY10" s="113"/>
      <c r="CFB10" s="113"/>
      <c r="CFJ10" s="113"/>
      <c r="CFM10" s="113"/>
      <c r="CFU10" s="113"/>
      <c r="CFX10" s="113"/>
      <c r="CGF10" s="113"/>
      <c r="CGI10" s="113"/>
      <c r="CGQ10" s="113"/>
      <c r="CGT10" s="113"/>
      <c r="CHB10" s="113"/>
      <c r="CHE10" s="113"/>
      <c r="CHM10" s="113"/>
      <c r="CHP10" s="113"/>
      <c r="CHX10" s="113"/>
      <c r="CIA10" s="113"/>
      <c r="CII10" s="113"/>
      <c r="CIL10" s="113"/>
      <c r="CIT10" s="113"/>
      <c r="CIW10" s="113"/>
      <c r="CJE10" s="113"/>
      <c r="CJH10" s="113"/>
      <c r="CJP10" s="113"/>
      <c r="CJS10" s="113"/>
      <c r="CKA10" s="113"/>
      <c r="CKD10" s="113"/>
      <c r="CKL10" s="113"/>
      <c r="CKO10" s="113"/>
      <c r="CKW10" s="113"/>
      <c r="CKZ10" s="113"/>
      <c r="CLB10" s="113"/>
      <c r="CLE10" s="113"/>
      <c r="CLH10" s="113"/>
      <c r="CLK10" s="113"/>
      <c r="CLM10" s="113"/>
      <c r="CLP10" s="113"/>
      <c r="CLX10" s="113"/>
      <c r="CMA10" s="113"/>
      <c r="CMI10" s="113"/>
      <c r="CML10" s="113"/>
      <c r="CMT10" s="113"/>
      <c r="CMW10" s="113"/>
      <c r="CNE10" s="113"/>
      <c r="CNH10" s="113"/>
      <c r="CNP10" s="113"/>
      <c r="CNS10" s="113"/>
      <c r="COA10" s="113"/>
      <c r="COD10" s="113"/>
      <c r="COL10" s="113"/>
      <c r="COO10" s="113"/>
      <c r="COW10" s="113"/>
      <c r="COZ10" s="113"/>
      <c r="CPH10" s="113"/>
      <c r="CPK10" s="113"/>
      <c r="CPS10" s="113"/>
      <c r="CPV10" s="113"/>
      <c r="CQD10" s="113"/>
      <c r="CQG10" s="113"/>
      <c r="CQO10" s="113"/>
      <c r="CQR10" s="113"/>
      <c r="CQZ10" s="113"/>
      <c r="CRC10" s="113"/>
      <c r="CRK10" s="113"/>
      <c r="CRN10" s="113"/>
      <c r="CRV10" s="113"/>
      <c r="CRY10" s="113"/>
      <c r="CSG10" s="113"/>
      <c r="CSJ10" s="113"/>
      <c r="CSR10" s="113"/>
      <c r="CSU10" s="113"/>
      <c r="CTC10" s="113"/>
      <c r="CTF10" s="113"/>
      <c r="CTN10" s="113"/>
      <c r="CTQ10" s="113"/>
      <c r="CTY10" s="113"/>
      <c r="CUB10" s="113"/>
      <c r="CUJ10" s="113"/>
      <c r="CUM10" s="113"/>
      <c r="CUU10" s="113"/>
      <c r="CUX10" s="113"/>
      <c r="CVF10" s="113"/>
      <c r="CVI10" s="113"/>
      <c r="CVQ10" s="113"/>
      <c r="CVT10" s="113"/>
      <c r="CWB10" s="113"/>
      <c r="CWE10" s="113"/>
      <c r="CWM10" s="113"/>
      <c r="CWX10" s="113"/>
      <c r="CXI10" s="113"/>
      <c r="CXT10" s="113"/>
      <c r="CYE10" s="113"/>
      <c r="CYP10" s="113"/>
      <c r="CYS10" s="113"/>
      <c r="CYX10" s="113"/>
      <c r="CZA10" s="113"/>
      <c r="CZD10" s="113"/>
      <c r="CZI10" s="113"/>
      <c r="CZL10" s="113"/>
      <c r="CZQ10" s="113"/>
      <c r="CZT10" s="113"/>
      <c r="CZW10" s="113"/>
      <c r="DAB10" s="113"/>
      <c r="DAE10" s="113"/>
      <c r="DAM10" s="113"/>
      <c r="DAP10" s="113"/>
      <c r="DAX10" s="113"/>
      <c r="DBA10" s="113"/>
      <c r="DBI10" s="113"/>
      <c r="DBL10" s="113"/>
      <c r="DBT10" s="113"/>
      <c r="DBW10" s="113"/>
      <c r="DCE10" s="113"/>
      <c r="DCF10" s="113"/>
      <c r="DCI10" s="113"/>
      <c r="DCP10" s="113"/>
    </row>
    <row r="11" spans="1:43 1831:2043 2051:2798" x14ac:dyDescent="0.25">
      <c r="A11">
        <v>120</v>
      </c>
      <c r="B11" t="s">
        <v>24</v>
      </c>
      <c r="C11">
        <v>260562</v>
      </c>
      <c r="E11">
        <v>407710</v>
      </c>
      <c r="G11">
        <v>294515</v>
      </c>
      <c r="I11">
        <v>399488</v>
      </c>
      <c r="K11">
        <v>394055</v>
      </c>
      <c r="M11">
        <v>330830</v>
      </c>
      <c r="O11">
        <v>253512</v>
      </c>
      <c r="Q11">
        <v>255540</v>
      </c>
      <c r="S11">
        <v>276762</v>
      </c>
      <c r="U11">
        <v>162732</v>
      </c>
      <c r="W11">
        <v>180968</v>
      </c>
      <c r="Y11">
        <v>146820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641</v>
      </c>
      <c r="BRK11" s="113"/>
      <c r="BRN11" s="113"/>
      <c r="BRV11" s="113"/>
      <c r="BRY11" s="113"/>
      <c r="BSG11" s="113"/>
      <c r="BSJ11" s="113"/>
      <c r="BSR11" s="113"/>
      <c r="BSU11" s="113"/>
      <c r="BTC11" s="113"/>
      <c r="BTF11" s="113"/>
      <c r="BTN11" s="113"/>
      <c r="BTQ11" s="113"/>
      <c r="BTY11" s="113"/>
      <c r="BUB11" s="113"/>
      <c r="BUJ11" s="113"/>
      <c r="BUM11" s="113"/>
      <c r="BUU11" s="113"/>
      <c r="BUX11" s="113"/>
      <c r="BVF11" s="113"/>
      <c r="BVI11" s="113"/>
      <c r="BVQ11" s="113"/>
      <c r="BVT11" s="113"/>
      <c r="BWB11" s="113"/>
      <c r="BWE11" s="113"/>
      <c r="BWM11" s="113"/>
      <c r="BWP11" s="113"/>
      <c r="BWX11" s="113"/>
      <c r="BXA11" s="113"/>
      <c r="BXI11" s="113"/>
      <c r="BXL11" s="113"/>
      <c r="BXT11" s="113"/>
      <c r="BXW11" s="113"/>
      <c r="BYE11" s="113"/>
      <c r="BYH11" s="113"/>
      <c r="BYP11" s="113"/>
      <c r="BYS11" s="113"/>
      <c r="BZA11" s="113"/>
      <c r="BZD11" s="113"/>
      <c r="BZL11" s="113"/>
      <c r="BZO11" s="113"/>
      <c r="BZW11" s="113"/>
      <c r="BZZ11" s="113"/>
      <c r="CAH11" s="113"/>
      <c r="CAK11" s="113"/>
      <c r="CAS11" s="113"/>
      <c r="CAV11" s="113"/>
      <c r="CBD11" s="113"/>
      <c r="CBG11" s="113"/>
      <c r="CBO11" s="113"/>
      <c r="CBR11" s="113"/>
      <c r="CBZ11" s="113"/>
      <c r="CCC11" s="113"/>
      <c r="CCK11" s="113"/>
      <c r="CCN11" s="113"/>
      <c r="CCV11" s="113"/>
      <c r="CCY11" s="113"/>
      <c r="CDG11" s="113"/>
      <c r="CDJ11" s="113"/>
      <c r="CDR11" s="113"/>
      <c r="CDU11" s="113"/>
      <c r="CEC11" s="113"/>
      <c r="CEF11" s="113"/>
      <c r="CEN11" s="113"/>
      <c r="CEQ11" s="113"/>
      <c r="CEY11" s="113"/>
      <c r="CFB11" s="113"/>
      <c r="CFJ11" s="113"/>
      <c r="CFM11" s="113"/>
      <c r="CFU11" s="113"/>
      <c r="CFX11" s="113"/>
      <c r="CGF11" s="113"/>
      <c r="CGI11" s="113"/>
      <c r="CGQ11" s="113"/>
      <c r="CGT11" s="113"/>
      <c r="CHB11" s="113"/>
      <c r="CHE11" s="113"/>
      <c r="CHM11" s="113"/>
      <c r="CHP11" s="113"/>
      <c r="CHX11" s="113"/>
      <c r="CIA11" s="113"/>
      <c r="CII11" s="113"/>
      <c r="CIL11" s="113"/>
      <c r="CIT11" s="113"/>
      <c r="CIW11" s="113"/>
      <c r="CJE11" s="113"/>
      <c r="CJH11" s="113"/>
      <c r="CJP11" s="113"/>
      <c r="CJS11" s="113"/>
      <c r="CKA11" s="113"/>
      <c r="CKD11" s="113"/>
      <c r="CKL11" s="113"/>
      <c r="CKO11" s="113"/>
      <c r="CKW11" s="113"/>
      <c r="CKZ11" s="113"/>
      <c r="CLB11" s="113"/>
      <c r="CLE11" s="113"/>
      <c r="CLH11" s="113"/>
      <c r="CLK11" s="113"/>
      <c r="CLM11" s="113"/>
      <c r="CLP11" s="113"/>
      <c r="CLX11" s="113"/>
      <c r="CMA11" s="113"/>
      <c r="CMI11" s="113"/>
      <c r="CML11" s="113"/>
      <c r="CMT11" s="113"/>
      <c r="CMW11" s="113"/>
      <c r="CNE11" s="113"/>
      <c r="CNH11" s="113"/>
      <c r="CNP11" s="113"/>
      <c r="CNS11" s="113"/>
      <c r="COA11" s="113"/>
      <c r="COD11" s="113"/>
      <c r="COL11" s="113"/>
      <c r="COO11" s="113"/>
      <c r="COW11" s="113"/>
      <c r="COZ11" s="113"/>
      <c r="CPH11" s="113"/>
      <c r="CPK11" s="113"/>
      <c r="CPS11" s="113"/>
      <c r="CPV11" s="113"/>
      <c r="CQD11" s="113"/>
      <c r="CQG11" s="113"/>
      <c r="CQO11" s="113"/>
      <c r="CQR11" s="113"/>
      <c r="CQZ11" s="113"/>
      <c r="CRC11" s="113"/>
      <c r="CRK11" s="113"/>
      <c r="CRN11" s="113"/>
      <c r="CRV11" s="113"/>
      <c r="CRY11" s="113"/>
      <c r="CSG11" s="113"/>
      <c r="CSJ11" s="113"/>
      <c r="CSR11" s="113"/>
      <c r="CSU11" s="113"/>
      <c r="CTC11" s="113"/>
      <c r="CTF11" s="113"/>
      <c r="CTN11" s="113"/>
      <c r="CTQ11" s="113"/>
      <c r="CTY11" s="113"/>
      <c r="CUB11" s="113"/>
      <c r="CUJ11" s="113"/>
      <c r="CUM11" s="113"/>
      <c r="CUU11" s="113"/>
      <c r="CUX11" s="113"/>
      <c r="CVF11" s="113"/>
      <c r="CVI11" s="113"/>
      <c r="CVQ11" s="113"/>
      <c r="CVT11" s="113"/>
      <c r="CWB11" s="113"/>
      <c r="CWE11" s="113"/>
      <c r="CWM11" s="113"/>
      <c r="CWX11" s="113"/>
      <c r="CXI11" s="113"/>
      <c r="CXT11" s="113"/>
      <c r="CYE11" s="113"/>
      <c r="CYP11" s="113"/>
      <c r="CYS11" s="113"/>
      <c r="CYX11" s="113"/>
      <c r="CZA11" s="113"/>
      <c r="CZD11" s="113"/>
      <c r="CZI11" s="113"/>
      <c r="CZL11" s="113"/>
      <c r="CZQ11" s="113"/>
      <c r="CZT11" s="113"/>
      <c r="CZW11" s="113"/>
      <c r="DAB11" s="113"/>
      <c r="DAE11" s="113"/>
      <c r="DAM11" s="113"/>
      <c r="DAP11" s="113"/>
      <c r="DAX11" s="113"/>
      <c r="DBA11" s="113"/>
      <c r="DBI11" s="113"/>
      <c r="DBL11" s="113"/>
      <c r="DBT11" s="113"/>
      <c r="DBW11" s="113"/>
      <c r="DCE11" s="113"/>
      <c r="DCF11" s="113"/>
      <c r="DCI11" s="113"/>
      <c r="DCP11" s="113"/>
    </row>
    <row r="12" spans="1:43 1831:2043 2051:2798" x14ac:dyDescent="0.25">
      <c r="A12">
        <v>130</v>
      </c>
      <c r="B12" t="s">
        <v>586</v>
      </c>
      <c r="C12">
        <v>-122640</v>
      </c>
      <c r="E12">
        <v>16880</v>
      </c>
      <c r="G12">
        <v>38570</v>
      </c>
      <c r="I12">
        <v>-70220</v>
      </c>
      <c r="K12">
        <v>110349</v>
      </c>
      <c r="M12">
        <v>-70043</v>
      </c>
      <c r="O12">
        <v>-35688</v>
      </c>
      <c r="Q12">
        <v>16300</v>
      </c>
      <c r="S12">
        <v>0</v>
      </c>
      <c r="U12">
        <v>14700</v>
      </c>
      <c r="W12">
        <v>13900</v>
      </c>
      <c r="Y12">
        <v>26200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641</v>
      </c>
      <c r="BRK12" s="113"/>
      <c r="BRN12" s="113"/>
      <c r="BRV12" s="113"/>
      <c r="BRY12" s="113"/>
      <c r="BSG12" s="113"/>
      <c r="BSJ12" s="113"/>
      <c r="BSR12" s="113"/>
      <c r="BSU12" s="113"/>
      <c r="BTC12" s="113"/>
      <c r="BTF12" s="113"/>
      <c r="BTN12" s="113"/>
      <c r="BTQ12" s="113"/>
      <c r="BTY12" s="113"/>
      <c r="BUB12" s="113"/>
      <c r="BUJ12" s="113"/>
      <c r="BUM12" s="113"/>
      <c r="BUU12" s="113"/>
      <c r="BUX12" s="113"/>
      <c r="BVF12" s="113"/>
      <c r="BVI12" s="113"/>
      <c r="BVQ12" s="113"/>
      <c r="BVT12" s="113"/>
      <c r="BWB12" s="113"/>
      <c r="BWE12" s="113"/>
      <c r="BWM12" s="113"/>
      <c r="BWP12" s="113"/>
      <c r="BWX12" s="113"/>
      <c r="BXA12" s="113"/>
      <c r="BXI12" s="113"/>
      <c r="BXL12" s="113"/>
      <c r="BXT12" s="113"/>
      <c r="BXW12" s="113"/>
      <c r="BYE12" s="113"/>
      <c r="BYH12" s="113"/>
      <c r="BYP12" s="113"/>
      <c r="BYS12" s="113"/>
      <c r="BZA12" s="113"/>
      <c r="BZD12" s="113"/>
      <c r="BZL12" s="113"/>
      <c r="BZO12" s="113"/>
      <c r="BZW12" s="113"/>
      <c r="BZZ12" s="113"/>
      <c r="CAH12" s="113"/>
      <c r="CAK12" s="113"/>
      <c r="CAS12" s="113"/>
      <c r="CAV12" s="113"/>
      <c r="CBD12" s="113"/>
      <c r="CBG12" s="113"/>
      <c r="CBO12" s="113"/>
      <c r="CBR12" s="113"/>
      <c r="CBZ12" s="113"/>
      <c r="CCC12" s="113"/>
      <c r="CCK12" s="113"/>
      <c r="CCN12" s="113"/>
      <c r="CCV12" s="113"/>
      <c r="CCY12" s="113"/>
      <c r="CDG12" s="113"/>
      <c r="CDJ12" s="113"/>
      <c r="CDR12" s="113"/>
      <c r="CDU12" s="113"/>
      <c r="CEC12" s="113"/>
      <c r="CEF12" s="113"/>
      <c r="CEN12" s="113"/>
      <c r="CEQ12" s="113"/>
      <c r="CEY12" s="113"/>
      <c r="CFB12" s="113"/>
      <c r="CFJ12" s="113"/>
      <c r="CFM12" s="113"/>
      <c r="CFU12" s="113"/>
      <c r="CFX12" s="113"/>
      <c r="CGF12" s="113"/>
      <c r="CGI12" s="113"/>
      <c r="CGQ12" s="113"/>
      <c r="CGT12" s="113"/>
      <c r="CHB12" s="113"/>
      <c r="CHE12" s="113"/>
      <c r="CHM12" s="113"/>
      <c r="CHP12" s="113"/>
      <c r="CHX12" s="113"/>
      <c r="CIA12" s="113"/>
      <c r="CII12" s="113"/>
      <c r="CIL12" s="113"/>
      <c r="CIT12" s="113"/>
      <c r="CIW12" s="113"/>
      <c r="CJE12" s="113"/>
      <c r="CJH12" s="113"/>
      <c r="CJP12" s="113"/>
      <c r="CJS12" s="113"/>
      <c r="CKA12" s="113"/>
      <c r="CKD12" s="113"/>
      <c r="CKL12" s="113"/>
      <c r="CKO12" s="113"/>
      <c r="CKW12" s="113"/>
      <c r="CKZ12" s="113"/>
      <c r="CLB12" s="113"/>
      <c r="CLE12" s="113"/>
      <c r="CLH12" s="113"/>
      <c r="CLK12" s="113"/>
      <c r="CLM12" s="113"/>
      <c r="CLP12" s="113"/>
      <c r="CLX12" s="113"/>
      <c r="CMA12" s="113"/>
      <c r="CMI12" s="113"/>
      <c r="CML12" s="113"/>
      <c r="CMT12" s="113"/>
      <c r="CMW12" s="113"/>
      <c r="CNE12" s="113"/>
      <c r="CNH12" s="113"/>
      <c r="CNP12" s="113"/>
      <c r="CNS12" s="113"/>
      <c r="COA12" s="113"/>
      <c r="COD12" s="113"/>
      <c r="COL12" s="113"/>
      <c r="COO12" s="113"/>
      <c r="COW12" s="113"/>
      <c r="COZ12" s="113"/>
      <c r="CPH12" s="113"/>
      <c r="CPK12" s="113"/>
      <c r="CPS12" s="113"/>
      <c r="CPV12" s="113"/>
      <c r="CQD12" s="113"/>
      <c r="CQG12" s="113"/>
      <c r="CQO12" s="113"/>
      <c r="CQR12" s="113"/>
      <c r="CQZ12" s="113"/>
      <c r="CRC12" s="113"/>
      <c r="CRK12" s="113"/>
      <c r="CRN12" s="113"/>
      <c r="CRV12" s="113"/>
      <c r="CRY12" s="113"/>
      <c r="CSG12" s="113"/>
      <c r="CSJ12" s="113"/>
      <c r="CSR12" s="113"/>
      <c r="CSU12" s="113"/>
      <c r="CTC12" s="113"/>
      <c r="CTF12" s="113"/>
      <c r="CTN12" s="113"/>
      <c r="CTQ12" s="113"/>
      <c r="CTY12" s="113"/>
      <c r="CUB12" s="113"/>
      <c r="CUJ12" s="113"/>
      <c r="CUM12" s="113"/>
      <c r="CUU12" s="113"/>
      <c r="CUX12" s="113"/>
      <c r="CVF12" s="113"/>
      <c r="CVI12" s="113"/>
      <c r="CVQ12" s="113"/>
      <c r="CVT12" s="113"/>
      <c r="CWB12" s="113"/>
      <c r="CWE12" s="113"/>
      <c r="CWM12" s="113"/>
      <c r="CWX12" s="113"/>
      <c r="CXI12" s="113"/>
      <c r="CXT12" s="113"/>
      <c r="CYE12" s="113"/>
      <c r="CYP12" s="113"/>
      <c r="CYS12" s="113"/>
      <c r="CYX12" s="113"/>
      <c r="CZA12" s="113"/>
      <c r="CZD12" s="113"/>
      <c r="CZI12" s="113"/>
      <c r="CZL12" s="113"/>
      <c r="CZQ12" s="113"/>
      <c r="CZT12" s="113"/>
      <c r="CZW12" s="113"/>
      <c r="DAB12" s="113"/>
      <c r="DAE12" s="113"/>
      <c r="DAM12" s="113"/>
      <c r="DAP12" s="113"/>
      <c r="DAX12" s="113"/>
      <c r="DBA12" s="113"/>
      <c r="DBI12" s="113"/>
      <c r="DBL12" s="113"/>
      <c r="DBT12" s="113"/>
      <c r="DBW12" s="113"/>
      <c r="DCE12" s="113"/>
      <c r="DCF12" s="113"/>
      <c r="DCI12" s="113"/>
      <c r="DCP12" s="113"/>
    </row>
    <row r="13" spans="1:43 1831:2043 2051:2798" x14ac:dyDescent="0.25">
      <c r="A13">
        <v>135</v>
      </c>
      <c r="B13" t="s">
        <v>26</v>
      </c>
      <c r="C13">
        <v>-170878</v>
      </c>
      <c r="E13">
        <v>34698</v>
      </c>
      <c r="G13">
        <v>55187</v>
      </c>
      <c r="I13">
        <v>-47440</v>
      </c>
      <c r="K13">
        <v>134146</v>
      </c>
      <c r="M13">
        <v>-44634</v>
      </c>
      <c r="O13">
        <v>-12921</v>
      </c>
      <c r="Q13">
        <v>40184</v>
      </c>
      <c r="S13">
        <v>23919</v>
      </c>
      <c r="U13">
        <v>38588</v>
      </c>
      <c r="W13">
        <v>34150</v>
      </c>
      <c r="Y13">
        <v>42466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t="s">
        <v>641</v>
      </c>
      <c r="BRK13" s="113"/>
      <c r="BRN13" s="113"/>
      <c r="BRV13" s="113"/>
      <c r="BRY13" s="113"/>
      <c r="BSG13" s="113"/>
      <c r="BSJ13" s="113"/>
      <c r="BSR13" s="113"/>
      <c r="BSU13" s="113"/>
      <c r="BTC13" s="113"/>
      <c r="BTF13" s="113"/>
      <c r="BTN13" s="113"/>
      <c r="BTQ13" s="113"/>
      <c r="BTY13" s="113"/>
      <c r="BUB13" s="113"/>
      <c r="BUJ13" s="113"/>
      <c r="BUM13" s="113"/>
      <c r="BUU13" s="113"/>
      <c r="BUX13" s="113"/>
      <c r="BVF13" s="113"/>
      <c r="BVI13" s="113"/>
      <c r="BVQ13" s="113"/>
      <c r="BVT13" s="113"/>
      <c r="BWB13" s="113"/>
      <c r="BWE13" s="113"/>
      <c r="BWM13" s="113"/>
      <c r="BWP13" s="113"/>
      <c r="BWX13" s="113"/>
      <c r="BXA13" s="113"/>
      <c r="BXI13" s="113"/>
      <c r="BXL13" s="113"/>
      <c r="BXT13" s="113"/>
      <c r="BXW13" s="113"/>
      <c r="BYE13" s="113"/>
      <c r="BYH13" s="113"/>
      <c r="BYP13" s="113"/>
      <c r="BYS13" s="113"/>
      <c r="BZA13" s="113"/>
      <c r="BZD13" s="113"/>
      <c r="BZL13" s="113"/>
      <c r="BZO13" s="113"/>
      <c r="BZW13" s="113"/>
      <c r="BZZ13" s="113"/>
      <c r="CAH13" s="113"/>
      <c r="CAK13" s="113"/>
      <c r="CAS13" s="113"/>
      <c r="CAV13" s="113"/>
      <c r="CBD13" s="113"/>
      <c r="CBG13" s="113"/>
      <c r="CBO13" s="113"/>
      <c r="CBR13" s="113"/>
      <c r="CBZ13" s="113"/>
      <c r="CCC13" s="113"/>
      <c r="CCK13" s="113"/>
      <c r="CCN13" s="113"/>
      <c r="CCV13" s="113"/>
      <c r="CCY13" s="113"/>
      <c r="CDG13" s="113"/>
      <c r="CDJ13" s="113"/>
      <c r="CDR13" s="113"/>
      <c r="CDU13" s="113"/>
      <c r="CEC13" s="113"/>
      <c r="CEF13" s="113"/>
      <c r="CEN13" s="113"/>
      <c r="CEQ13" s="113"/>
      <c r="CEY13" s="113"/>
      <c r="CFB13" s="113"/>
      <c r="CFJ13" s="113"/>
      <c r="CFM13" s="113"/>
      <c r="CFU13" s="113"/>
      <c r="CFX13" s="113"/>
      <c r="CGF13" s="113"/>
      <c r="CGI13" s="113"/>
      <c r="CGQ13" s="113"/>
      <c r="CGT13" s="113"/>
      <c r="CHB13" s="113"/>
      <c r="CHE13" s="113"/>
      <c r="CHM13" s="113"/>
      <c r="CHP13" s="113"/>
      <c r="CHX13" s="113"/>
      <c r="CIA13" s="113"/>
      <c r="CII13" s="113"/>
      <c r="CIL13" s="113"/>
      <c r="CIT13" s="113"/>
      <c r="CIW13" s="113"/>
      <c r="CJE13" s="113"/>
      <c r="CJH13" s="113"/>
      <c r="CJP13" s="113"/>
      <c r="CJS13" s="113"/>
      <c r="CKA13" s="113"/>
      <c r="CKD13" s="113"/>
      <c r="CKL13" s="113"/>
      <c r="CKO13" s="113"/>
      <c r="CKW13" s="113"/>
      <c r="CKZ13" s="113"/>
      <c r="CLB13" s="113"/>
      <c r="CLE13" s="113"/>
      <c r="CLH13" s="113"/>
      <c r="CLK13" s="113"/>
      <c r="CLM13" s="113"/>
      <c r="CLP13" s="113"/>
      <c r="CLX13" s="113"/>
      <c r="CMA13" s="113"/>
      <c r="CMI13" s="113"/>
      <c r="CML13" s="113"/>
      <c r="CMT13" s="113"/>
      <c r="CMW13" s="113"/>
      <c r="CNE13" s="113"/>
      <c r="CNH13" s="113"/>
      <c r="CNP13" s="113"/>
      <c r="CNS13" s="113"/>
      <c r="COA13" s="113"/>
      <c r="COD13" s="113"/>
      <c r="COL13" s="113"/>
      <c r="COO13" s="113"/>
      <c r="COW13" s="113"/>
      <c r="COZ13" s="113"/>
      <c r="CPH13" s="113"/>
      <c r="CPK13" s="113"/>
      <c r="CPS13" s="113"/>
      <c r="CPV13" s="113"/>
      <c r="CQD13" s="113"/>
      <c r="CQG13" s="113"/>
      <c r="CQO13" s="113"/>
      <c r="CQR13" s="113"/>
      <c r="CQZ13" s="113"/>
      <c r="CRC13" s="113"/>
      <c r="CRK13" s="113"/>
      <c r="CRN13" s="113"/>
      <c r="CRV13" s="113"/>
      <c r="CRY13" s="113"/>
      <c r="CSG13" s="113"/>
      <c r="CSJ13" s="113"/>
      <c r="CSR13" s="113"/>
      <c r="CSU13" s="113"/>
      <c r="CTC13" s="113"/>
      <c r="CTF13" s="113"/>
      <c r="CTN13" s="113"/>
      <c r="CTQ13" s="113"/>
      <c r="CTY13" s="113"/>
      <c r="CUB13" s="113"/>
      <c r="CUJ13" s="113"/>
      <c r="CUM13" s="113"/>
      <c r="CUU13" s="113"/>
      <c r="CUX13" s="113"/>
      <c r="CVF13" s="113"/>
      <c r="CVI13" s="113"/>
      <c r="CVQ13" s="113"/>
      <c r="CVT13" s="113"/>
      <c r="CWB13" s="113"/>
      <c r="CWE13" s="113"/>
      <c r="CWM13" s="113"/>
      <c r="CWX13" s="113"/>
      <c r="CXI13" s="113"/>
      <c r="CXT13" s="113"/>
      <c r="CYE13" s="113"/>
      <c r="CYP13" s="113"/>
      <c r="CYS13" s="113"/>
      <c r="CYX13" s="113"/>
      <c r="CZA13" s="113"/>
      <c r="CZD13" s="113"/>
      <c r="CZI13" s="113"/>
      <c r="CZL13" s="113"/>
      <c r="CZQ13" s="113"/>
      <c r="CZT13" s="113"/>
      <c r="CZW13" s="113"/>
      <c r="DAB13" s="113"/>
      <c r="DAE13" s="113"/>
      <c r="DAM13" s="113"/>
      <c r="DAP13" s="113"/>
      <c r="DAX13" s="113"/>
      <c r="DBA13" s="113"/>
      <c r="DBI13" s="113"/>
      <c r="DBL13" s="113"/>
      <c r="DBT13" s="113"/>
      <c r="DBW13" s="113"/>
      <c r="DCE13" s="113"/>
      <c r="DCF13" s="113"/>
      <c r="DCI13" s="113"/>
      <c r="DCP13" s="113"/>
    </row>
    <row r="14" spans="1:43 1831:2043 2051:2798" x14ac:dyDescent="0.25">
      <c r="A14">
        <v>140</v>
      </c>
      <c r="B14" t="s">
        <v>27</v>
      </c>
      <c r="C14">
        <v>-170878</v>
      </c>
      <c r="E14">
        <v>34698</v>
      </c>
      <c r="G14">
        <v>55187</v>
      </c>
      <c r="I14">
        <v>-47440</v>
      </c>
      <c r="K14">
        <v>134146</v>
      </c>
      <c r="M14">
        <v>-44634</v>
      </c>
      <c r="O14">
        <v>-12921</v>
      </c>
      <c r="Q14">
        <v>40184</v>
      </c>
      <c r="S14">
        <v>23919</v>
      </c>
      <c r="U14">
        <v>38588</v>
      </c>
      <c r="W14">
        <v>34150</v>
      </c>
      <c r="Y14">
        <v>42466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641</v>
      </c>
      <c r="BRK14" s="113"/>
      <c r="BRN14" s="113"/>
      <c r="BRV14" s="113"/>
      <c r="BRY14" s="113"/>
      <c r="BSG14" s="113"/>
      <c r="BSJ14" s="113"/>
      <c r="BSR14" s="113"/>
      <c r="BSU14" s="113"/>
      <c r="BTC14" s="113"/>
      <c r="BTF14" s="113"/>
      <c r="BTN14" s="113"/>
      <c r="BTQ14" s="113"/>
      <c r="BTY14" s="113"/>
      <c r="BUB14" s="113"/>
      <c r="BUJ14" s="113"/>
      <c r="BUM14" s="113"/>
      <c r="BUU14" s="113"/>
      <c r="BUX14" s="113"/>
      <c r="BVF14" s="113"/>
      <c r="BVI14" s="113"/>
      <c r="BVQ14" s="113"/>
      <c r="BVT14" s="113"/>
      <c r="BWB14" s="113"/>
      <c r="BWE14" s="113"/>
      <c r="BWM14" s="113"/>
      <c r="BWP14" s="113"/>
      <c r="BWX14" s="113"/>
      <c r="BXA14" s="113"/>
      <c r="BXI14" s="113"/>
      <c r="BXL14" s="113"/>
      <c r="BXT14" s="113"/>
      <c r="BXW14" s="113"/>
      <c r="BYE14" s="113"/>
      <c r="BYH14" s="113"/>
      <c r="BYP14" s="113"/>
      <c r="BYS14" s="113"/>
      <c r="BZA14" s="113"/>
      <c r="BZD14" s="113"/>
      <c r="BZL14" s="113"/>
      <c r="BZO14" s="113"/>
      <c r="BZW14" s="113"/>
      <c r="BZZ14" s="113"/>
      <c r="CAH14" s="113"/>
      <c r="CAK14" s="113"/>
      <c r="CAS14" s="113"/>
      <c r="CAV14" s="113"/>
      <c r="CBD14" s="113"/>
      <c r="CBG14" s="113"/>
      <c r="CBO14" s="113"/>
      <c r="CBR14" s="113"/>
      <c r="CBZ14" s="113"/>
      <c r="CCC14" s="113"/>
      <c r="CCK14" s="113"/>
      <c r="CCN14" s="113"/>
      <c r="CCV14" s="113"/>
      <c r="CCY14" s="113"/>
      <c r="CDG14" s="113"/>
      <c r="CDJ14" s="113"/>
      <c r="CDR14" s="113"/>
      <c r="CDU14" s="113"/>
      <c r="CEC14" s="113"/>
      <c r="CEF14" s="113"/>
      <c r="CEN14" s="113"/>
      <c r="CEQ14" s="113"/>
      <c r="CEY14" s="113"/>
      <c r="CFB14" s="113"/>
      <c r="CFJ14" s="113"/>
      <c r="CFM14" s="113"/>
      <c r="CFU14" s="113"/>
      <c r="CFX14" s="113"/>
      <c r="CGF14" s="113"/>
      <c r="CGI14" s="113"/>
      <c r="CGQ14" s="113"/>
      <c r="CGT14" s="113"/>
      <c r="CHB14" s="113"/>
      <c r="CHE14" s="113"/>
      <c r="CHM14" s="113"/>
      <c r="CHP14" s="113"/>
      <c r="CHX14" s="113"/>
      <c r="CIA14" s="113"/>
      <c r="CII14" s="113"/>
      <c r="CIL14" s="113"/>
      <c r="CIT14" s="113"/>
      <c r="CIW14" s="113"/>
      <c r="CJE14" s="113"/>
      <c r="CJH14" s="113"/>
      <c r="CJP14" s="113"/>
      <c r="CJS14" s="113"/>
      <c r="CKA14" s="113"/>
      <c r="CKD14" s="113"/>
      <c r="CKL14" s="113"/>
      <c r="CKO14" s="113"/>
      <c r="CKW14" s="113"/>
      <c r="CKZ14" s="113"/>
      <c r="CLB14" s="113"/>
      <c r="CLE14" s="113"/>
      <c r="CLH14" s="113"/>
      <c r="CLK14" s="113"/>
      <c r="CLM14" s="113"/>
      <c r="CLP14" s="113"/>
      <c r="CLX14" s="113"/>
      <c r="CMA14" s="113"/>
      <c r="CMI14" s="113"/>
      <c r="CML14" s="113"/>
      <c r="CMT14" s="113"/>
      <c r="CMW14" s="113"/>
      <c r="CNE14" s="113"/>
      <c r="CNH14" s="113"/>
      <c r="CNP14" s="113"/>
      <c r="CNS14" s="113"/>
      <c r="COA14" s="113"/>
      <c r="COD14" s="113"/>
      <c r="COL14" s="113"/>
      <c r="COO14" s="113"/>
      <c r="COW14" s="113"/>
      <c r="COZ14" s="113"/>
      <c r="CPH14" s="113"/>
      <c r="CPK14" s="113"/>
      <c r="CPS14" s="113"/>
      <c r="CPV14" s="113"/>
      <c r="CQD14" s="113"/>
      <c r="CQG14" s="113"/>
      <c r="CQO14" s="113"/>
      <c r="CQR14" s="113"/>
      <c r="CQZ14" s="113"/>
      <c r="CRC14" s="113"/>
      <c r="CRK14" s="113"/>
      <c r="CRN14" s="113"/>
      <c r="CRV14" s="113"/>
      <c r="CRY14" s="113"/>
      <c r="CSG14" s="113"/>
      <c r="CSJ14" s="113"/>
      <c r="CSR14" s="113"/>
      <c r="CSU14" s="113"/>
      <c r="CTC14" s="113"/>
      <c r="CTF14" s="113"/>
      <c r="CTN14" s="113"/>
      <c r="CTQ14" s="113"/>
      <c r="CTY14" s="113"/>
      <c r="CUB14" s="113"/>
      <c r="CUJ14" s="113"/>
      <c r="CUM14" s="113"/>
      <c r="CUU14" s="113"/>
      <c r="CUX14" s="113"/>
      <c r="CVF14" s="113"/>
      <c r="CVI14" s="113"/>
      <c r="CVQ14" s="113"/>
      <c r="CVT14" s="113"/>
      <c r="CWB14" s="113"/>
      <c r="CWE14" s="113"/>
      <c r="CWM14" s="113"/>
      <c r="CWX14" s="113"/>
      <c r="CXI14" s="113"/>
      <c r="CXT14" s="113"/>
      <c r="CYE14" s="113"/>
      <c r="CYP14" s="113"/>
      <c r="CYS14" s="113"/>
      <c r="CYX14" s="113"/>
      <c r="CZA14" s="113"/>
      <c r="CZD14" s="113"/>
      <c r="CZI14" s="113"/>
      <c r="CZL14" s="113"/>
      <c r="CZQ14" s="113"/>
      <c r="CZT14" s="113"/>
      <c r="CZW14" s="113"/>
      <c r="DAB14" s="113"/>
      <c r="DAE14" s="113"/>
      <c r="DAM14" s="113"/>
      <c r="DAP14" s="113"/>
      <c r="DAX14" s="113"/>
      <c r="DBA14" s="113"/>
      <c r="DBI14" s="113"/>
      <c r="DBL14" s="113"/>
      <c r="DBT14" s="113"/>
      <c r="DBW14" s="113"/>
      <c r="DCE14" s="113"/>
      <c r="DCF14" s="113"/>
      <c r="DCI14" s="113"/>
      <c r="DCP14" s="113"/>
    </row>
    <row r="15" spans="1:43 1831:2043 2051:2798" x14ac:dyDescent="0.25">
      <c r="A15">
        <v>150</v>
      </c>
      <c r="B15" t="s">
        <v>28</v>
      </c>
      <c r="C15">
        <v>0</v>
      </c>
      <c r="E15">
        <v>0</v>
      </c>
      <c r="G15">
        <v>297</v>
      </c>
      <c r="I15">
        <v>4382</v>
      </c>
      <c r="K15">
        <v>8399</v>
      </c>
      <c r="M15">
        <v>10600</v>
      </c>
      <c r="O15">
        <v>14035</v>
      </c>
      <c r="Q15">
        <v>18047</v>
      </c>
      <c r="S15">
        <v>17731</v>
      </c>
      <c r="U15">
        <v>22258</v>
      </c>
      <c r="W15">
        <v>23480</v>
      </c>
      <c r="Y15">
        <v>24168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641</v>
      </c>
      <c r="BRK15" s="113"/>
      <c r="BRN15" s="113"/>
      <c r="BRV15" s="113"/>
      <c r="BRY15" s="113"/>
      <c r="BSG15" s="113"/>
      <c r="BSJ15" s="113"/>
      <c r="BSR15" s="113"/>
      <c r="BSU15" s="113"/>
      <c r="BTC15" s="113"/>
      <c r="BTF15" s="113"/>
      <c r="BTN15" s="113"/>
      <c r="BTQ15" s="113"/>
      <c r="BTY15" s="113"/>
      <c r="BUB15" s="113"/>
      <c r="BUJ15" s="113"/>
      <c r="BUM15" s="113"/>
      <c r="BUU15" s="113"/>
      <c r="BUX15" s="113"/>
      <c r="BVF15" s="113"/>
      <c r="BVI15" s="113"/>
      <c r="BVQ15" s="113"/>
      <c r="BVT15" s="113"/>
      <c r="BWB15" s="113"/>
      <c r="BWE15" s="113"/>
      <c r="BWM15" s="113"/>
      <c r="BWP15" s="113"/>
      <c r="BWX15" s="113"/>
      <c r="BXA15" s="113"/>
      <c r="BXI15" s="113"/>
      <c r="BXL15" s="113"/>
      <c r="BXT15" s="113"/>
      <c r="BXW15" s="113"/>
      <c r="BYE15" s="113"/>
      <c r="BYH15" s="113"/>
      <c r="BYP15" s="113"/>
      <c r="BYS15" s="113"/>
      <c r="BZA15" s="113"/>
      <c r="BZD15" s="113"/>
      <c r="BZL15" s="113"/>
      <c r="BZO15" s="113"/>
      <c r="BZW15" s="113"/>
      <c r="BZZ15" s="113"/>
      <c r="CAH15" s="113"/>
      <c r="CAK15" s="113"/>
      <c r="CAS15" s="113"/>
      <c r="CAV15" s="113"/>
      <c r="CBD15" s="113"/>
      <c r="CBG15" s="113"/>
      <c r="CBO15" s="113"/>
      <c r="CBR15" s="113"/>
      <c r="CBZ15" s="113"/>
      <c r="CCC15" s="113"/>
      <c r="CCK15" s="113"/>
      <c r="CCN15" s="113"/>
      <c r="CCV15" s="113"/>
      <c r="CCY15" s="113"/>
      <c r="CDG15" s="113"/>
      <c r="CDJ15" s="113"/>
      <c r="CDR15" s="113"/>
      <c r="CDU15" s="113"/>
      <c r="CEC15" s="113"/>
      <c r="CEF15" s="113"/>
      <c r="CEN15" s="113"/>
      <c r="CEQ15" s="113"/>
      <c r="CEY15" s="113"/>
      <c r="CFB15" s="113"/>
      <c r="CFJ15" s="113"/>
      <c r="CFM15" s="113"/>
      <c r="CFU15" s="113"/>
      <c r="CFX15" s="113"/>
      <c r="CGF15" s="113"/>
      <c r="CGI15" s="113"/>
      <c r="CGQ15" s="113"/>
      <c r="CGT15" s="113"/>
      <c r="CHB15" s="113"/>
      <c r="CHE15" s="113"/>
      <c r="CHM15" s="113"/>
      <c r="CHP15" s="113"/>
      <c r="CHX15" s="113"/>
      <c r="CIA15" s="113"/>
      <c r="CII15" s="113"/>
      <c r="CIL15" s="113"/>
      <c r="CIT15" s="113"/>
      <c r="CIW15" s="113"/>
      <c r="CJE15" s="113"/>
      <c r="CJH15" s="113"/>
      <c r="CJP15" s="113"/>
      <c r="CJS15" s="113"/>
      <c r="CKA15" s="113"/>
      <c r="CKD15" s="113"/>
      <c r="CKL15" s="113"/>
      <c r="CKO15" s="113"/>
      <c r="CKW15" s="113"/>
      <c r="CKZ15" s="113"/>
      <c r="CLB15" s="113"/>
      <c r="CLE15" s="113"/>
      <c r="CLH15" s="113"/>
      <c r="CLK15" s="113"/>
      <c r="CLM15" s="113"/>
      <c r="CLP15" s="113"/>
      <c r="CLX15" s="113"/>
      <c r="CMA15" s="113"/>
      <c r="CMI15" s="113"/>
      <c r="CML15" s="113"/>
      <c r="CMT15" s="113"/>
      <c r="CMW15" s="113"/>
      <c r="CNE15" s="113"/>
      <c r="CNH15" s="113"/>
      <c r="CNP15" s="113"/>
      <c r="CNS15" s="113"/>
      <c r="COA15" s="113"/>
      <c r="COD15" s="113"/>
      <c r="COL15" s="113"/>
      <c r="COO15" s="113"/>
      <c r="COW15" s="113"/>
      <c r="COZ15" s="113"/>
      <c r="CPH15" s="113"/>
      <c r="CPK15" s="113"/>
      <c r="CPS15" s="113"/>
      <c r="CPV15" s="113"/>
      <c r="CQD15" s="113"/>
      <c r="CQG15" s="113"/>
      <c r="CQO15" s="113"/>
      <c r="CQR15" s="113"/>
      <c r="CQZ15" s="113"/>
      <c r="CRC15" s="113"/>
      <c r="CRK15" s="113"/>
      <c r="CRN15" s="113"/>
      <c r="CRV15" s="113"/>
      <c r="CRY15" s="113"/>
      <c r="CSG15" s="113"/>
      <c r="CSJ15" s="113"/>
      <c r="CSR15" s="113"/>
      <c r="CSU15" s="113"/>
      <c r="CTC15" s="113"/>
      <c r="CTF15" s="113"/>
      <c r="CTN15" s="113"/>
      <c r="CTQ15" s="113"/>
      <c r="CTY15" s="113"/>
      <c r="CUB15" s="113"/>
      <c r="CUJ15" s="113"/>
      <c r="CUM15" s="113"/>
      <c r="CUU15" s="113"/>
      <c r="CUX15" s="113"/>
      <c r="CVF15" s="113"/>
      <c r="CVI15" s="113"/>
      <c r="CVQ15" s="113"/>
      <c r="CVT15" s="113"/>
      <c r="CWB15" s="113"/>
      <c r="CWE15" s="113"/>
      <c r="CWM15" s="113"/>
      <c r="CWX15" s="113"/>
      <c r="CXI15" s="113"/>
      <c r="CXT15" s="113"/>
      <c r="CYE15" s="113"/>
      <c r="CYP15" s="113"/>
      <c r="CYS15" s="113"/>
      <c r="CYX15" s="113"/>
      <c r="CZA15" s="113"/>
      <c r="CZD15" s="113"/>
      <c r="CZI15" s="113"/>
      <c r="CZL15" s="113"/>
      <c r="CZQ15" s="113"/>
      <c r="CZT15" s="113"/>
      <c r="CZW15" s="113"/>
      <c r="DAB15" s="113"/>
      <c r="DAE15" s="113"/>
      <c r="DAM15" s="113"/>
      <c r="DAP15" s="113"/>
      <c r="DAX15" s="113"/>
      <c r="DBA15" s="113"/>
      <c r="DBI15" s="113"/>
      <c r="DBL15" s="113"/>
      <c r="DBT15" s="113"/>
      <c r="DBW15" s="113"/>
      <c r="DCE15" s="113"/>
      <c r="DCF15" s="113"/>
      <c r="DCI15" s="113"/>
      <c r="DCP15" s="113"/>
    </row>
    <row r="16" spans="1:43 1831:2043 2051:2798" x14ac:dyDescent="0.25">
      <c r="A16">
        <v>155</v>
      </c>
      <c r="B16" t="s">
        <v>587</v>
      </c>
      <c r="C16">
        <v>0</v>
      </c>
      <c r="E16">
        <v>0</v>
      </c>
      <c r="G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U16">
        <v>0</v>
      </c>
      <c r="W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t="s">
        <v>641</v>
      </c>
      <c r="BRK16" s="113"/>
      <c r="BRN16" s="113"/>
      <c r="BRV16" s="113"/>
      <c r="BRY16" s="113"/>
      <c r="BSG16" s="113"/>
      <c r="BSJ16" s="113"/>
      <c r="BSR16" s="113"/>
      <c r="BSU16" s="113"/>
      <c r="BTC16" s="113"/>
      <c r="BTF16" s="113"/>
      <c r="BTN16" s="113"/>
      <c r="BTQ16" s="113"/>
      <c r="BTY16" s="113"/>
      <c r="BUB16" s="113"/>
      <c r="BUJ16" s="113"/>
      <c r="BUM16" s="113"/>
      <c r="BUU16" s="113"/>
      <c r="BUX16" s="113"/>
      <c r="BVF16" s="113"/>
      <c r="BVI16" s="113"/>
      <c r="BVQ16" s="113"/>
      <c r="BVT16" s="113"/>
      <c r="BWB16" s="113"/>
      <c r="BWE16" s="113"/>
      <c r="BWM16" s="113"/>
      <c r="BWP16" s="113"/>
      <c r="BWX16" s="113"/>
      <c r="BXA16" s="113"/>
      <c r="BXI16" s="113"/>
      <c r="BXL16" s="113"/>
      <c r="BXT16" s="113"/>
      <c r="BXW16" s="113"/>
      <c r="BYE16" s="113"/>
      <c r="BYH16" s="113"/>
      <c r="BYP16" s="113"/>
      <c r="BYS16" s="113"/>
      <c r="BZA16" s="113"/>
      <c r="BZD16" s="113"/>
      <c r="BZL16" s="113"/>
      <c r="BZO16" s="113"/>
      <c r="BZW16" s="113"/>
      <c r="BZZ16" s="113"/>
      <c r="CAH16" s="113"/>
      <c r="CAK16" s="113"/>
      <c r="CAS16" s="113"/>
      <c r="CAV16" s="113"/>
      <c r="CBD16" s="113"/>
      <c r="CBG16" s="113"/>
      <c r="CBO16" s="113"/>
      <c r="CBR16" s="113"/>
      <c r="CBZ16" s="113"/>
      <c r="CCC16" s="113"/>
      <c r="CCK16" s="113"/>
      <c r="CCN16" s="113"/>
      <c r="CCV16" s="113"/>
      <c r="CCY16" s="113"/>
      <c r="CDG16" s="113"/>
      <c r="CDJ16" s="113"/>
      <c r="CDR16" s="113"/>
      <c r="CDU16" s="113"/>
      <c r="CEC16" s="113"/>
      <c r="CEF16" s="113"/>
      <c r="CEN16" s="113"/>
      <c r="CEQ16" s="113"/>
      <c r="CEY16" s="113"/>
      <c r="CFB16" s="113"/>
      <c r="CFJ16" s="113"/>
      <c r="CFM16" s="113"/>
      <c r="CFU16" s="113"/>
      <c r="CFX16" s="113"/>
      <c r="CGF16" s="113"/>
      <c r="CGI16" s="113"/>
      <c r="CGQ16" s="113"/>
      <c r="CGT16" s="113"/>
      <c r="CHB16" s="113"/>
      <c r="CHE16" s="113"/>
      <c r="CHM16" s="113"/>
      <c r="CHP16" s="113"/>
      <c r="CHX16" s="113"/>
      <c r="CIA16" s="113"/>
      <c r="CII16" s="113"/>
      <c r="CIL16" s="113"/>
      <c r="CIT16" s="113"/>
      <c r="CIW16" s="113"/>
      <c r="CJE16" s="113"/>
      <c r="CJH16" s="113"/>
      <c r="CJP16" s="113"/>
      <c r="CJS16" s="113"/>
      <c r="CKA16" s="113"/>
      <c r="CKD16" s="113"/>
      <c r="CKL16" s="113"/>
      <c r="CKO16" s="113"/>
      <c r="CKW16" s="113"/>
      <c r="CKZ16" s="113"/>
      <c r="CLB16" s="113"/>
      <c r="CLE16" s="113"/>
      <c r="CLH16" s="113"/>
      <c r="CLK16" s="113"/>
      <c r="CLM16" s="113"/>
      <c r="CLP16" s="113"/>
      <c r="CLX16" s="113"/>
      <c r="CMA16" s="113"/>
      <c r="CMI16" s="113"/>
      <c r="CML16" s="113"/>
      <c r="CMT16" s="113"/>
      <c r="CMW16" s="113"/>
      <c r="CNE16" s="113"/>
      <c r="CNH16" s="113"/>
      <c r="CNP16" s="113"/>
      <c r="CNS16" s="113"/>
      <c r="COA16" s="113"/>
      <c r="COD16" s="113"/>
      <c r="COL16" s="113"/>
      <c r="COO16" s="113"/>
      <c r="COW16" s="113"/>
      <c r="COZ16" s="113"/>
      <c r="CPH16" s="113"/>
      <c r="CPK16" s="113"/>
      <c r="CPS16" s="113"/>
      <c r="CPV16" s="113"/>
      <c r="CQD16" s="113"/>
      <c r="CQG16" s="113"/>
      <c r="CQO16" s="113"/>
      <c r="CQR16" s="113"/>
      <c r="CQZ16" s="113"/>
      <c r="CRC16" s="113"/>
      <c r="CRK16" s="113"/>
      <c r="CRN16" s="113"/>
      <c r="CRV16" s="113"/>
      <c r="CRY16" s="113"/>
      <c r="CSG16" s="113"/>
      <c r="CSJ16" s="113"/>
      <c r="CSR16" s="113"/>
      <c r="CSU16" s="113"/>
      <c r="CTC16" s="113"/>
      <c r="CTF16" s="113"/>
      <c r="CTN16" s="113"/>
      <c r="CTQ16" s="113"/>
      <c r="CTY16" s="113"/>
      <c r="CUB16" s="113"/>
      <c r="CUJ16" s="113"/>
      <c r="CUM16" s="113"/>
      <c r="CUU16" s="113"/>
      <c r="CUX16" s="113"/>
      <c r="CVF16" s="113"/>
      <c r="CVI16" s="113"/>
      <c r="CVQ16" s="113"/>
      <c r="CVT16" s="113"/>
      <c r="CWB16" s="113"/>
      <c r="CWE16" s="113"/>
      <c r="CWM16" s="113"/>
      <c r="CWX16" s="113"/>
      <c r="CXI16" s="113"/>
      <c r="CXT16" s="113"/>
      <c r="CYE16" s="113"/>
      <c r="CYP16" s="113"/>
      <c r="CYS16" s="113"/>
      <c r="CYX16" s="113"/>
      <c r="CZA16" s="113"/>
      <c r="CZD16" s="113"/>
      <c r="CZI16" s="113"/>
      <c r="CZL16" s="113"/>
      <c r="CZQ16" s="113"/>
      <c r="CZT16" s="113"/>
      <c r="CZW16" s="113"/>
      <c r="DAB16" s="113"/>
      <c r="DAE16" s="113"/>
      <c r="DAM16" s="113"/>
      <c r="DAP16" s="113"/>
      <c r="DAX16" s="113"/>
      <c r="DBA16" s="113"/>
      <c r="DBI16" s="113"/>
      <c r="DBL16" s="113"/>
      <c r="DBT16" s="113"/>
      <c r="DBW16" s="113"/>
      <c r="DCE16" s="113"/>
      <c r="DCF16" s="113"/>
      <c r="DCI16" s="113"/>
      <c r="DCP16" s="113"/>
    </row>
    <row r="17" spans="1:43 1831:2043 2051:2798" x14ac:dyDescent="0.25">
      <c r="A17">
        <v>160</v>
      </c>
      <c r="B17" t="s">
        <v>588</v>
      </c>
      <c r="C17">
        <v>-464396</v>
      </c>
      <c r="E17">
        <v>86276</v>
      </c>
      <c r="G17">
        <v>148647</v>
      </c>
      <c r="I17">
        <v>-169482</v>
      </c>
      <c r="K17">
        <v>370242</v>
      </c>
      <c r="M17">
        <v>-169911</v>
      </c>
      <c r="O17">
        <v>-75565</v>
      </c>
      <c r="Q17">
        <v>78621</v>
      </c>
      <c r="S17">
        <v>30107</v>
      </c>
      <c r="U17">
        <v>69618</v>
      </c>
      <c r="W17">
        <v>58720</v>
      </c>
      <c r="Y17">
        <v>86964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t="s">
        <v>641</v>
      </c>
      <c r="BRK17" s="113"/>
      <c r="BRN17" s="113"/>
      <c r="BRV17" s="113"/>
      <c r="BRY17" s="113"/>
      <c r="BSG17" s="113"/>
      <c r="BSJ17" s="113"/>
      <c r="BSR17" s="113"/>
      <c r="BSU17" s="113"/>
      <c r="BTC17" s="113"/>
      <c r="BTF17" s="113"/>
      <c r="BTN17" s="113"/>
      <c r="BTQ17" s="113"/>
      <c r="BTY17" s="113"/>
      <c r="BUB17" s="113"/>
      <c r="BUJ17" s="113"/>
      <c r="BUM17" s="113"/>
      <c r="BUU17" s="113"/>
      <c r="BUX17" s="113"/>
      <c r="BVF17" s="113"/>
      <c r="BVI17" s="113"/>
      <c r="BVQ17" s="113"/>
      <c r="BVT17" s="113"/>
      <c r="BWB17" s="113"/>
      <c r="BWE17" s="113"/>
      <c r="BWM17" s="113"/>
      <c r="BWP17" s="113"/>
      <c r="BWX17" s="113"/>
      <c r="BXA17" s="113"/>
      <c r="BXI17" s="113"/>
      <c r="BXL17" s="113"/>
      <c r="BXT17" s="113"/>
      <c r="BXW17" s="113"/>
      <c r="BYE17" s="113"/>
      <c r="BYH17" s="113"/>
      <c r="BYP17" s="113"/>
      <c r="BYS17" s="113"/>
      <c r="BZA17" s="113"/>
      <c r="BZD17" s="113"/>
      <c r="BZL17" s="113"/>
      <c r="BZO17" s="113"/>
      <c r="BZW17" s="113"/>
      <c r="BZZ17" s="113"/>
      <c r="CAH17" s="113"/>
      <c r="CAK17" s="113"/>
      <c r="CAS17" s="113"/>
      <c r="CAV17" s="113"/>
      <c r="CBD17" s="113"/>
      <c r="CBG17" s="113"/>
      <c r="CBO17" s="113"/>
      <c r="CBR17" s="113"/>
      <c r="CBZ17" s="113"/>
      <c r="CCC17" s="113"/>
      <c r="CCK17" s="113"/>
      <c r="CCN17" s="113"/>
      <c r="CCV17" s="113"/>
      <c r="CCY17" s="113"/>
      <c r="CDG17" s="113"/>
      <c r="CDJ17" s="113"/>
      <c r="CDR17" s="113"/>
      <c r="CDU17" s="113"/>
      <c r="CEC17" s="113"/>
      <c r="CEF17" s="113"/>
      <c r="CEN17" s="113"/>
      <c r="CEQ17" s="113"/>
      <c r="CEY17" s="113"/>
      <c r="CFB17" s="113"/>
      <c r="CFJ17" s="113"/>
      <c r="CFM17" s="113"/>
      <c r="CFU17" s="113"/>
      <c r="CFX17" s="113"/>
      <c r="CGF17" s="113"/>
      <c r="CGI17" s="113"/>
      <c r="CGQ17" s="113"/>
      <c r="CGT17" s="113"/>
      <c r="CHB17" s="113"/>
      <c r="CHE17" s="113"/>
      <c r="CHM17" s="113"/>
      <c r="CHP17" s="113"/>
      <c r="CHX17" s="113"/>
      <c r="CIA17" s="113"/>
      <c r="CII17" s="113"/>
      <c r="CIL17" s="113"/>
      <c r="CIT17" s="113"/>
      <c r="CIW17" s="113"/>
      <c r="CJE17" s="113"/>
      <c r="CJH17" s="113"/>
      <c r="CJP17" s="113"/>
      <c r="CJS17" s="113"/>
      <c r="CKA17" s="113"/>
      <c r="CKD17" s="113"/>
      <c r="CKL17" s="113"/>
      <c r="CKO17" s="113"/>
      <c r="CKW17" s="113"/>
      <c r="CKZ17" s="113"/>
      <c r="CLB17" s="113"/>
      <c r="CLE17" s="113"/>
      <c r="CLH17" s="113"/>
      <c r="CLK17" s="113"/>
      <c r="CLM17" s="113"/>
      <c r="CLP17" s="113"/>
      <c r="CLX17" s="113"/>
      <c r="CMA17" s="113"/>
      <c r="CMI17" s="113"/>
      <c r="CML17" s="113"/>
      <c r="CMT17" s="113"/>
      <c r="CMW17" s="113"/>
      <c r="CNE17" s="113"/>
      <c r="CNH17" s="113"/>
      <c r="CNP17" s="113"/>
      <c r="CNS17" s="113"/>
      <c r="COA17" s="113"/>
      <c r="COD17" s="113"/>
      <c r="COL17" s="113"/>
      <c r="COO17" s="113"/>
      <c r="COW17" s="113"/>
      <c r="COZ17" s="113"/>
      <c r="CPH17" s="113"/>
      <c r="CPK17" s="113"/>
      <c r="CPS17" s="113"/>
      <c r="CPV17" s="113"/>
      <c r="CQD17" s="113"/>
      <c r="CQG17" s="113"/>
      <c r="CQO17" s="113"/>
      <c r="CQR17" s="113"/>
      <c r="CQZ17" s="113"/>
      <c r="CRC17" s="113"/>
      <c r="CRK17" s="113"/>
      <c r="CRN17" s="113"/>
      <c r="CRV17" s="113"/>
      <c r="CRY17" s="113"/>
      <c r="CSG17" s="113"/>
      <c r="CSJ17" s="113"/>
      <c r="CSR17" s="113"/>
      <c r="CSU17" s="113"/>
      <c r="CTC17" s="113"/>
      <c r="CTF17" s="113"/>
      <c r="CTN17" s="113"/>
      <c r="CTQ17" s="113"/>
      <c r="CTY17" s="113"/>
      <c r="CUB17" s="113"/>
      <c r="CUJ17" s="113"/>
      <c r="CUM17" s="113"/>
      <c r="CUU17" s="113"/>
      <c r="CUX17" s="113"/>
      <c r="CVF17" s="113"/>
      <c r="CVI17" s="113"/>
      <c r="CVQ17" s="113"/>
      <c r="CVT17" s="113"/>
      <c r="CWB17" s="113"/>
      <c r="CWE17" s="113"/>
      <c r="CWM17" s="113"/>
      <c r="CWX17" s="113"/>
      <c r="CXI17" s="113"/>
      <c r="CXT17" s="113"/>
      <c r="CYE17" s="113"/>
      <c r="CYP17" s="113"/>
      <c r="CYS17" s="113"/>
      <c r="CYX17" s="113"/>
      <c r="CZA17" s="113"/>
      <c r="CZD17" s="113"/>
      <c r="CZI17" s="113"/>
      <c r="CZL17" s="113"/>
      <c r="CZQ17" s="113"/>
      <c r="CZT17" s="113"/>
      <c r="CZW17" s="113"/>
      <c r="DAB17" s="113"/>
      <c r="DAE17" s="113"/>
      <c r="DAM17" s="113"/>
      <c r="DAP17" s="113"/>
      <c r="DAX17" s="113"/>
      <c r="DBA17" s="113"/>
      <c r="DBI17" s="113"/>
      <c r="DBL17" s="113"/>
      <c r="DBT17" s="113"/>
      <c r="DBW17" s="113"/>
      <c r="DCE17" s="113"/>
      <c r="DCF17" s="113"/>
      <c r="DCI17" s="113"/>
      <c r="DCP17" s="113"/>
    </row>
    <row r="18" spans="1:43 1831:2043 2051:2798" x14ac:dyDescent="0.25">
      <c r="A18">
        <v>170</v>
      </c>
      <c r="B18" t="s">
        <v>29</v>
      </c>
      <c r="C18">
        <v>724958</v>
      </c>
      <c r="E18">
        <v>321434</v>
      </c>
      <c r="G18">
        <v>145868</v>
      </c>
      <c r="I18">
        <v>568970</v>
      </c>
      <c r="K18">
        <v>23813</v>
      </c>
      <c r="M18">
        <v>500741</v>
      </c>
      <c r="O18">
        <v>329077</v>
      </c>
      <c r="Q18">
        <v>176919</v>
      </c>
      <c r="S18">
        <v>246655</v>
      </c>
      <c r="U18">
        <v>93114</v>
      </c>
      <c r="W18">
        <v>122248</v>
      </c>
      <c r="Y18">
        <v>59856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t="s">
        <v>641</v>
      </c>
      <c r="BRK18" s="113"/>
      <c r="BRN18" s="113"/>
      <c r="BRV18" s="113"/>
      <c r="BRY18" s="113"/>
      <c r="BSG18" s="113"/>
      <c r="BSJ18" s="113"/>
      <c r="BSR18" s="113"/>
      <c r="BSU18" s="113"/>
      <c r="BTC18" s="113"/>
      <c r="BTF18" s="113"/>
      <c r="BTN18" s="113"/>
      <c r="BTQ18" s="113"/>
      <c r="BTY18" s="113"/>
      <c r="BUB18" s="113"/>
      <c r="BUJ18" s="113"/>
      <c r="BUM18" s="113"/>
      <c r="BUU18" s="113"/>
      <c r="BUX18" s="113"/>
      <c r="BVF18" s="113"/>
      <c r="BVI18" s="113"/>
      <c r="BVQ18" s="113"/>
      <c r="BVT18" s="113"/>
      <c r="BWB18" s="113"/>
      <c r="BWE18" s="113"/>
      <c r="BWM18" s="113"/>
      <c r="BWP18" s="113"/>
      <c r="BWX18" s="113"/>
      <c r="BXA18" s="113"/>
      <c r="BXI18" s="113"/>
      <c r="BXL18" s="113"/>
      <c r="BXT18" s="113"/>
      <c r="BXW18" s="113"/>
      <c r="BYE18" s="113"/>
      <c r="BYH18" s="113"/>
      <c r="BYP18" s="113"/>
      <c r="BYS18" s="113"/>
      <c r="BZA18" s="113"/>
      <c r="BZD18" s="113"/>
      <c r="BZL18" s="113"/>
      <c r="BZO18" s="113"/>
      <c r="BZW18" s="113"/>
      <c r="BZZ18" s="113"/>
      <c r="CAH18" s="113"/>
      <c r="CAK18" s="113"/>
      <c r="CAS18" s="113"/>
      <c r="CAV18" s="113"/>
      <c r="CBD18" s="113"/>
      <c r="CBG18" s="113"/>
      <c r="CBO18" s="113"/>
      <c r="CBR18" s="113"/>
      <c r="CBZ18" s="113"/>
      <c r="CCC18" s="113"/>
      <c r="CCK18" s="113"/>
      <c r="CCN18" s="113"/>
      <c r="CCV18" s="113"/>
      <c r="CCY18" s="113"/>
      <c r="CDG18" s="113"/>
      <c r="CDJ18" s="113"/>
      <c r="CDR18" s="113"/>
      <c r="CDU18" s="113"/>
      <c r="CEC18" s="113"/>
      <c r="CEF18" s="113"/>
      <c r="CEN18" s="113"/>
      <c r="CEQ18" s="113"/>
      <c r="CEY18" s="113"/>
      <c r="CFB18" s="113"/>
      <c r="CFJ18" s="113"/>
      <c r="CFM18" s="113"/>
      <c r="CFU18" s="113"/>
      <c r="CFX18" s="113"/>
      <c r="CGF18" s="113"/>
      <c r="CGI18" s="113"/>
      <c r="CGQ18" s="113"/>
      <c r="CGT18" s="113"/>
      <c r="CHB18" s="113"/>
      <c r="CHE18" s="113"/>
      <c r="CHM18" s="113"/>
      <c r="CHP18" s="113"/>
      <c r="CHX18" s="113"/>
      <c r="CIA18" s="113"/>
      <c r="CII18" s="113"/>
      <c r="CIL18" s="113"/>
      <c r="CIT18" s="113"/>
      <c r="CIW18" s="113"/>
      <c r="CJE18" s="113"/>
      <c r="CJH18" s="113"/>
      <c r="CJP18" s="113"/>
      <c r="CJS18" s="113"/>
      <c r="CKA18" s="113"/>
      <c r="CKD18" s="113"/>
      <c r="CKL18" s="113"/>
      <c r="CKO18" s="113"/>
      <c r="CKW18" s="113"/>
      <c r="CKZ18" s="113"/>
      <c r="CLB18" s="113"/>
      <c r="CLE18" s="113"/>
      <c r="CLH18" s="113"/>
      <c r="CLK18" s="113"/>
      <c r="CLM18" s="113"/>
      <c r="CLP18" s="113"/>
      <c r="CLX18" s="113"/>
      <c r="CMA18" s="113"/>
      <c r="CMI18" s="113"/>
      <c r="CML18" s="113"/>
      <c r="CMT18" s="113"/>
      <c r="CMW18" s="113"/>
      <c r="CNE18" s="113"/>
      <c r="CNH18" s="113"/>
      <c r="CNP18" s="113"/>
      <c r="CNS18" s="113"/>
      <c r="COA18" s="113"/>
      <c r="COD18" s="113"/>
      <c r="COL18" s="113"/>
      <c r="COO18" s="113"/>
      <c r="COW18" s="113"/>
      <c r="COZ18" s="113"/>
      <c r="CPH18" s="113"/>
      <c r="CPK18" s="113"/>
      <c r="CPS18" s="113"/>
      <c r="CPV18" s="113"/>
      <c r="CQD18" s="113"/>
      <c r="CQG18" s="113"/>
      <c r="CQO18" s="113"/>
      <c r="CQR18" s="113"/>
      <c r="CQZ18" s="113"/>
      <c r="CRC18" s="113"/>
      <c r="CRK18" s="113"/>
      <c r="CRN18" s="113"/>
      <c r="CRV18" s="113"/>
      <c r="CRY18" s="113"/>
      <c r="CSG18" s="113"/>
      <c r="CSJ18" s="113"/>
      <c r="CSR18" s="113"/>
      <c r="CSU18" s="113"/>
      <c r="CTC18" s="113"/>
      <c r="CTF18" s="113"/>
      <c r="CTN18" s="113"/>
      <c r="CTQ18" s="113"/>
      <c r="CTY18" s="113"/>
      <c r="CUB18" s="113"/>
      <c r="CUJ18" s="113"/>
      <c r="CUM18" s="113"/>
      <c r="CUU18" s="113"/>
      <c r="CUX18" s="113"/>
      <c r="CVF18" s="113"/>
      <c r="CVI18" s="113"/>
      <c r="CVQ18" s="113"/>
      <c r="CVT18" s="113"/>
      <c r="CWB18" s="113"/>
      <c r="CWE18" s="113"/>
      <c r="CWM18" s="113"/>
      <c r="CWX18" s="113"/>
      <c r="CXI18" s="113"/>
      <c r="CXT18" s="113"/>
      <c r="CYE18" s="113"/>
      <c r="CYP18" s="113"/>
      <c r="CYS18" s="113"/>
      <c r="CYX18" s="113"/>
      <c r="CZA18" s="113"/>
      <c r="CZD18" s="113"/>
      <c r="CZI18" s="113"/>
      <c r="CZL18" s="113"/>
      <c r="CZQ18" s="113"/>
      <c r="CZT18" s="113"/>
      <c r="CZW18" s="113"/>
      <c r="DAB18" s="113"/>
      <c r="DAE18" s="113"/>
      <c r="DAM18" s="113"/>
      <c r="DAP18" s="113"/>
      <c r="DAX18" s="113"/>
      <c r="DBA18" s="113"/>
      <c r="DBI18" s="113"/>
      <c r="DBL18" s="113"/>
      <c r="DBT18" s="113"/>
      <c r="DBW18" s="113"/>
      <c r="DCE18" s="113"/>
      <c r="DCF18" s="113"/>
      <c r="DCI18" s="113"/>
      <c r="DCP18" s="113"/>
    </row>
    <row r="19" spans="1:43 1831:2043 2051:2798" x14ac:dyDescent="0.25">
      <c r="A19">
        <v>180</v>
      </c>
      <c r="B19" t="s">
        <v>589</v>
      </c>
      <c r="C19">
        <v>4234</v>
      </c>
      <c r="E19">
        <v>5297</v>
      </c>
      <c r="G19">
        <v>3656</v>
      </c>
      <c r="I19">
        <v>4807</v>
      </c>
      <c r="K19">
        <v>4418</v>
      </c>
      <c r="M19">
        <v>3919</v>
      </c>
      <c r="O19">
        <v>2170</v>
      </c>
      <c r="Q19">
        <v>2561</v>
      </c>
      <c r="S19">
        <v>2392</v>
      </c>
      <c r="U19">
        <v>1783</v>
      </c>
      <c r="W19">
        <v>2345</v>
      </c>
      <c r="Y19">
        <v>1837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641</v>
      </c>
      <c r="BRK19" s="113"/>
      <c r="BRN19" s="113"/>
      <c r="BRV19" s="113"/>
      <c r="BRY19" s="113"/>
      <c r="BSG19" s="113"/>
      <c r="BSJ19" s="113"/>
      <c r="BSR19" s="113"/>
      <c r="BSU19" s="113"/>
      <c r="BTC19" s="113"/>
      <c r="BTF19" s="113"/>
      <c r="BTN19" s="113"/>
      <c r="BTQ19" s="113"/>
      <c r="BTY19" s="113"/>
      <c r="BUB19" s="113"/>
      <c r="BUJ19" s="113"/>
      <c r="BUM19" s="113"/>
      <c r="BUU19" s="113"/>
      <c r="BUX19" s="113"/>
      <c r="BVF19" s="113"/>
      <c r="BVI19" s="113"/>
      <c r="BVQ19" s="113"/>
      <c r="BVT19" s="113"/>
      <c r="BWB19" s="113"/>
      <c r="BWE19" s="113"/>
      <c r="BWM19" s="113"/>
      <c r="BWP19" s="113"/>
      <c r="BWX19" s="113"/>
      <c r="BXA19" s="113"/>
      <c r="BXI19" s="113"/>
      <c r="BXL19" s="113"/>
      <c r="BXT19" s="113"/>
      <c r="BXW19" s="113"/>
      <c r="BYE19" s="113"/>
      <c r="BYH19" s="113"/>
      <c r="BYP19" s="113"/>
      <c r="BYS19" s="113"/>
      <c r="BZA19" s="113"/>
      <c r="BZD19" s="113"/>
      <c r="BZL19" s="113"/>
      <c r="BZO19" s="113"/>
      <c r="BZW19" s="113"/>
      <c r="BZZ19" s="113"/>
      <c r="CAH19" s="113"/>
      <c r="CAK19" s="113"/>
      <c r="CAS19" s="113"/>
      <c r="CAV19" s="113"/>
      <c r="CBD19" s="113"/>
      <c r="CBG19" s="113"/>
      <c r="CBO19" s="113"/>
      <c r="CBR19" s="113"/>
      <c r="CBZ19" s="113"/>
      <c r="CCC19" s="113"/>
      <c r="CCK19" s="113"/>
      <c r="CCN19" s="113"/>
      <c r="CCV19" s="113"/>
      <c r="CCY19" s="113"/>
      <c r="CDG19" s="113"/>
      <c r="CDJ19" s="113"/>
      <c r="CDR19" s="113"/>
      <c r="CDU19" s="113"/>
      <c r="CEC19" s="113"/>
      <c r="CEF19" s="113"/>
      <c r="CEN19" s="113"/>
      <c r="CEQ19" s="113"/>
      <c r="CEY19" s="113"/>
      <c r="CFB19" s="113"/>
      <c r="CFJ19" s="113"/>
      <c r="CFM19" s="113"/>
      <c r="CFU19" s="113"/>
      <c r="CFX19" s="113"/>
      <c r="CGF19" s="113"/>
      <c r="CGI19" s="113"/>
      <c r="CGQ19" s="113"/>
      <c r="CGT19" s="113"/>
      <c r="CHB19" s="113"/>
      <c r="CHE19" s="113"/>
      <c r="CHM19" s="113"/>
      <c r="CHP19" s="113"/>
      <c r="CHX19" s="113"/>
      <c r="CIA19" s="113"/>
      <c r="CII19" s="113"/>
      <c r="CIL19" s="113"/>
      <c r="CIT19" s="113"/>
      <c r="CIW19" s="113"/>
      <c r="CJE19" s="113"/>
      <c r="CJH19" s="113"/>
      <c r="CJP19" s="113"/>
      <c r="CJS19" s="113"/>
      <c r="CKA19" s="113"/>
      <c r="CKD19" s="113"/>
      <c r="CKL19" s="113"/>
      <c r="CKO19" s="113"/>
      <c r="CKW19" s="113"/>
      <c r="CKZ19" s="113"/>
      <c r="CLB19" s="113"/>
      <c r="CLE19" s="113"/>
      <c r="CLH19" s="113"/>
      <c r="CLK19" s="113"/>
      <c r="CLM19" s="113"/>
      <c r="CLP19" s="113"/>
      <c r="CLX19" s="113"/>
      <c r="CMA19" s="113"/>
      <c r="CMI19" s="113"/>
      <c r="CML19" s="113"/>
      <c r="CMT19" s="113"/>
      <c r="CMW19" s="113"/>
      <c r="CNE19" s="113"/>
      <c r="CNH19" s="113"/>
      <c r="CNP19" s="113"/>
      <c r="CNS19" s="113"/>
      <c r="COA19" s="113"/>
      <c r="COD19" s="113"/>
      <c r="COL19" s="113"/>
      <c r="COO19" s="113"/>
      <c r="COW19" s="113"/>
      <c r="COZ19" s="113"/>
      <c r="CPH19" s="113"/>
      <c r="CPK19" s="113"/>
      <c r="CPS19" s="113"/>
      <c r="CPV19" s="113"/>
      <c r="CQD19" s="113"/>
      <c r="CQG19" s="113"/>
      <c r="CQO19" s="113"/>
      <c r="CQR19" s="113"/>
      <c r="CQZ19" s="113"/>
      <c r="CRC19" s="113"/>
      <c r="CRK19" s="113"/>
      <c r="CRN19" s="113"/>
      <c r="CRV19" s="113"/>
      <c r="CRY19" s="113"/>
      <c r="CSG19" s="113"/>
      <c r="CSJ19" s="113"/>
      <c r="CSR19" s="113"/>
      <c r="CSU19" s="113"/>
      <c r="CTC19" s="113"/>
      <c r="CTF19" s="113"/>
      <c r="CTN19" s="113"/>
      <c r="CTQ19" s="113"/>
      <c r="CTY19" s="113"/>
      <c r="CUB19" s="113"/>
      <c r="CUJ19" s="113"/>
      <c r="CUM19" s="113"/>
      <c r="CUU19" s="113"/>
      <c r="CUX19" s="113"/>
      <c r="CVF19" s="113"/>
      <c r="CVI19" s="113"/>
      <c r="CVQ19" s="113"/>
      <c r="CVT19" s="113"/>
      <c r="CWB19" s="113"/>
      <c r="CWE19" s="113"/>
      <c r="CWM19" s="113"/>
      <c r="CWX19" s="113"/>
      <c r="CXI19" s="113"/>
      <c r="CXT19" s="113"/>
      <c r="CYE19" s="113"/>
      <c r="CYP19" s="113"/>
      <c r="CYS19" s="113"/>
      <c r="CYX19" s="113"/>
      <c r="CZA19" s="113"/>
      <c r="CZD19" s="113"/>
      <c r="CZI19" s="113"/>
      <c r="CZL19" s="113"/>
      <c r="CZQ19" s="113"/>
      <c r="CZT19" s="113"/>
      <c r="CZW19" s="113"/>
      <c r="DAB19" s="113"/>
      <c r="DAE19" s="113"/>
      <c r="DAM19" s="113"/>
      <c r="DAP19" s="113"/>
      <c r="DAX19" s="113"/>
      <c r="DBA19" s="113"/>
      <c r="DBI19" s="113"/>
      <c r="DBL19" s="113"/>
      <c r="DBT19" s="113"/>
      <c r="DBW19" s="113"/>
      <c r="DCE19" s="113"/>
      <c r="DCF19" s="113"/>
      <c r="DCI19" s="113"/>
      <c r="DCP19" s="113"/>
    </row>
    <row r="20" spans="1:43 1831:2043 2051:2798" x14ac:dyDescent="0.25">
      <c r="A20">
        <v>190</v>
      </c>
      <c r="B20" t="s">
        <v>590</v>
      </c>
      <c r="C20">
        <v>0</v>
      </c>
      <c r="E20">
        <v>0</v>
      </c>
      <c r="G20">
        <v>0</v>
      </c>
      <c r="I20">
        <v>0</v>
      </c>
      <c r="K20">
        <v>0</v>
      </c>
      <c r="M20">
        <v>0</v>
      </c>
      <c r="O20">
        <v>0</v>
      </c>
      <c r="Q20">
        <v>0</v>
      </c>
      <c r="S20">
        <v>0</v>
      </c>
      <c r="U20">
        <v>0</v>
      </c>
      <c r="W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641</v>
      </c>
      <c r="BRK20" s="113"/>
      <c r="BRN20" s="113"/>
      <c r="BRV20" s="113"/>
      <c r="BRY20" s="113"/>
      <c r="BSG20" s="113"/>
      <c r="BSJ20" s="113"/>
      <c r="BSR20" s="113"/>
      <c r="BSU20" s="113"/>
      <c r="BTC20" s="113"/>
      <c r="BTF20" s="113"/>
      <c r="BTN20" s="113"/>
      <c r="BTQ20" s="113"/>
      <c r="BTY20" s="113"/>
      <c r="BUB20" s="113"/>
      <c r="BUJ20" s="113"/>
      <c r="BUM20" s="113"/>
      <c r="BUU20" s="113"/>
      <c r="BUX20" s="113"/>
      <c r="BVF20" s="113"/>
      <c r="BVI20" s="113"/>
      <c r="BVQ20" s="113"/>
      <c r="BVT20" s="113"/>
      <c r="BWB20" s="113"/>
      <c r="BWE20" s="113"/>
      <c r="BWM20" s="113"/>
      <c r="BWP20" s="113"/>
      <c r="BWX20" s="113"/>
      <c r="BXA20" s="113"/>
      <c r="BXI20" s="113"/>
      <c r="BXL20" s="113"/>
      <c r="BXT20" s="113"/>
      <c r="BXW20" s="113"/>
      <c r="BYE20" s="113"/>
      <c r="BYH20" s="113"/>
      <c r="BYP20" s="113"/>
      <c r="BYS20" s="113"/>
      <c r="BZA20" s="113"/>
      <c r="BZD20" s="113"/>
      <c r="BZL20" s="113"/>
      <c r="BZO20" s="113"/>
      <c r="BZW20" s="113"/>
      <c r="BZZ20" s="113"/>
      <c r="CAH20" s="113"/>
      <c r="CAK20" s="113"/>
      <c r="CAS20" s="113"/>
      <c r="CAV20" s="113"/>
      <c r="CBD20" s="113"/>
      <c r="CBG20" s="113"/>
      <c r="CBO20" s="113"/>
      <c r="CBR20" s="113"/>
      <c r="CBZ20" s="113"/>
      <c r="CCC20" s="113"/>
      <c r="CCK20" s="113"/>
      <c r="CCN20" s="113"/>
      <c r="CCV20" s="113"/>
      <c r="CCY20" s="113"/>
      <c r="CDG20" s="113"/>
      <c r="CDJ20" s="113"/>
      <c r="CDR20" s="113"/>
      <c r="CDU20" s="113"/>
      <c r="CEC20" s="113"/>
      <c r="CEF20" s="113"/>
      <c r="CEN20" s="113"/>
      <c r="CEQ20" s="113"/>
      <c r="CEY20" s="113"/>
      <c r="CFB20" s="113"/>
      <c r="CFJ20" s="113"/>
      <c r="CFM20" s="113"/>
      <c r="CFU20" s="113"/>
      <c r="CFX20" s="113"/>
      <c r="CGF20" s="113"/>
      <c r="CGI20" s="113"/>
      <c r="CGQ20" s="113"/>
      <c r="CGT20" s="113"/>
      <c r="CHB20" s="113"/>
      <c r="CHE20" s="113"/>
      <c r="CHM20" s="113"/>
      <c r="CHP20" s="113"/>
      <c r="CHX20" s="113"/>
      <c r="CIA20" s="113"/>
      <c r="CII20" s="113"/>
      <c r="CIL20" s="113"/>
      <c r="CIT20" s="113"/>
      <c r="CIW20" s="113"/>
      <c r="CJE20" s="113"/>
      <c r="CJH20" s="113"/>
      <c r="CJP20" s="113"/>
      <c r="CJS20" s="113"/>
      <c r="CKA20" s="113"/>
      <c r="CKD20" s="113"/>
      <c r="CKL20" s="113"/>
      <c r="CKO20" s="113"/>
      <c r="CKW20" s="113"/>
      <c r="CKZ20" s="113"/>
      <c r="CLB20" s="113"/>
      <c r="CLE20" s="113"/>
      <c r="CLH20" s="113"/>
      <c r="CLK20" s="113"/>
      <c r="CLM20" s="113"/>
      <c r="CLP20" s="113"/>
      <c r="CLX20" s="113"/>
      <c r="CMA20" s="113"/>
      <c r="CMI20" s="113"/>
      <c r="CML20" s="113"/>
      <c r="CMT20" s="113"/>
      <c r="CMW20" s="113"/>
      <c r="CNE20" s="113"/>
      <c r="CNH20" s="113"/>
      <c r="CNP20" s="113"/>
      <c r="CNS20" s="113"/>
      <c r="COA20" s="113"/>
      <c r="COD20" s="113"/>
      <c r="COL20" s="113"/>
      <c r="COO20" s="113"/>
      <c r="COW20" s="113"/>
      <c r="COZ20" s="113"/>
      <c r="CPH20" s="113"/>
      <c r="CPK20" s="113"/>
      <c r="CPS20" s="113"/>
      <c r="CPV20" s="113"/>
      <c r="CQD20" s="113"/>
      <c r="CQG20" s="113"/>
      <c r="CQO20" s="113"/>
      <c r="CQR20" s="113"/>
      <c r="CQZ20" s="113"/>
      <c r="CRC20" s="113"/>
      <c r="CRK20" s="113"/>
      <c r="CRN20" s="113"/>
      <c r="CRV20" s="113"/>
      <c r="CRY20" s="113"/>
      <c r="CSG20" s="113"/>
      <c r="CSJ20" s="113"/>
      <c r="CSR20" s="113"/>
      <c r="CSU20" s="113"/>
      <c r="CTC20" s="113"/>
      <c r="CTF20" s="113"/>
      <c r="CTN20" s="113"/>
      <c r="CTQ20" s="113"/>
      <c r="CTY20" s="113"/>
      <c r="CUB20" s="113"/>
      <c r="CUJ20" s="113"/>
      <c r="CUM20" s="113"/>
      <c r="CUU20" s="113"/>
      <c r="CUX20" s="113"/>
      <c r="CVF20" s="113"/>
      <c r="CVI20" s="113"/>
      <c r="CVQ20" s="113"/>
      <c r="CVT20" s="113"/>
      <c r="CWB20" s="113"/>
      <c r="CWE20" s="113"/>
      <c r="CWM20" s="113"/>
      <c r="CWX20" s="113"/>
      <c r="CXI20" s="113"/>
      <c r="CXT20" s="113"/>
      <c r="CYE20" s="113"/>
      <c r="CYP20" s="113"/>
      <c r="CYS20" s="113"/>
      <c r="CYX20" s="113"/>
      <c r="CZA20" s="113"/>
      <c r="CZD20" s="113"/>
      <c r="CZI20" s="113"/>
      <c r="CZL20" s="113"/>
      <c r="CZQ20" s="113"/>
      <c r="CZT20" s="113"/>
      <c r="CZW20" s="113"/>
      <c r="DAB20" s="113"/>
      <c r="DAE20" s="113"/>
      <c r="DAM20" s="113"/>
      <c r="DAP20" s="113"/>
      <c r="DAX20" s="113"/>
      <c r="DBA20" s="113"/>
      <c r="DBI20" s="113"/>
      <c r="DBL20" s="113"/>
      <c r="DBT20" s="113"/>
      <c r="DBW20" s="113"/>
      <c r="DCE20" s="113"/>
      <c r="DCF20" s="113"/>
      <c r="DCI20" s="113"/>
      <c r="DCP20" s="113"/>
    </row>
    <row r="21" spans="1:43 1831:2043 2051:2798" x14ac:dyDescent="0.25">
      <c r="A21">
        <v>200</v>
      </c>
      <c r="B21" t="s">
        <v>30</v>
      </c>
      <c r="C21">
        <v>720724</v>
      </c>
      <c r="E21">
        <v>316137</v>
      </c>
      <c r="G21">
        <v>142212</v>
      </c>
      <c r="I21">
        <v>564163</v>
      </c>
      <c r="K21">
        <v>19395</v>
      </c>
      <c r="M21">
        <v>496822</v>
      </c>
      <c r="O21">
        <v>326907</v>
      </c>
      <c r="Q21">
        <v>174358</v>
      </c>
      <c r="S21">
        <v>244263</v>
      </c>
      <c r="U21">
        <v>91331</v>
      </c>
      <c r="W21">
        <v>119903</v>
      </c>
      <c r="Y21">
        <v>58019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641</v>
      </c>
      <c r="BRK21" s="113"/>
      <c r="BRN21" s="113"/>
      <c r="BRV21" s="113"/>
      <c r="BRY21" s="113"/>
      <c r="BSG21" s="113"/>
      <c r="BSJ21" s="113"/>
      <c r="BSR21" s="113"/>
      <c r="BSU21" s="113"/>
      <c r="BTC21" s="113"/>
      <c r="BTF21" s="113"/>
      <c r="BTN21" s="113"/>
      <c r="BTQ21" s="113"/>
      <c r="BTY21" s="113"/>
      <c r="BUB21" s="113"/>
      <c r="BUJ21" s="113"/>
      <c r="BUM21" s="113"/>
      <c r="BUU21" s="113"/>
      <c r="BUX21" s="113"/>
      <c r="BVF21" s="113"/>
      <c r="BVI21" s="113"/>
      <c r="BVQ21" s="113"/>
      <c r="BVT21" s="113"/>
      <c r="BWB21" s="113"/>
      <c r="BWE21" s="113"/>
      <c r="BWM21" s="113"/>
      <c r="BWP21" s="113"/>
      <c r="BWX21" s="113"/>
      <c r="BXA21" s="113"/>
      <c r="BXI21" s="113"/>
      <c r="BXL21" s="113"/>
      <c r="BXT21" s="113"/>
      <c r="BXW21" s="113"/>
      <c r="BYE21" s="113"/>
      <c r="BYH21" s="113"/>
      <c r="BYP21" s="113"/>
      <c r="BYS21" s="113"/>
      <c r="BZA21" s="113"/>
      <c r="BZD21" s="113"/>
      <c r="BZL21" s="113"/>
      <c r="BZO21" s="113"/>
      <c r="BZW21" s="113"/>
      <c r="BZZ21" s="113"/>
      <c r="CAH21" s="113"/>
      <c r="CAK21" s="113"/>
      <c r="CAS21" s="113"/>
      <c r="CAV21" s="113"/>
      <c r="CBD21" s="113"/>
      <c r="CBG21" s="113"/>
      <c r="CBO21" s="113"/>
      <c r="CBR21" s="113"/>
      <c r="CBZ21" s="113"/>
      <c r="CCC21" s="113"/>
      <c r="CCK21" s="113"/>
      <c r="CCN21" s="113"/>
      <c r="CCV21" s="113"/>
      <c r="CCY21" s="113"/>
      <c r="CDG21" s="113"/>
      <c r="CDJ21" s="113"/>
      <c r="CDR21" s="113"/>
      <c r="CDU21" s="113"/>
      <c r="CEC21" s="113"/>
      <c r="CEF21" s="113"/>
      <c r="CEN21" s="113"/>
      <c r="CEQ21" s="113"/>
      <c r="CEY21" s="113"/>
      <c r="CFB21" s="113"/>
      <c r="CFJ21" s="113"/>
      <c r="CFM21" s="113"/>
      <c r="CFU21" s="113"/>
      <c r="CFX21" s="113"/>
      <c r="CGF21" s="113"/>
      <c r="CGI21" s="113"/>
      <c r="CGQ21" s="113"/>
      <c r="CGT21" s="113"/>
      <c r="CHB21" s="113"/>
      <c r="CHE21" s="113"/>
      <c r="CHM21" s="113"/>
      <c r="CHP21" s="113"/>
      <c r="CHX21" s="113"/>
      <c r="CIA21" s="113"/>
      <c r="CII21" s="113"/>
      <c r="CIL21" s="113"/>
      <c r="CIT21" s="113"/>
      <c r="CIW21" s="113"/>
      <c r="CJE21" s="113"/>
      <c r="CJH21" s="113"/>
      <c r="CJP21" s="113"/>
      <c r="CJS21" s="113"/>
      <c r="CKA21" s="113"/>
      <c r="CKD21" s="113"/>
      <c r="CKL21" s="113"/>
      <c r="CKO21" s="113"/>
      <c r="CKW21" s="113"/>
      <c r="CKZ21" s="113"/>
      <c r="CLB21" s="113"/>
      <c r="CLE21" s="113"/>
      <c r="CLH21" s="113"/>
      <c r="CLK21" s="113"/>
      <c r="CLM21" s="113"/>
      <c r="CLP21" s="113"/>
      <c r="CLX21" s="113"/>
      <c r="CMA21" s="113"/>
      <c r="CMI21" s="113"/>
      <c r="CML21" s="113"/>
      <c r="CMT21" s="113"/>
      <c r="CMW21" s="113"/>
      <c r="CNE21" s="113"/>
      <c r="CNH21" s="113"/>
      <c r="CNP21" s="113"/>
      <c r="CNS21" s="113"/>
      <c r="COA21" s="113"/>
      <c r="COD21" s="113"/>
      <c r="COL21" s="113"/>
      <c r="COO21" s="113"/>
      <c r="COW21" s="113"/>
      <c r="COZ21" s="113"/>
      <c r="CPH21" s="113"/>
      <c r="CPK21" s="113"/>
      <c r="CPS21" s="113"/>
      <c r="CPV21" s="113"/>
      <c r="CQD21" s="113"/>
      <c r="CQG21" s="113"/>
      <c r="CQO21" s="113"/>
      <c r="CQR21" s="113"/>
      <c r="CQZ21" s="113"/>
      <c r="CRC21" s="113"/>
      <c r="CRK21" s="113"/>
      <c r="CRN21" s="113"/>
      <c r="CRV21" s="113"/>
      <c r="CRY21" s="113"/>
      <c r="CSG21" s="113"/>
      <c r="CSJ21" s="113"/>
      <c r="CSR21" s="113"/>
      <c r="CSU21" s="113"/>
      <c r="CTC21" s="113"/>
      <c r="CTF21" s="113"/>
      <c r="CTN21" s="113"/>
      <c r="CTQ21" s="113"/>
      <c r="CTY21" s="113"/>
      <c r="CUB21" s="113"/>
      <c r="CUJ21" s="113"/>
      <c r="CUM21" s="113"/>
      <c r="CUU21" s="113"/>
      <c r="CUX21" s="113"/>
      <c r="CVF21" s="113"/>
      <c r="CVI21" s="113"/>
      <c r="CVQ21" s="113"/>
      <c r="CVT21" s="113"/>
      <c r="CWB21" s="113"/>
      <c r="CWE21" s="113"/>
      <c r="CWM21" s="113"/>
      <c r="CWX21" s="113"/>
      <c r="CXI21" s="113"/>
      <c r="CXT21" s="113"/>
      <c r="CYE21" s="113"/>
      <c r="CYP21" s="113"/>
      <c r="CYS21" s="113"/>
      <c r="CYX21" s="113"/>
      <c r="CZA21" s="113"/>
      <c r="CZD21" s="113"/>
      <c r="CZI21" s="113"/>
      <c r="CZL21" s="113"/>
      <c r="CZQ21" s="113"/>
      <c r="CZT21" s="113"/>
      <c r="CZW21" s="113"/>
      <c r="DAB21" s="113"/>
      <c r="DAE21" s="113"/>
      <c r="DAM21" s="113"/>
      <c r="DAP21" s="113"/>
      <c r="DAX21" s="113"/>
      <c r="DBA21" s="113"/>
      <c r="DBI21" s="113"/>
      <c r="DBL21" s="113"/>
      <c r="DBT21" s="113"/>
      <c r="DBW21" s="113"/>
      <c r="DCE21" s="113"/>
      <c r="DCF21" s="113"/>
      <c r="DCI21" s="113"/>
      <c r="DCP21" s="113"/>
    </row>
    <row r="22" spans="1:43 1831:2043 2051:2798" x14ac:dyDescent="0.25">
      <c r="A22">
        <v>210</v>
      </c>
      <c r="B22" t="s">
        <v>31</v>
      </c>
      <c r="C22">
        <v>284862</v>
      </c>
      <c r="E22">
        <v>432010</v>
      </c>
      <c r="G22">
        <v>318815</v>
      </c>
      <c r="I22">
        <v>423788</v>
      </c>
      <c r="K22">
        <v>418355</v>
      </c>
      <c r="M22">
        <v>355130</v>
      </c>
      <c r="O22">
        <v>277812</v>
      </c>
      <c r="Q22">
        <v>279840</v>
      </c>
      <c r="S22">
        <v>301062</v>
      </c>
      <c r="U22">
        <v>187032</v>
      </c>
      <c r="W22">
        <v>205268</v>
      </c>
      <c r="Y22">
        <v>171120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641</v>
      </c>
      <c r="BRK22" s="113"/>
      <c r="BRN22" s="113"/>
      <c r="BRV22" s="113"/>
      <c r="BRY22" s="113"/>
      <c r="BSG22" s="113"/>
      <c r="BSJ22" s="113"/>
      <c r="BSR22" s="113"/>
      <c r="BSU22" s="113"/>
      <c r="BTC22" s="113"/>
      <c r="BTF22" s="113"/>
      <c r="BTN22" s="113"/>
      <c r="BTQ22" s="113"/>
      <c r="BTY22" s="113"/>
      <c r="BUB22" s="113"/>
      <c r="BUJ22" s="113"/>
      <c r="BUM22" s="113"/>
      <c r="BUU22" s="113"/>
      <c r="BUX22" s="113"/>
      <c r="BVF22" s="113"/>
      <c r="BVI22" s="113"/>
      <c r="BVQ22" s="113"/>
      <c r="BVT22" s="113"/>
      <c r="BWB22" s="113"/>
      <c r="BWE22" s="113"/>
      <c r="BWM22" s="113"/>
      <c r="BWP22" s="113"/>
      <c r="BWX22" s="113"/>
      <c r="BXA22" s="113"/>
      <c r="BXI22" s="113"/>
      <c r="BXL22" s="113"/>
      <c r="BXT22" s="113"/>
      <c r="BXW22" s="113"/>
      <c r="BYE22" s="113"/>
      <c r="BYH22" s="113"/>
      <c r="BYP22" s="113"/>
      <c r="BYS22" s="113"/>
      <c r="BZA22" s="113"/>
      <c r="BZD22" s="113"/>
      <c r="BZL22" s="113"/>
      <c r="BZO22" s="113"/>
      <c r="BZW22" s="113"/>
      <c r="BZZ22" s="113"/>
      <c r="CAH22" s="113"/>
      <c r="CAK22" s="113"/>
      <c r="CAS22" s="113"/>
      <c r="CAV22" s="113"/>
      <c r="CBD22" s="113"/>
      <c r="CBG22" s="113"/>
      <c r="CBO22" s="113"/>
      <c r="CBR22" s="113"/>
      <c r="CBZ22" s="113"/>
      <c r="CCC22" s="113"/>
      <c r="CCK22" s="113"/>
      <c r="CCN22" s="113"/>
      <c r="CCV22" s="113"/>
      <c r="CCY22" s="113"/>
      <c r="CDG22" s="113"/>
      <c r="CDJ22" s="113"/>
      <c r="CDR22" s="113"/>
      <c r="CDU22" s="113"/>
      <c r="CEC22" s="113"/>
      <c r="CEF22" s="113"/>
      <c r="CEN22" s="113"/>
      <c r="CEQ22" s="113"/>
      <c r="CEY22" s="113"/>
      <c r="CFB22" s="113"/>
      <c r="CFJ22" s="113"/>
      <c r="CFM22" s="113"/>
      <c r="CFU22" s="113"/>
      <c r="CFX22" s="113"/>
      <c r="CGF22" s="113"/>
      <c r="CGI22" s="113"/>
      <c r="CGQ22" s="113"/>
      <c r="CGT22" s="113"/>
      <c r="CHB22" s="113"/>
      <c r="CHE22" s="113"/>
      <c r="CHM22" s="113"/>
      <c r="CHP22" s="113"/>
      <c r="CHX22" s="113"/>
      <c r="CIA22" s="113"/>
      <c r="CII22" s="113"/>
      <c r="CIL22" s="113"/>
      <c r="CIT22" s="113"/>
      <c r="CIW22" s="113"/>
      <c r="CJE22" s="113"/>
      <c r="CJH22" s="113"/>
      <c r="CJP22" s="113"/>
      <c r="CJS22" s="113"/>
      <c r="CKA22" s="113"/>
      <c r="CKD22" s="113"/>
      <c r="CKL22" s="113"/>
      <c r="CKO22" s="113"/>
      <c r="CKW22" s="113"/>
      <c r="CKZ22" s="113"/>
      <c r="CLB22" s="113"/>
      <c r="CLE22" s="113"/>
      <c r="CLH22" s="113"/>
      <c r="CLK22" s="113"/>
      <c r="CLM22" s="113"/>
      <c r="CLP22" s="113"/>
      <c r="CLX22" s="113"/>
      <c r="CMA22" s="113"/>
      <c r="CMI22" s="113"/>
      <c r="CML22" s="113"/>
      <c r="CMT22" s="113"/>
      <c r="CMW22" s="113"/>
      <c r="CNE22" s="113"/>
      <c r="CNH22" s="113"/>
      <c r="CNP22" s="113"/>
      <c r="CNS22" s="113"/>
      <c r="COA22" s="113"/>
      <c r="COD22" s="113"/>
      <c r="COL22" s="113"/>
      <c r="COO22" s="113"/>
      <c r="COW22" s="113"/>
      <c r="COZ22" s="113"/>
      <c r="CPH22" s="113"/>
      <c r="CPK22" s="113"/>
      <c r="CPS22" s="113"/>
      <c r="CPV22" s="113"/>
      <c r="CQD22" s="113"/>
      <c r="CQG22" s="113"/>
      <c r="CQO22" s="113"/>
      <c r="CQR22" s="113"/>
      <c r="CQZ22" s="113"/>
      <c r="CRC22" s="113"/>
      <c r="CRK22" s="113"/>
      <c r="CRN22" s="113"/>
      <c r="CRV22" s="113"/>
      <c r="CRY22" s="113"/>
      <c r="CSG22" s="113"/>
      <c r="CSJ22" s="113"/>
      <c r="CSR22" s="113"/>
      <c r="CSU22" s="113"/>
      <c r="CTC22" s="113"/>
      <c r="CTF22" s="113"/>
      <c r="CTN22" s="113"/>
      <c r="CTQ22" s="113"/>
      <c r="CTY22" s="113"/>
      <c r="CUB22" s="113"/>
      <c r="CUJ22" s="113"/>
      <c r="CUM22" s="113"/>
      <c r="CUU22" s="113"/>
      <c r="CUX22" s="113"/>
      <c r="CVF22" s="113"/>
      <c r="CVI22" s="113"/>
      <c r="CVQ22" s="113"/>
      <c r="CVT22" s="113"/>
      <c r="CWB22" s="113"/>
      <c r="CWE22" s="113"/>
      <c r="CWM22" s="113"/>
      <c r="CWX22" s="113"/>
      <c r="CXI22" s="113"/>
      <c r="CXT22" s="113"/>
      <c r="CYE22" s="113"/>
      <c r="CYP22" s="113"/>
      <c r="CYS22" s="113"/>
      <c r="CYX22" s="113"/>
      <c r="CZA22" s="113"/>
      <c r="CZD22" s="113"/>
      <c r="CZI22" s="113"/>
      <c r="CZL22" s="113"/>
      <c r="CZQ22" s="113"/>
      <c r="CZT22" s="113"/>
      <c r="CZW22" s="113"/>
      <c r="DAB22" s="113"/>
      <c r="DAE22" s="113"/>
      <c r="DAM22" s="113"/>
      <c r="DAP22" s="113"/>
      <c r="DAX22" s="113"/>
      <c r="DBA22" s="113"/>
      <c r="DBI22" s="113"/>
      <c r="DBL22" s="113"/>
      <c r="DBT22" s="113"/>
      <c r="DBW22" s="113"/>
      <c r="DCE22" s="113"/>
      <c r="DCF22" s="113"/>
      <c r="DCI22" s="113"/>
      <c r="DCP22" s="113"/>
    </row>
    <row r="23" spans="1:43 1831:2043 2051:2798" x14ac:dyDescent="0.25">
      <c r="BRN23" s="113"/>
      <c r="BRY23" s="113"/>
      <c r="BSJ23" s="113"/>
      <c r="BSU23" s="113"/>
      <c r="BTF23" s="113"/>
      <c r="BTQ23" s="113"/>
      <c r="BUB23" s="113"/>
      <c r="BUM23" s="113"/>
      <c r="BUX23" s="113"/>
      <c r="BVI23" s="113"/>
      <c r="BVT23" s="113"/>
      <c r="BWE23" s="113"/>
      <c r="BWP23" s="113"/>
      <c r="BXA23" s="113"/>
      <c r="BXL23" s="113"/>
      <c r="BXW23" s="113"/>
      <c r="BYH23" s="113"/>
      <c r="BYS23" s="113"/>
      <c r="BZD23" s="113"/>
      <c r="BZO23" s="113"/>
      <c r="BZZ23" s="113"/>
      <c r="CAK23" s="113"/>
      <c r="CAV23" s="113"/>
      <c r="CBG23" s="113"/>
      <c r="CBR23" s="113"/>
      <c r="CCC23" s="113"/>
      <c r="CCN23" s="113"/>
      <c r="CCY23" s="113"/>
      <c r="CDJ23" s="113"/>
      <c r="CDU23" s="113"/>
      <c r="CEF23" s="113"/>
      <c r="CEQ23" s="113"/>
      <c r="CFB23" s="113"/>
      <c r="CFM23" s="113"/>
      <c r="CFX23" s="113"/>
      <c r="CGI23" s="113"/>
      <c r="CGT23" s="113"/>
      <c r="CHE23" s="113"/>
      <c r="CHP23" s="113"/>
      <c r="CIA23" s="113"/>
      <c r="CIL23" s="113"/>
      <c r="CIW23" s="113"/>
      <c r="CJH23" s="113"/>
      <c r="CJS23" s="113"/>
      <c r="CKD23" s="113"/>
      <c r="CKO23" s="113"/>
      <c r="CKZ23" s="113"/>
      <c r="CLE23" s="113"/>
      <c r="CLK23" s="113"/>
      <c r="CLP23" s="113"/>
      <c r="CMA23" s="113"/>
      <c r="CML23" s="113"/>
      <c r="CMW23" s="113"/>
      <c r="CNH23" s="113"/>
      <c r="CNS23" s="113"/>
      <c r="COD23" s="113"/>
      <c r="COO23" s="113"/>
      <c r="COZ23" s="113"/>
      <c r="CPK23" s="113"/>
      <c r="CPV23" s="113"/>
      <c r="CQG23" s="113"/>
      <c r="CQR23" s="113"/>
      <c r="CRC23" s="113"/>
      <c r="CRN23" s="113"/>
      <c r="CRY23" s="113"/>
      <c r="CSJ23" s="113"/>
      <c r="CSU23" s="113"/>
      <c r="CTF23" s="113"/>
      <c r="CTQ23" s="113"/>
      <c r="CUB23" s="113"/>
      <c r="CUM23" s="113"/>
      <c r="CUX23" s="113"/>
      <c r="CVI23" s="113"/>
      <c r="CYS23" s="113"/>
      <c r="CZD23" s="113"/>
      <c r="CZL23" s="113"/>
      <c r="CZW23" s="113"/>
      <c r="DAE23" s="113"/>
      <c r="DAP23" s="113"/>
      <c r="DBA23" s="113"/>
      <c r="DBL23" s="113"/>
      <c r="DBW23" s="113"/>
      <c r="DCF23" s="113"/>
      <c r="DCI23" s="113"/>
    </row>
    <row r="24" spans="1:43 1831:2043 2051:2798" x14ac:dyDescent="0.25">
      <c r="BRN24" s="113"/>
      <c r="BRY24" s="113"/>
      <c r="BSJ24" s="113"/>
      <c r="BSU24" s="113"/>
      <c r="BTF24" s="113"/>
      <c r="BTQ24" s="113"/>
      <c r="BUB24" s="113"/>
      <c r="BUM24" s="113"/>
      <c r="BUX24" s="113"/>
      <c r="BVI24" s="113"/>
      <c r="BVT24" s="113"/>
      <c r="BWE24" s="113"/>
      <c r="BWP24" s="113"/>
      <c r="BXA24" s="113"/>
      <c r="BXL24" s="113"/>
      <c r="BXW24" s="113"/>
      <c r="BYH24" s="113"/>
      <c r="BYS24" s="113"/>
      <c r="BZD24" s="113"/>
      <c r="BZO24" s="113"/>
      <c r="BZZ24" s="113"/>
      <c r="CAK24" s="113"/>
      <c r="CAV24" s="113"/>
      <c r="CBG24" s="113"/>
      <c r="CBR24" s="113"/>
      <c r="CCC24" s="113"/>
      <c r="CCN24" s="113"/>
      <c r="CCY24" s="113"/>
      <c r="CDJ24" s="113"/>
      <c r="CDU24" s="113"/>
      <c r="CEF24" s="113"/>
      <c r="CEQ24" s="113"/>
      <c r="CFB24" s="113"/>
      <c r="CFM24" s="113"/>
      <c r="CFX24" s="113"/>
      <c r="CGI24" s="113"/>
      <c r="CGT24" s="113"/>
      <c r="CHE24" s="113"/>
      <c r="CHP24" s="113"/>
      <c r="CIA24" s="113"/>
      <c r="CIL24" s="113"/>
      <c r="CIW24" s="113"/>
      <c r="CJH24" s="113"/>
      <c r="CJS24" s="113"/>
      <c r="CKD24" s="113"/>
      <c r="CKO24" s="113"/>
      <c r="CKZ24" s="113"/>
      <c r="CLE24" s="113"/>
      <c r="CLK24" s="113"/>
      <c r="CLP24" s="113"/>
      <c r="CMA24" s="113"/>
      <c r="CML24" s="113"/>
      <c r="CMW24" s="113"/>
      <c r="CNH24" s="113"/>
      <c r="CNS24" s="113"/>
      <c r="COD24" s="113"/>
      <c r="COO24" s="113"/>
      <c r="COZ24" s="113"/>
      <c r="CPK24" s="113"/>
      <c r="CPV24" s="113"/>
      <c r="CQG24" s="113"/>
      <c r="CQR24" s="113"/>
      <c r="CRC24" s="113"/>
      <c r="CRN24" s="113"/>
      <c r="CRY24" s="113"/>
      <c r="CSJ24" s="113"/>
      <c r="CSU24" s="113"/>
      <c r="CTF24" s="113"/>
      <c r="CTQ24" s="113"/>
      <c r="CUB24" s="113"/>
      <c r="CUM24" s="113"/>
      <c r="CUX24" s="113"/>
      <c r="CVI24" s="113"/>
      <c r="CYS24" s="113"/>
      <c r="CZD24" s="113"/>
      <c r="CZL24" s="113"/>
      <c r="CZW24" s="113"/>
      <c r="DAE24" s="113"/>
      <c r="DAP24" s="113"/>
      <c r="DBA24" s="113"/>
      <c r="DBL24" s="113"/>
      <c r="DBW24" s="113"/>
      <c r="DCF24" s="113"/>
      <c r="DCI24" s="113"/>
    </row>
    <row r="25" spans="1:43 1831:2043 2051:2798" x14ac:dyDescent="0.25">
      <c r="BRN25" s="113"/>
      <c r="BRY25" s="113"/>
      <c r="BSJ25" s="113"/>
      <c r="BSU25" s="113"/>
      <c r="BTF25" s="113"/>
      <c r="BTQ25" s="113"/>
      <c r="BUB25" s="113"/>
      <c r="BUM25" s="113"/>
      <c r="BUX25" s="113"/>
      <c r="BVI25" s="113"/>
      <c r="BVT25" s="113"/>
      <c r="BWE25" s="113"/>
      <c r="BWP25" s="113"/>
      <c r="BXA25" s="113"/>
      <c r="BXL25" s="113"/>
      <c r="BXW25" s="113"/>
      <c r="BYH25" s="113"/>
      <c r="BYS25" s="113"/>
      <c r="BZD25" s="113"/>
      <c r="BZO25" s="113"/>
      <c r="BZZ25" s="113"/>
      <c r="CAK25" s="113"/>
      <c r="CAV25" s="113"/>
      <c r="CBG25" s="113"/>
      <c r="CBR25" s="113"/>
      <c r="CCC25" s="113"/>
      <c r="CCN25" s="113"/>
      <c r="CCY25" s="113"/>
      <c r="CDJ25" s="113"/>
      <c r="CDU25" s="113"/>
      <c r="CEF25" s="113"/>
      <c r="CEQ25" s="113"/>
      <c r="CFB25" s="113"/>
      <c r="CFM25" s="113"/>
      <c r="CFX25" s="113"/>
      <c r="CGI25" s="113"/>
      <c r="CGT25" s="113"/>
      <c r="CHE25" s="113"/>
      <c r="CHP25" s="113"/>
      <c r="CIA25" s="113"/>
      <c r="CIL25" s="113"/>
      <c r="CIW25" s="113"/>
      <c r="CJH25" s="113"/>
      <c r="CJS25" s="113"/>
      <c r="CKD25" s="113"/>
      <c r="CKO25" s="113"/>
      <c r="CKZ25" s="113"/>
      <c r="CLE25" s="113"/>
      <c r="CLK25" s="113"/>
      <c r="CLP25" s="113"/>
      <c r="CMA25" s="113"/>
      <c r="CML25" s="113"/>
      <c r="CMW25" s="113"/>
      <c r="CNH25" s="113"/>
      <c r="CNS25" s="113"/>
      <c r="COD25" s="113"/>
      <c r="COO25" s="113"/>
      <c r="COZ25" s="113"/>
      <c r="CPK25" s="113"/>
      <c r="CPV25" s="113"/>
      <c r="CQG25" s="113"/>
      <c r="CQR25" s="113"/>
      <c r="CRC25" s="113"/>
      <c r="CRN25" s="113"/>
      <c r="CRY25" s="113"/>
      <c r="CSJ25" s="113"/>
      <c r="CSU25" s="113"/>
      <c r="CTF25" s="113"/>
      <c r="CTQ25" s="113"/>
      <c r="CUB25" s="113"/>
      <c r="CUM25" s="113"/>
      <c r="CUX25" s="113"/>
      <c r="CVI25" s="113"/>
      <c r="CYS25" s="113"/>
      <c r="CZD25" s="113"/>
      <c r="CZL25" s="113"/>
      <c r="CZW25" s="113"/>
      <c r="DAE25" s="113"/>
      <c r="DAP25" s="113"/>
      <c r="DBA25" s="113"/>
      <c r="DBL25" s="113"/>
      <c r="DBW25" s="113"/>
      <c r="DCF25" s="113"/>
      <c r="DCI25" s="113"/>
    </row>
    <row r="26" spans="1:43 1831:2043 2051:2798" x14ac:dyDescent="0.25">
      <c r="BRN26" s="113"/>
      <c r="BRY26" s="113"/>
      <c r="BSJ26" s="113"/>
      <c r="BSU26" s="113"/>
      <c r="BTF26" s="113"/>
      <c r="BTQ26" s="113"/>
      <c r="BUB26" s="113"/>
      <c r="BUM26" s="113"/>
      <c r="BUX26" s="113"/>
      <c r="BVI26" s="113"/>
      <c r="BVT26" s="113"/>
      <c r="BWE26" s="113"/>
      <c r="BWP26" s="113"/>
      <c r="BXA26" s="113"/>
      <c r="BXL26" s="113"/>
      <c r="BXW26" s="113"/>
      <c r="BYH26" s="113"/>
      <c r="BYS26" s="113"/>
      <c r="BZD26" s="113"/>
      <c r="BZO26" s="113"/>
      <c r="BZZ26" s="113"/>
      <c r="CAK26" s="113"/>
      <c r="CAV26" s="113"/>
      <c r="CBG26" s="113"/>
      <c r="CBR26" s="113"/>
      <c r="CCC26" s="113"/>
      <c r="CCN26" s="113"/>
      <c r="CCY26" s="113"/>
      <c r="CDJ26" s="113"/>
      <c r="CDU26" s="113"/>
      <c r="CEF26" s="113"/>
      <c r="CEQ26" s="113"/>
      <c r="CFB26" s="113"/>
      <c r="CFM26" s="113"/>
      <c r="CFX26" s="113"/>
      <c r="CGI26" s="113"/>
      <c r="CGT26" s="113"/>
      <c r="CHE26" s="113"/>
      <c r="CHP26" s="113"/>
      <c r="CIA26" s="113"/>
      <c r="CIL26" s="113"/>
      <c r="CIW26" s="113"/>
      <c r="CJH26" s="113"/>
      <c r="CJS26" s="113"/>
      <c r="CKD26" s="113"/>
      <c r="CKO26" s="113"/>
      <c r="CKZ26" s="113"/>
      <c r="CLE26" s="113"/>
      <c r="CLK26" s="113"/>
      <c r="CLP26" s="113"/>
      <c r="CMA26" s="113"/>
      <c r="CML26" s="113"/>
      <c r="CMW26" s="113"/>
      <c r="CNH26" s="113"/>
      <c r="CNS26" s="113"/>
      <c r="COD26" s="113"/>
      <c r="COO26" s="113"/>
      <c r="COZ26" s="113"/>
      <c r="CPK26" s="113"/>
      <c r="CPV26" s="113"/>
      <c r="CQG26" s="113"/>
      <c r="CQR26" s="113"/>
      <c r="CRC26" s="113"/>
      <c r="CRN26" s="113"/>
      <c r="CRY26" s="113"/>
      <c r="CSJ26" s="113"/>
      <c r="CSU26" s="113"/>
      <c r="CTF26" s="113"/>
      <c r="CTQ26" s="113"/>
      <c r="CUB26" s="113"/>
      <c r="CUM26" s="113"/>
      <c r="CUX26" s="113"/>
      <c r="CVI26" s="113"/>
      <c r="CYS26" s="113"/>
      <c r="CZD26" s="113"/>
      <c r="CZL26" s="113"/>
      <c r="CZW26" s="113"/>
      <c r="DAE26" s="113"/>
      <c r="DAP26" s="113"/>
      <c r="DBA26" s="113"/>
      <c r="DBL26" s="113"/>
      <c r="DBW26" s="113"/>
      <c r="DCF26" s="113"/>
      <c r="DCI26" s="113"/>
    </row>
    <row r="27" spans="1:43 1831:2043 2051:2798" x14ac:dyDescent="0.25">
      <c r="BRN27" s="113"/>
      <c r="BRY27" s="113"/>
      <c r="BSJ27" s="113"/>
      <c r="BSU27" s="113"/>
      <c r="BTF27" s="113"/>
      <c r="BTQ27" s="113"/>
      <c r="BUB27" s="113"/>
      <c r="BUM27" s="113"/>
      <c r="BUX27" s="113"/>
      <c r="BVI27" s="113"/>
      <c r="BVT27" s="113"/>
      <c r="BWE27" s="113"/>
      <c r="BWP27" s="113"/>
      <c r="BXA27" s="113"/>
      <c r="BXL27" s="113"/>
      <c r="BXW27" s="113"/>
      <c r="BYH27" s="113"/>
      <c r="BYS27" s="113"/>
      <c r="BZD27" s="113"/>
      <c r="BZO27" s="113"/>
      <c r="BZZ27" s="113"/>
      <c r="CAK27" s="113"/>
      <c r="CAV27" s="113"/>
      <c r="CBG27" s="113"/>
      <c r="CBR27" s="113"/>
      <c r="CCC27" s="113"/>
      <c r="CCN27" s="113"/>
      <c r="CCY27" s="113"/>
      <c r="CDJ27" s="113"/>
      <c r="CDU27" s="113"/>
      <c r="CEF27" s="113"/>
      <c r="CEQ27" s="113"/>
      <c r="CFB27" s="113"/>
      <c r="CFM27" s="113"/>
      <c r="CFX27" s="113"/>
      <c r="CGI27" s="113"/>
      <c r="CGT27" s="113"/>
      <c r="CHE27" s="113"/>
      <c r="CHP27" s="113"/>
      <c r="CIA27" s="113"/>
      <c r="CIL27" s="113"/>
      <c r="CIW27" s="113"/>
      <c r="CJH27" s="113"/>
      <c r="CJS27" s="113"/>
      <c r="CKD27" s="113"/>
      <c r="CKO27" s="113"/>
      <c r="CKZ27" s="113"/>
      <c r="CLE27" s="113"/>
      <c r="CLK27" s="113"/>
      <c r="CLP27" s="113"/>
      <c r="CMA27" s="113"/>
      <c r="CML27" s="113"/>
      <c r="CMW27" s="113"/>
      <c r="CNH27" s="113"/>
      <c r="CNS27" s="113"/>
      <c r="COD27" s="113"/>
      <c r="COO27" s="113"/>
      <c r="COZ27" s="113"/>
      <c r="CPK27" s="113"/>
      <c r="CPV27" s="113"/>
      <c r="CQG27" s="113"/>
      <c r="CQR27" s="113"/>
      <c r="CRC27" s="113"/>
      <c r="CRN27" s="113"/>
      <c r="CRY27" s="113"/>
      <c r="CSJ27" s="113"/>
      <c r="CSU27" s="113"/>
      <c r="CTF27" s="113"/>
      <c r="CTQ27" s="113"/>
      <c r="CUB27" s="113"/>
      <c r="CUM27" s="113"/>
      <c r="CUX27" s="113"/>
      <c r="CVI27" s="113"/>
      <c r="CYS27" s="113"/>
      <c r="CZD27" s="113"/>
      <c r="CZL27" s="113"/>
      <c r="CZW27" s="113"/>
      <c r="DAE27" s="113"/>
      <c r="DAP27" s="113"/>
      <c r="DBA27" s="113"/>
      <c r="DBL27" s="113"/>
      <c r="DBW27" s="113"/>
      <c r="DCF27" s="113"/>
      <c r="DCI27" s="113"/>
    </row>
    <row r="28" spans="1:43 1831:2043 2051:2798" x14ac:dyDescent="0.25">
      <c r="BRN28" s="113"/>
      <c r="BRY28" s="113"/>
      <c r="BSJ28" s="113"/>
      <c r="BSU28" s="113"/>
      <c r="BTF28" s="113"/>
      <c r="BTQ28" s="113"/>
      <c r="BUB28" s="113"/>
      <c r="BUM28" s="113"/>
      <c r="BUX28" s="113"/>
      <c r="BVI28" s="113"/>
      <c r="BVT28" s="113"/>
      <c r="BWE28" s="113"/>
      <c r="BWP28" s="113"/>
      <c r="BXA28" s="113"/>
      <c r="BXL28" s="113"/>
      <c r="BXW28" s="113"/>
      <c r="BYH28" s="113"/>
      <c r="BYS28" s="113"/>
      <c r="BZD28" s="113"/>
      <c r="BZO28" s="113"/>
      <c r="BZZ28" s="113"/>
      <c r="CAK28" s="113"/>
      <c r="CAV28" s="113"/>
      <c r="CBG28" s="113"/>
      <c r="CBR28" s="113"/>
      <c r="CCC28" s="113"/>
      <c r="CCN28" s="113"/>
      <c r="CCY28" s="113"/>
      <c r="CDJ28" s="113"/>
      <c r="CDU28" s="113"/>
      <c r="CEF28" s="113"/>
      <c r="CEQ28" s="113"/>
      <c r="CFB28" s="113"/>
      <c r="CFM28" s="113"/>
      <c r="CFX28" s="113"/>
      <c r="CGI28" s="113"/>
      <c r="CGT28" s="113"/>
      <c r="CHE28" s="113"/>
      <c r="CHP28" s="113"/>
      <c r="CIA28" s="113"/>
      <c r="CIL28" s="113"/>
      <c r="CIW28" s="113"/>
      <c r="CJH28" s="113"/>
      <c r="CJS28" s="113"/>
      <c r="CKD28" s="113"/>
      <c r="CKO28" s="113"/>
      <c r="CKZ28" s="113"/>
      <c r="CLE28" s="113"/>
      <c r="CLK28" s="113"/>
      <c r="CLP28" s="113"/>
      <c r="CMA28" s="113"/>
      <c r="CML28" s="113"/>
      <c r="CMW28" s="113"/>
      <c r="CNH28" s="113"/>
      <c r="CNS28" s="113"/>
      <c r="COD28" s="113"/>
      <c r="COO28" s="113"/>
      <c r="COZ28" s="113"/>
      <c r="CPK28" s="113"/>
      <c r="CPV28" s="113"/>
      <c r="CQG28" s="113"/>
      <c r="CQR28" s="113"/>
      <c r="CRC28" s="113"/>
      <c r="CRN28" s="113"/>
      <c r="CRY28" s="113"/>
      <c r="CSJ28" s="113"/>
      <c r="CSU28" s="113"/>
      <c r="CTF28" s="113"/>
      <c r="CTQ28" s="113"/>
      <c r="CUB28" s="113"/>
      <c r="CUM28" s="113"/>
      <c r="CUX28" s="113"/>
      <c r="CVI28" s="113"/>
      <c r="CYS28" s="113"/>
      <c r="CZD28" s="113"/>
      <c r="CZL28" s="113"/>
      <c r="CZW28" s="113"/>
      <c r="DAE28" s="113"/>
      <c r="DAP28" s="113"/>
      <c r="DBA28" s="113"/>
      <c r="DBL28" s="113"/>
      <c r="DBW28" s="113"/>
      <c r="DCF28" s="113"/>
      <c r="DCI28" s="113"/>
    </row>
    <row r="29" spans="1:43 1831:2043 2051:2798" x14ac:dyDescent="0.25">
      <c r="BRN29" s="113"/>
      <c r="BRY29" s="113"/>
      <c r="BSJ29" s="113"/>
      <c r="BSU29" s="113"/>
      <c r="BTF29" s="113"/>
      <c r="BTQ29" s="113"/>
      <c r="BUB29" s="113"/>
      <c r="BUM29" s="113"/>
      <c r="BUX29" s="113"/>
      <c r="BVI29" s="113"/>
      <c r="BVT29" s="113"/>
      <c r="BWE29" s="113"/>
      <c r="BWP29" s="113"/>
      <c r="BXA29" s="113"/>
      <c r="BXL29" s="113"/>
      <c r="BXW29" s="113"/>
      <c r="BYH29" s="113"/>
      <c r="BYS29" s="113"/>
      <c r="BZD29" s="113"/>
      <c r="BZO29" s="113"/>
      <c r="BZZ29" s="113"/>
      <c r="CAK29" s="113"/>
      <c r="CAV29" s="113"/>
      <c r="CBG29" s="113"/>
      <c r="CBR29" s="113"/>
      <c r="CCC29" s="113"/>
      <c r="CCN29" s="113"/>
      <c r="CCY29" s="113"/>
      <c r="CDJ29" s="113"/>
      <c r="CDU29" s="113"/>
      <c r="CEF29" s="113"/>
      <c r="CEQ29" s="113"/>
      <c r="CFB29" s="113"/>
      <c r="CFM29" s="113"/>
      <c r="CFX29" s="113"/>
      <c r="CGI29" s="113"/>
      <c r="CGT29" s="113"/>
      <c r="CHE29" s="113"/>
      <c r="CHP29" s="113"/>
      <c r="CIA29" s="113"/>
      <c r="CIL29" s="113"/>
      <c r="CIW29" s="113"/>
      <c r="CJH29" s="113"/>
      <c r="CJS29" s="113"/>
      <c r="CKD29" s="113"/>
      <c r="CKO29" s="113"/>
      <c r="CKZ29" s="113"/>
      <c r="CLE29" s="113"/>
      <c r="CLK29" s="113"/>
      <c r="CLP29" s="113"/>
      <c r="CMA29" s="113"/>
      <c r="CML29" s="113"/>
      <c r="CMW29" s="113"/>
      <c r="CNH29" s="113"/>
      <c r="CNS29" s="113"/>
      <c r="COD29" s="113"/>
      <c r="COO29" s="113"/>
      <c r="COZ29" s="113"/>
      <c r="CPK29" s="113"/>
      <c r="CPV29" s="113"/>
      <c r="CQG29" s="113"/>
      <c r="CQR29" s="113"/>
      <c r="CRC29" s="113"/>
      <c r="CRN29" s="113"/>
      <c r="CRY29" s="113"/>
      <c r="CSJ29" s="113"/>
      <c r="CSU29" s="113"/>
      <c r="CTF29" s="113"/>
      <c r="CTQ29" s="113"/>
      <c r="CUB29" s="113"/>
      <c r="CUM29" s="113"/>
      <c r="CUX29" s="113"/>
      <c r="CVI29" s="113"/>
      <c r="CYS29" s="113"/>
      <c r="CZD29" s="113"/>
      <c r="CZL29" s="113"/>
      <c r="CZW29" s="113"/>
      <c r="DAE29" s="113"/>
      <c r="DAP29" s="113"/>
      <c r="DBA29" s="113"/>
      <c r="DBL29" s="113"/>
      <c r="DBW29" s="113"/>
      <c r="DCF29" s="113"/>
      <c r="DCI29" s="113"/>
    </row>
    <row r="30" spans="1:43 1831:2043 2051:2798" x14ac:dyDescent="0.25">
      <c r="BRN30" s="113"/>
      <c r="BRY30" s="113"/>
      <c r="BSJ30" s="113"/>
      <c r="BSU30" s="113"/>
      <c r="BTF30" s="113"/>
      <c r="BTQ30" s="113"/>
      <c r="BUB30" s="113"/>
      <c r="BUM30" s="113"/>
      <c r="BUX30" s="113"/>
      <c r="BVI30" s="113"/>
      <c r="BVT30" s="113"/>
      <c r="BWE30" s="113"/>
      <c r="BWP30" s="113"/>
      <c r="BXA30" s="113"/>
      <c r="BXL30" s="113"/>
      <c r="BXW30" s="113"/>
      <c r="BYH30" s="113"/>
      <c r="BYS30" s="113"/>
      <c r="BZD30" s="113"/>
      <c r="BZO30" s="113"/>
      <c r="BZZ30" s="113"/>
      <c r="CAK30" s="113"/>
      <c r="CAV30" s="113"/>
      <c r="CBG30" s="113"/>
      <c r="CBR30" s="113"/>
      <c r="CCC30" s="113"/>
      <c r="CCN30" s="113"/>
      <c r="CCY30" s="113"/>
      <c r="CDJ30" s="113"/>
      <c r="CDU30" s="113"/>
      <c r="CEF30" s="113"/>
      <c r="CEQ30" s="113"/>
      <c r="CFB30" s="113"/>
      <c r="CFM30" s="113"/>
      <c r="CFX30" s="113"/>
      <c r="CGI30" s="113"/>
      <c r="CGT30" s="113"/>
      <c r="CHE30" s="113"/>
      <c r="CHP30" s="113"/>
      <c r="CIA30" s="113"/>
      <c r="CIL30" s="113"/>
      <c r="CIW30" s="113"/>
      <c r="CJH30" s="113"/>
      <c r="CJS30" s="113"/>
      <c r="CKD30" s="113"/>
      <c r="CKO30" s="113"/>
      <c r="CKZ30" s="113"/>
      <c r="CLE30" s="113"/>
      <c r="CLK30" s="113"/>
      <c r="CLP30" s="113"/>
      <c r="CMA30" s="113"/>
      <c r="CML30" s="113"/>
      <c r="CMW30" s="113"/>
      <c r="CNH30" s="113"/>
      <c r="CNS30" s="113"/>
      <c r="COD30" s="113"/>
      <c r="COO30" s="113"/>
      <c r="COZ30" s="113"/>
      <c r="CPK30" s="113"/>
      <c r="CPV30" s="113"/>
      <c r="CQG30" s="113"/>
      <c r="CQR30" s="113"/>
      <c r="CRC30" s="113"/>
      <c r="CRN30" s="113"/>
      <c r="CRY30" s="113"/>
      <c r="CSJ30" s="113"/>
      <c r="CSU30" s="113"/>
      <c r="CTF30" s="113"/>
      <c r="CTQ30" s="113"/>
      <c r="CUB30" s="113"/>
      <c r="CUM30" s="113"/>
      <c r="CUX30" s="113"/>
      <c r="CVI30" s="113"/>
      <c r="CYS30" s="113"/>
      <c r="CZD30" s="113"/>
      <c r="CZL30" s="113"/>
      <c r="CZW30" s="113"/>
      <c r="DAE30" s="113"/>
      <c r="DAP30" s="113"/>
      <c r="DBA30" s="113"/>
      <c r="DBL30" s="113"/>
      <c r="DBW30" s="113"/>
      <c r="DCF30" s="113"/>
      <c r="DCI30" s="113"/>
    </row>
    <row r="31" spans="1:43 1831:2043 2051:2798" x14ac:dyDescent="0.25">
      <c r="BRN31" s="113"/>
      <c r="BRY31" s="113"/>
      <c r="BSJ31" s="113"/>
      <c r="BSU31" s="113"/>
      <c r="BTF31" s="113"/>
      <c r="BTQ31" s="113"/>
      <c r="BUB31" s="113"/>
      <c r="BUM31" s="113"/>
      <c r="BUX31" s="113"/>
      <c r="BVI31" s="113"/>
      <c r="BVT31" s="113"/>
      <c r="BWE31" s="113"/>
      <c r="BWP31" s="113"/>
      <c r="BXA31" s="113"/>
      <c r="BXL31" s="113"/>
      <c r="BXW31" s="113"/>
      <c r="BYH31" s="113"/>
      <c r="BYS31" s="113"/>
      <c r="BZD31" s="113"/>
      <c r="BZO31" s="113"/>
      <c r="BZZ31" s="113"/>
      <c r="CAK31" s="113"/>
      <c r="CAV31" s="113"/>
      <c r="CBG31" s="113"/>
      <c r="CBR31" s="113"/>
      <c r="CCC31" s="113"/>
      <c r="CCN31" s="113"/>
      <c r="CCY31" s="113"/>
      <c r="CDJ31" s="113"/>
      <c r="CDU31" s="113"/>
      <c r="CEF31" s="113"/>
      <c r="CEQ31" s="113"/>
      <c r="CFB31" s="113"/>
      <c r="CFM31" s="113"/>
      <c r="CFX31" s="113"/>
      <c r="CGI31" s="113"/>
      <c r="CGT31" s="113"/>
      <c r="CHE31" s="113"/>
      <c r="CHP31" s="113"/>
      <c r="CIA31" s="113"/>
      <c r="CIL31" s="113"/>
      <c r="CIW31" s="113"/>
      <c r="CJH31" s="113"/>
      <c r="CJS31" s="113"/>
      <c r="CKD31" s="113"/>
      <c r="CKO31" s="113"/>
      <c r="CKZ31" s="113"/>
      <c r="CLE31" s="113"/>
      <c r="CLK31" s="113"/>
      <c r="CLP31" s="113"/>
      <c r="CMA31" s="113"/>
      <c r="CML31" s="113"/>
      <c r="CMW31" s="113"/>
      <c r="CNH31" s="113"/>
      <c r="CNS31" s="113"/>
      <c r="COD31" s="113"/>
      <c r="COO31" s="113"/>
      <c r="COZ31" s="113"/>
      <c r="CPK31" s="113"/>
      <c r="CPV31" s="113"/>
      <c r="CQG31" s="113"/>
      <c r="CQR31" s="113"/>
      <c r="CRC31" s="113"/>
      <c r="CRN31" s="113"/>
      <c r="CRY31" s="113"/>
      <c r="CSJ31" s="113"/>
      <c r="CSU31" s="113"/>
      <c r="CTF31" s="113"/>
      <c r="CTQ31" s="113"/>
      <c r="CUB31" s="113"/>
      <c r="CUM31" s="113"/>
      <c r="CUX31" s="113"/>
      <c r="CVI31" s="113"/>
      <c r="CYS31" s="113"/>
      <c r="CZD31" s="113"/>
      <c r="CZL31" s="113"/>
      <c r="CZW31" s="113"/>
      <c r="DAE31" s="113"/>
      <c r="DAP31" s="113"/>
      <c r="DBA31" s="113"/>
      <c r="DBL31" s="113"/>
      <c r="DBW31" s="113"/>
      <c r="DCF31" s="113"/>
      <c r="DCI31" s="113"/>
    </row>
    <row r="32" spans="1:43 1831:2043 2051:2798" x14ac:dyDescent="0.25">
      <c r="BRN32" s="113"/>
      <c r="BRY32" s="113"/>
      <c r="BSJ32" s="113"/>
      <c r="BSU32" s="113"/>
      <c r="BTF32" s="113"/>
      <c r="BTQ32" s="113"/>
      <c r="BUB32" s="113"/>
      <c r="BUM32" s="113"/>
      <c r="BUX32" s="113"/>
      <c r="BVI32" s="113"/>
      <c r="BVT32" s="113"/>
      <c r="BWE32" s="113"/>
      <c r="BWP32" s="113"/>
      <c r="BXA32" s="113"/>
      <c r="BXL32" s="113"/>
      <c r="BXW32" s="113"/>
      <c r="BYH32" s="113"/>
      <c r="BYS32" s="113"/>
      <c r="BZD32" s="113"/>
      <c r="BZO32" s="113"/>
      <c r="BZZ32" s="113"/>
      <c r="CAK32" s="113"/>
      <c r="CAV32" s="113"/>
      <c r="CBG32" s="113"/>
      <c r="CBR32" s="113"/>
      <c r="CCC32" s="113"/>
      <c r="CCN32" s="113"/>
      <c r="CCY32" s="113"/>
      <c r="CDJ32" s="113"/>
      <c r="CDU32" s="113"/>
      <c r="CEF32" s="113"/>
      <c r="CEQ32" s="113"/>
      <c r="CFB32" s="113"/>
      <c r="CFM32" s="113"/>
      <c r="CFX32" s="113"/>
      <c r="CGI32" s="113"/>
      <c r="CGT32" s="113"/>
      <c r="CHE32" s="113"/>
      <c r="CHP32" s="113"/>
      <c r="CIA32" s="113"/>
      <c r="CIL32" s="113"/>
      <c r="CIW32" s="113"/>
      <c r="CJH32" s="113"/>
      <c r="CJS32" s="113"/>
      <c r="CKD32" s="113"/>
      <c r="CKO32" s="113"/>
      <c r="CKZ32" s="113"/>
      <c r="CLE32" s="113"/>
      <c r="CLK32" s="113"/>
      <c r="CLP32" s="113"/>
      <c r="CMA32" s="113"/>
      <c r="CML32" s="113"/>
      <c r="CMW32" s="113"/>
      <c r="CNH32" s="113"/>
      <c r="CNS32" s="113"/>
      <c r="COD32" s="113"/>
      <c r="COO32" s="113"/>
      <c r="COZ32" s="113"/>
      <c r="CPK32" s="113"/>
      <c r="CPV32" s="113"/>
      <c r="CQG32" s="113"/>
      <c r="CQR32" s="113"/>
      <c r="CRC32" s="113"/>
      <c r="CRN32" s="113"/>
      <c r="CRY32" s="113"/>
      <c r="CSJ32" s="113"/>
      <c r="CSU32" s="113"/>
      <c r="CTF32" s="113"/>
      <c r="CTQ32" s="113"/>
      <c r="CUB32" s="113"/>
      <c r="CUM32" s="113"/>
      <c r="CUX32" s="113"/>
      <c r="CVI32" s="113"/>
      <c r="CYS32" s="113"/>
      <c r="CZD32" s="113"/>
      <c r="CZL32" s="113"/>
      <c r="CZW32" s="113"/>
      <c r="DAE32" s="113"/>
      <c r="DAP32" s="113"/>
      <c r="DBA32" s="113"/>
      <c r="DBL32" s="113"/>
      <c r="DBW32" s="113"/>
      <c r="DCF32" s="113"/>
      <c r="DCI32" s="113"/>
    </row>
    <row r="33" spans="1834:2043 2054:2791" x14ac:dyDescent="0.25">
      <c r="BRN33" s="113"/>
      <c r="BRY33" s="113"/>
      <c r="BSJ33" s="113"/>
      <c r="BSU33" s="113"/>
      <c r="BTF33" s="113"/>
      <c r="BTQ33" s="113"/>
      <c r="BUB33" s="113"/>
      <c r="BUM33" s="113"/>
      <c r="BUX33" s="113"/>
      <c r="BVI33" s="113"/>
      <c r="BVT33" s="113"/>
      <c r="BWE33" s="113"/>
      <c r="BWP33" s="113"/>
      <c r="BXA33" s="113"/>
      <c r="BXL33" s="113"/>
      <c r="BXW33" s="113"/>
      <c r="BYH33" s="113"/>
      <c r="BYS33" s="113"/>
      <c r="BZD33" s="113"/>
      <c r="BZO33" s="113"/>
      <c r="BZZ33" s="113"/>
      <c r="CAK33" s="113"/>
      <c r="CAV33" s="113"/>
      <c r="CBG33" s="113"/>
      <c r="CBR33" s="113"/>
      <c r="CCC33" s="113"/>
      <c r="CCN33" s="113"/>
      <c r="CCY33" s="113"/>
      <c r="CDJ33" s="113"/>
      <c r="CDU33" s="113"/>
      <c r="CEF33" s="113"/>
      <c r="CEQ33" s="113"/>
      <c r="CFB33" s="113"/>
      <c r="CFM33" s="113"/>
      <c r="CFX33" s="113"/>
      <c r="CGI33" s="113"/>
      <c r="CGT33" s="113"/>
      <c r="CHE33" s="113"/>
      <c r="CHP33" s="113"/>
      <c r="CIA33" s="113"/>
      <c r="CIL33" s="113"/>
      <c r="CIW33" s="113"/>
      <c r="CJH33" s="113"/>
      <c r="CJS33" s="113"/>
      <c r="CKD33" s="113"/>
      <c r="CKO33" s="113"/>
      <c r="CKZ33" s="113"/>
      <c r="CLE33" s="113"/>
      <c r="CLK33" s="113"/>
      <c r="CLP33" s="113"/>
      <c r="CMA33" s="113"/>
      <c r="CML33" s="113"/>
      <c r="CMW33" s="113"/>
      <c r="CNH33" s="113"/>
      <c r="CNS33" s="113"/>
      <c r="COD33" s="113"/>
      <c r="COO33" s="113"/>
      <c r="COZ33" s="113"/>
      <c r="CPK33" s="113"/>
      <c r="CPV33" s="113"/>
      <c r="CQG33" s="113"/>
      <c r="CQR33" s="113"/>
      <c r="CRC33" s="113"/>
      <c r="CRN33" s="113"/>
      <c r="CRY33" s="113"/>
      <c r="CSJ33" s="113"/>
      <c r="CSU33" s="113"/>
      <c r="CTF33" s="113"/>
      <c r="CTQ33" s="113"/>
      <c r="CUB33" s="113"/>
      <c r="CUM33" s="113"/>
      <c r="CUX33" s="113"/>
      <c r="CVI33" s="113"/>
      <c r="CYS33" s="113"/>
      <c r="CZD33" s="113"/>
      <c r="CZL33" s="113"/>
      <c r="CZW33" s="113"/>
      <c r="DAE33" s="113"/>
      <c r="DAP33" s="113"/>
      <c r="DBA33" s="113"/>
      <c r="DBL33" s="113"/>
      <c r="DBW33" s="113"/>
      <c r="DCF33" s="113"/>
      <c r="DCI33" s="113"/>
    </row>
    <row r="34" spans="1834:2043 2054:2791" x14ac:dyDescent="0.25">
      <c r="BRN34" s="113"/>
      <c r="BRY34" s="113"/>
      <c r="BSJ34" s="113"/>
      <c r="BSU34" s="113"/>
      <c r="BTF34" s="113"/>
      <c r="BTQ34" s="113"/>
      <c r="BUB34" s="113"/>
      <c r="BUM34" s="113"/>
      <c r="BUX34" s="113"/>
      <c r="BVI34" s="113"/>
      <c r="BVT34" s="113"/>
      <c r="BWE34" s="113"/>
      <c r="BWP34" s="113"/>
      <c r="BXA34" s="113"/>
      <c r="BXL34" s="113"/>
      <c r="BXW34" s="113"/>
      <c r="BYH34" s="113"/>
      <c r="BYS34" s="113"/>
      <c r="BZD34" s="113"/>
      <c r="BZO34" s="113"/>
      <c r="BZZ34" s="113"/>
      <c r="CAK34" s="113"/>
      <c r="CAV34" s="113"/>
      <c r="CBG34" s="113"/>
      <c r="CBR34" s="113"/>
      <c r="CCC34" s="113"/>
      <c r="CCN34" s="113"/>
      <c r="CCY34" s="113"/>
      <c r="CDJ34" s="113"/>
      <c r="CDU34" s="113"/>
      <c r="CEF34" s="113"/>
      <c r="CEQ34" s="113"/>
      <c r="CFB34" s="113"/>
      <c r="CFM34" s="113"/>
      <c r="CFX34" s="113"/>
      <c r="CGI34" s="113"/>
      <c r="CGT34" s="113"/>
      <c r="CHE34" s="113"/>
      <c r="CHP34" s="113"/>
      <c r="CIA34" s="113"/>
      <c r="CIL34" s="113"/>
      <c r="CIW34" s="113"/>
      <c r="CJH34" s="113"/>
      <c r="CJS34" s="113"/>
      <c r="CKD34" s="113"/>
      <c r="CKO34" s="113"/>
      <c r="CKZ34" s="113"/>
      <c r="CLE34" s="113"/>
      <c r="CLK34" s="113"/>
      <c r="CLP34" s="113"/>
      <c r="CMA34" s="113"/>
      <c r="CML34" s="113"/>
      <c r="CMW34" s="113"/>
      <c r="CNH34" s="113"/>
      <c r="CNS34" s="113"/>
      <c r="COD34" s="113"/>
      <c r="COO34" s="113"/>
      <c r="COZ34" s="113"/>
      <c r="CPK34" s="113"/>
      <c r="CPV34" s="113"/>
      <c r="CQG34" s="113"/>
      <c r="CQR34" s="113"/>
      <c r="CRC34" s="113"/>
      <c r="CRN34" s="113"/>
      <c r="CRY34" s="113"/>
      <c r="CSJ34" s="113"/>
      <c r="CSU34" s="113"/>
      <c r="CTF34" s="113"/>
      <c r="CTQ34" s="113"/>
      <c r="CUB34" s="113"/>
      <c r="CUM34" s="113"/>
      <c r="CUX34" s="113"/>
      <c r="CVI34" s="113"/>
      <c r="CYS34" s="113"/>
      <c r="CZD34" s="113"/>
      <c r="CZL34" s="113"/>
      <c r="CZW34" s="113"/>
      <c r="DAE34" s="113"/>
      <c r="DAP34" s="113"/>
      <c r="DBA34" s="113"/>
      <c r="DBL34" s="113"/>
      <c r="DBW34" s="113"/>
      <c r="DCF34" s="113"/>
      <c r="DCI34" s="113"/>
    </row>
    <row r="35" spans="1834:2043 2054:2791" x14ac:dyDescent="0.25">
      <c r="BRN35" s="113"/>
      <c r="BRY35" s="113"/>
      <c r="BSJ35" s="113"/>
      <c r="BSU35" s="113"/>
      <c r="BTF35" s="113"/>
      <c r="BTQ35" s="113"/>
      <c r="BUB35" s="113"/>
      <c r="BUM35" s="113"/>
      <c r="BUX35" s="113"/>
      <c r="BVI35" s="113"/>
      <c r="BVT35" s="113"/>
      <c r="BWE35" s="113"/>
      <c r="BWP35" s="113"/>
      <c r="BXA35" s="113"/>
      <c r="BXL35" s="113"/>
      <c r="BXW35" s="113"/>
      <c r="BYH35" s="113"/>
      <c r="BYS35" s="113"/>
      <c r="BZD35" s="113"/>
      <c r="BZO35" s="113"/>
      <c r="BZZ35" s="113"/>
      <c r="CAK35" s="113"/>
      <c r="CAV35" s="113"/>
      <c r="CBG35" s="113"/>
      <c r="CBR35" s="113"/>
      <c r="CCC35" s="113"/>
      <c r="CCN35" s="113"/>
      <c r="CCY35" s="113"/>
      <c r="CDJ35" s="113"/>
      <c r="CDU35" s="113"/>
      <c r="CEF35" s="113"/>
      <c r="CEQ35" s="113"/>
      <c r="CFB35" s="113"/>
      <c r="CFM35" s="113"/>
      <c r="CFX35" s="113"/>
      <c r="CGI35" s="113"/>
      <c r="CGT35" s="113"/>
      <c r="CHE35" s="113"/>
      <c r="CHP35" s="113"/>
      <c r="CIA35" s="113"/>
      <c r="CIL35" s="113"/>
      <c r="CIW35" s="113"/>
      <c r="CJH35" s="113"/>
      <c r="CJS35" s="113"/>
      <c r="CKD35" s="113"/>
      <c r="CKO35" s="113"/>
      <c r="CKZ35" s="113"/>
      <c r="CLE35" s="113"/>
      <c r="CLK35" s="113"/>
      <c r="CLP35" s="113"/>
      <c r="CMA35" s="113"/>
      <c r="CML35" s="113"/>
      <c r="CMW35" s="113"/>
      <c r="CNH35" s="113"/>
      <c r="CNS35" s="113"/>
      <c r="COD35" s="113"/>
      <c r="COO35" s="113"/>
      <c r="COZ35" s="113"/>
      <c r="CPK35" s="113"/>
      <c r="CPV35" s="113"/>
      <c r="CQG35" s="113"/>
      <c r="CQR35" s="113"/>
      <c r="CRC35" s="113"/>
      <c r="CRN35" s="113"/>
      <c r="CRY35" s="113"/>
      <c r="CSJ35" s="113"/>
      <c r="CSU35" s="113"/>
      <c r="CTF35" s="113"/>
      <c r="CTQ35" s="113"/>
      <c r="CUB35" s="113"/>
      <c r="CUM35" s="113"/>
      <c r="CUX35" s="113"/>
      <c r="CVI35" s="113"/>
      <c r="CYS35" s="113"/>
      <c r="CZD35" s="113"/>
      <c r="CZL35" s="113"/>
      <c r="CZW35" s="113"/>
      <c r="DAE35" s="113"/>
      <c r="DAP35" s="113"/>
      <c r="DBA35" s="113"/>
      <c r="DBL35" s="113"/>
      <c r="DBW35" s="113"/>
      <c r="DCF35" s="113"/>
      <c r="DCI35" s="113"/>
    </row>
    <row r="36" spans="1834:2043 2054:2791" x14ac:dyDescent="0.25">
      <c r="BRN36" s="113"/>
      <c r="BRY36" s="113"/>
      <c r="BSJ36" s="113"/>
      <c r="BSU36" s="113"/>
      <c r="BTF36" s="113"/>
      <c r="BTQ36" s="113"/>
      <c r="BUB36" s="113"/>
      <c r="BUM36" s="113"/>
      <c r="BUX36" s="113"/>
      <c r="BVI36" s="113"/>
      <c r="BVT36" s="113"/>
      <c r="BWE36" s="113"/>
      <c r="BWP36" s="113"/>
      <c r="BXA36" s="113"/>
      <c r="BXL36" s="113"/>
      <c r="BXW36" s="113"/>
      <c r="BYH36" s="113"/>
      <c r="BYS36" s="113"/>
      <c r="BZD36" s="113"/>
      <c r="BZO36" s="113"/>
      <c r="BZZ36" s="113"/>
      <c r="CAK36" s="113"/>
      <c r="CAV36" s="113"/>
      <c r="CBG36" s="113"/>
      <c r="CBR36" s="113"/>
      <c r="CCC36" s="113"/>
      <c r="CCN36" s="113"/>
      <c r="CCY36" s="113"/>
      <c r="CDJ36" s="113"/>
      <c r="CDU36" s="113"/>
      <c r="CEF36" s="113"/>
      <c r="CEQ36" s="113"/>
      <c r="CFB36" s="113"/>
      <c r="CFM36" s="113"/>
      <c r="CFX36" s="113"/>
      <c r="CGI36" s="113"/>
      <c r="CGT36" s="113"/>
      <c r="CHE36" s="113"/>
      <c r="CHP36" s="113"/>
      <c r="CIA36" s="113"/>
      <c r="CIL36" s="113"/>
      <c r="CIW36" s="113"/>
      <c r="CJH36" s="113"/>
      <c r="CJS36" s="113"/>
      <c r="CKD36" s="113"/>
      <c r="CKO36" s="113"/>
      <c r="CKZ36" s="113"/>
      <c r="CLE36" s="113"/>
      <c r="CLK36" s="113"/>
      <c r="CLP36" s="113"/>
      <c r="CMA36" s="113"/>
      <c r="CML36" s="113"/>
      <c r="CMW36" s="113"/>
      <c r="CNH36" s="113"/>
      <c r="CNS36" s="113"/>
      <c r="COD36" s="113"/>
      <c r="COO36" s="113"/>
      <c r="COZ36" s="113"/>
      <c r="CPK36" s="113"/>
      <c r="CPV36" s="113"/>
      <c r="CQG36" s="113"/>
      <c r="CQR36" s="113"/>
      <c r="CRC36" s="113"/>
      <c r="CRN36" s="113"/>
      <c r="CRY36" s="113"/>
      <c r="CSJ36" s="113"/>
      <c r="CSU36" s="113"/>
      <c r="CTF36" s="113"/>
      <c r="CTQ36" s="113"/>
      <c r="CUB36" s="113"/>
      <c r="CUM36" s="113"/>
      <c r="CUX36" s="113"/>
      <c r="CVI36" s="113"/>
      <c r="CYS36" s="113"/>
      <c r="CZD36" s="113"/>
      <c r="CZL36" s="113"/>
      <c r="CZW36" s="113"/>
      <c r="DAE36" s="113"/>
      <c r="DAP36" s="113"/>
      <c r="DBA36" s="113"/>
      <c r="DBL36" s="113"/>
      <c r="DBW36" s="113"/>
      <c r="DCF36" s="113"/>
      <c r="DCI36" s="113"/>
    </row>
    <row r="37" spans="1834:2043 2054:2791" x14ac:dyDescent="0.25">
      <c r="BRN37" s="113"/>
      <c r="BRY37" s="113"/>
      <c r="BSJ37" s="113"/>
      <c r="BSU37" s="113"/>
      <c r="BTF37" s="113"/>
      <c r="BTQ37" s="113"/>
      <c r="BUB37" s="113"/>
      <c r="BUM37" s="113"/>
      <c r="BUX37" s="113"/>
      <c r="BVI37" s="113"/>
      <c r="BVT37" s="113"/>
      <c r="BWE37" s="113"/>
      <c r="BWP37" s="113"/>
      <c r="BXA37" s="113"/>
      <c r="BXL37" s="113"/>
      <c r="BXW37" s="113"/>
      <c r="BYH37" s="113"/>
      <c r="BYS37" s="113"/>
      <c r="BZD37" s="113"/>
      <c r="BZO37" s="113"/>
      <c r="BZZ37" s="113"/>
      <c r="CAK37" s="113"/>
      <c r="CAV37" s="113"/>
      <c r="CBG37" s="113"/>
      <c r="CBR37" s="113"/>
      <c r="CCC37" s="113"/>
      <c r="CCN37" s="113"/>
      <c r="CCY37" s="113"/>
      <c r="CDJ37" s="113"/>
      <c r="CDU37" s="113"/>
      <c r="CEF37" s="113"/>
      <c r="CEQ37" s="113"/>
      <c r="CFB37" s="113"/>
      <c r="CFM37" s="113"/>
      <c r="CFX37" s="113"/>
      <c r="CGI37" s="113"/>
      <c r="CGT37" s="113"/>
      <c r="CHE37" s="113"/>
      <c r="CHP37" s="113"/>
      <c r="CIA37" s="113"/>
      <c r="CIL37" s="113"/>
      <c r="CIW37" s="113"/>
      <c r="CJH37" s="113"/>
      <c r="CJS37" s="113"/>
      <c r="CKD37" s="113"/>
      <c r="CKO37" s="113"/>
      <c r="CKZ37" s="113"/>
      <c r="CLE37" s="113"/>
      <c r="CLK37" s="113"/>
      <c r="CLP37" s="113"/>
      <c r="CMA37" s="113"/>
      <c r="CML37" s="113"/>
      <c r="CMW37" s="113"/>
      <c r="CNH37" s="113"/>
      <c r="CNS37" s="113"/>
      <c r="COD37" s="113"/>
      <c r="COO37" s="113"/>
      <c r="COZ37" s="113"/>
      <c r="CPK37" s="113"/>
      <c r="CPV37" s="113"/>
      <c r="CQG37" s="113"/>
      <c r="CQR37" s="113"/>
      <c r="CRC37" s="113"/>
      <c r="CRN37" s="113"/>
      <c r="CRY37" s="113"/>
      <c r="CSJ37" s="113"/>
      <c r="CSU37" s="113"/>
      <c r="CTF37" s="113"/>
      <c r="CTQ37" s="113"/>
      <c r="CUB37" s="113"/>
      <c r="CUM37" s="113"/>
      <c r="CUX37" s="113"/>
      <c r="CVI37" s="113"/>
      <c r="CYS37" s="113"/>
      <c r="CZD37" s="113"/>
      <c r="CZL37" s="113"/>
      <c r="CZW37" s="113"/>
      <c r="DAE37" s="113"/>
      <c r="DAP37" s="113"/>
      <c r="DBA37" s="113"/>
      <c r="DBL37" s="113"/>
      <c r="DBW37" s="113"/>
      <c r="DCF37" s="113"/>
      <c r="DCI37" s="113"/>
    </row>
    <row r="38" spans="1834:2043 2054:2791" x14ac:dyDescent="0.25">
      <c r="BRN38" s="113"/>
      <c r="BRY38" s="113"/>
      <c r="BSJ38" s="113"/>
      <c r="BSU38" s="113"/>
      <c r="BTF38" s="113"/>
      <c r="BTQ38" s="113"/>
      <c r="BUB38" s="113"/>
      <c r="BUM38" s="113"/>
      <c r="BUX38" s="113"/>
      <c r="BVI38" s="113"/>
      <c r="BVT38" s="113"/>
      <c r="BWE38" s="113"/>
      <c r="BWP38" s="113"/>
      <c r="BXA38" s="113"/>
      <c r="BXL38" s="113"/>
      <c r="BXW38" s="113"/>
      <c r="BYH38" s="113"/>
      <c r="BYS38" s="113"/>
      <c r="BZD38" s="113"/>
      <c r="BZO38" s="113"/>
      <c r="BZZ38" s="113"/>
      <c r="CAK38" s="113"/>
      <c r="CAV38" s="113"/>
      <c r="CBG38" s="113"/>
      <c r="CBR38" s="113"/>
      <c r="CCC38" s="113"/>
      <c r="CCN38" s="113"/>
      <c r="CCY38" s="113"/>
      <c r="CDJ38" s="113"/>
      <c r="CDU38" s="113"/>
      <c r="CEF38" s="113"/>
      <c r="CEQ38" s="113"/>
      <c r="CFB38" s="113"/>
      <c r="CFM38" s="113"/>
      <c r="CFX38" s="113"/>
      <c r="CGI38" s="113"/>
      <c r="CGT38" s="113"/>
      <c r="CHE38" s="113"/>
      <c r="CHP38" s="113"/>
      <c r="CIA38" s="113"/>
      <c r="CIL38" s="113"/>
      <c r="CIW38" s="113"/>
      <c r="CJH38" s="113"/>
      <c r="CJS38" s="113"/>
      <c r="CKD38" s="113"/>
      <c r="CKO38" s="113"/>
      <c r="CKZ38" s="113"/>
      <c r="CLE38" s="113"/>
      <c r="CLK38" s="113"/>
      <c r="CLP38" s="113"/>
      <c r="CMA38" s="113"/>
      <c r="CML38" s="113"/>
      <c r="CMW38" s="113"/>
      <c r="CNH38" s="113"/>
      <c r="CNS38" s="113"/>
      <c r="COD38" s="113"/>
      <c r="COO38" s="113"/>
      <c r="COZ38" s="113"/>
      <c r="CPK38" s="113"/>
      <c r="CPV38" s="113"/>
      <c r="CQG38" s="113"/>
      <c r="CQR38" s="113"/>
      <c r="CRC38" s="113"/>
      <c r="CRN38" s="113"/>
      <c r="CRY38" s="113"/>
      <c r="CSJ38" s="113"/>
      <c r="CSU38" s="113"/>
      <c r="CTF38" s="113"/>
      <c r="CTQ38" s="113"/>
      <c r="CUB38" s="113"/>
      <c r="CUM38" s="113"/>
      <c r="CUX38" s="113"/>
      <c r="CVI38" s="113"/>
      <c r="CYS38" s="113"/>
      <c r="CZD38" s="113"/>
      <c r="CZL38" s="113"/>
      <c r="CZW38" s="113"/>
      <c r="DAE38" s="113"/>
      <c r="DAP38" s="113"/>
      <c r="DBA38" s="113"/>
      <c r="DBL38" s="113"/>
      <c r="DBW38" s="113"/>
      <c r="DCF38" s="113"/>
      <c r="DCI38" s="113"/>
    </row>
    <row r="39" spans="1834:2043 2054:2791" x14ac:dyDescent="0.25">
      <c r="BRN39" s="113"/>
      <c r="BRY39" s="113"/>
      <c r="BSJ39" s="113"/>
      <c r="BSU39" s="113"/>
      <c r="BTF39" s="113"/>
      <c r="BTQ39" s="113"/>
      <c r="BUB39" s="113"/>
      <c r="BUM39" s="113"/>
      <c r="BUX39" s="113"/>
      <c r="BVI39" s="113"/>
      <c r="BVT39" s="113"/>
      <c r="BWE39" s="113"/>
      <c r="BWP39" s="113"/>
      <c r="BXA39" s="113"/>
      <c r="BXL39" s="113"/>
      <c r="BXW39" s="113"/>
      <c r="BYH39" s="113"/>
      <c r="BYS39" s="113"/>
      <c r="BZD39" s="113"/>
      <c r="BZO39" s="113"/>
      <c r="BZZ39" s="113"/>
      <c r="CAK39" s="113"/>
      <c r="CAV39" s="113"/>
      <c r="CBG39" s="113"/>
      <c r="CBR39" s="113"/>
      <c r="CCC39" s="113"/>
      <c r="CCN39" s="113"/>
      <c r="CCY39" s="113"/>
      <c r="CDJ39" s="113"/>
      <c r="CDU39" s="113"/>
      <c r="CEF39" s="113"/>
      <c r="CEQ39" s="113"/>
      <c r="CFB39" s="113"/>
      <c r="CFM39" s="113"/>
      <c r="CFX39" s="113"/>
      <c r="CGI39" s="113"/>
      <c r="CGT39" s="113"/>
      <c r="CHE39" s="113"/>
      <c r="CHP39" s="113"/>
      <c r="CIA39" s="113"/>
      <c r="CIL39" s="113"/>
      <c r="CIW39" s="113"/>
      <c r="CJH39" s="113"/>
      <c r="CJS39" s="113"/>
      <c r="CKD39" s="113"/>
      <c r="CKO39" s="113"/>
      <c r="CKZ39" s="113"/>
      <c r="CLE39" s="113"/>
      <c r="CLK39" s="113"/>
      <c r="CLP39" s="113"/>
      <c r="CMA39" s="113"/>
      <c r="CML39" s="113"/>
      <c r="CMW39" s="113"/>
      <c r="CNH39" s="113"/>
      <c r="CNS39" s="113"/>
      <c r="COD39" s="113"/>
      <c r="COO39" s="113"/>
      <c r="COZ39" s="113"/>
      <c r="CPK39" s="113"/>
      <c r="CPV39" s="113"/>
      <c r="CQG39" s="113"/>
      <c r="CQR39" s="113"/>
      <c r="CRC39" s="113"/>
      <c r="CRN39" s="113"/>
      <c r="CRY39" s="113"/>
      <c r="CSJ39" s="113"/>
      <c r="CSU39" s="113"/>
      <c r="CTF39" s="113"/>
      <c r="CTQ39" s="113"/>
      <c r="CUB39" s="113"/>
      <c r="CUM39" s="113"/>
      <c r="CUX39" s="113"/>
      <c r="CVI39" s="113"/>
      <c r="CYS39" s="113"/>
      <c r="CZD39" s="113"/>
      <c r="CZL39" s="113"/>
      <c r="CZW39" s="113"/>
      <c r="DAE39" s="113"/>
      <c r="DAP39" s="113"/>
      <c r="DBA39" s="113"/>
      <c r="DBL39" s="113"/>
      <c r="DBW39" s="113"/>
      <c r="DCF39" s="113"/>
      <c r="DCI39" s="113"/>
    </row>
    <row r="40" spans="1834:2043 2054:2791" x14ac:dyDescent="0.25">
      <c r="BRN40" s="113"/>
      <c r="BRY40" s="113"/>
      <c r="BSJ40" s="113"/>
      <c r="BSU40" s="113"/>
      <c r="BTF40" s="113"/>
      <c r="BTQ40" s="113"/>
      <c r="BUB40" s="113"/>
      <c r="BUM40" s="113"/>
      <c r="BUX40" s="113"/>
      <c r="BVI40" s="113"/>
      <c r="BVT40" s="113"/>
      <c r="BWE40" s="113"/>
      <c r="BWP40" s="113"/>
      <c r="BXA40" s="113"/>
      <c r="BXL40" s="113"/>
      <c r="BXW40" s="113"/>
      <c r="BYH40" s="113"/>
      <c r="BYS40" s="113"/>
      <c r="BZD40" s="113"/>
      <c r="BZO40" s="113"/>
      <c r="BZZ40" s="113"/>
      <c r="CAK40" s="113"/>
      <c r="CAV40" s="113"/>
      <c r="CBG40" s="113"/>
      <c r="CBR40" s="113"/>
      <c r="CCC40" s="113"/>
      <c r="CCN40" s="113"/>
      <c r="CCY40" s="113"/>
      <c r="CDJ40" s="113"/>
      <c r="CDU40" s="113"/>
      <c r="CEF40" s="113"/>
      <c r="CEQ40" s="113"/>
      <c r="CFB40" s="113"/>
      <c r="CFM40" s="113"/>
      <c r="CFX40" s="113"/>
      <c r="CGI40" s="113"/>
      <c r="CGT40" s="113"/>
      <c r="CHE40" s="113"/>
      <c r="CHP40" s="113"/>
      <c r="CIA40" s="113"/>
      <c r="CIL40" s="113"/>
      <c r="CIW40" s="113"/>
      <c r="CJH40" s="113"/>
      <c r="CJS40" s="113"/>
      <c r="CKD40" s="113"/>
      <c r="CKO40" s="113"/>
      <c r="CKZ40" s="113"/>
      <c r="CLE40" s="113"/>
      <c r="CLK40" s="113"/>
      <c r="CLP40" s="113"/>
      <c r="CMA40" s="113"/>
      <c r="CML40" s="113"/>
      <c r="CMW40" s="113"/>
      <c r="CNH40" s="113"/>
      <c r="CNS40" s="113"/>
      <c r="COD40" s="113"/>
      <c r="COO40" s="113"/>
      <c r="COZ40" s="113"/>
      <c r="CPK40" s="113"/>
      <c r="CPV40" s="113"/>
      <c r="CQG40" s="113"/>
      <c r="CQR40" s="113"/>
      <c r="CRC40" s="113"/>
      <c r="CRN40" s="113"/>
      <c r="CRY40" s="113"/>
      <c r="CSJ40" s="113"/>
      <c r="CSU40" s="113"/>
      <c r="CTF40" s="113"/>
      <c r="CTQ40" s="113"/>
      <c r="CUB40" s="113"/>
      <c r="CUM40" s="113"/>
      <c r="CUX40" s="113"/>
      <c r="CVI40" s="113"/>
      <c r="CYS40" s="113"/>
      <c r="CZD40" s="113"/>
      <c r="CZL40" s="113"/>
      <c r="CZW40" s="113"/>
      <c r="DAE40" s="113"/>
      <c r="DAP40" s="113"/>
      <c r="DBA40" s="113"/>
      <c r="DBL40" s="113"/>
      <c r="DBW40" s="113"/>
      <c r="DCF40" s="113"/>
      <c r="DCI40" s="113"/>
    </row>
    <row r="41" spans="1834:2043 2054:2791" x14ac:dyDescent="0.25">
      <c r="BRN41" s="113"/>
      <c r="BRY41" s="113"/>
      <c r="BSJ41" s="113"/>
      <c r="BSU41" s="113"/>
      <c r="BTF41" s="113"/>
      <c r="BTQ41" s="113"/>
      <c r="BUB41" s="113"/>
      <c r="BUM41" s="113"/>
      <c r="BUX41" s="113"/>
      <c r="BVI41" s="113"/>
      <c r="BVT41" s="113"/>
      <c r="BWE41" s="113"/>
      <c r="BWP41" s="113"/>
      <c r="BXA41" s="113"/>
      <c r="BXL41" s="113"/>
      <c r="BXW41" s="113"/>
      <c r="BYH41" s="113"/>
      <c r="BYS41" s="113"/>
      <c r="BZD41" s="113"/>
      <c r="BZO41" s="113"/>
      <c r="BZZ41" s="113"/>
      <c r="CAK41" s="113"/>
      <c r="CAV41" s="113"/>
      <c r="CBG41" s="113"/>
      <c r="CBR41" s="113"/>
      <c r="CCC41" s="113"/>
      <c r="CCN41" s="113"/>
      <c r="CCY41" s="113"/>
      <c r="CDJ41" s="113"/>
      <c r="CDU41" s="113"/>
      <c r="CEF41" s="113"/>
      <c r="CEQ41" s="113"/>
      <c r="CFB41" s="113"/>
      <c r="CFM41" s="113"/>
      <c r="CFX41" s="113"/>
      <c r="CGI41" s="113"/>
      <c r="CGT41" s="113"/>
      <c r="CHE41" s="113"/>
      <c r="CHP41" s="113"/>
      <c r="CIA41" s="113"/>
      <c r="CIL41" s="113"/>
      <c r="CIW41" s="113"/>
      <c r="CJH41" s="113"/>
      <c r="CJS41" s="113"/>
      <c r="CKD41" s="113"/>
      <c r="CKO41" s="113"/>
      <c r="CKZ41" s="113"/>
      <c r="CLE41" s="113"/>
      <c r="CLK41" s="113"/>
      <c r="CLP41" s="113"/>
      <c r="CMA41" s="113"/>
      <c r="CML41" s="113"/>
      <c r="CMW41" s="113"/>
      <c r="CNH41" s="113"/>
      <c r="CNS41" s="113"/>
      <c r="COD41" s="113"/>
      <c r="COO41" s="113"/>
      <c r="COZ41" s="113"/>
      <c r="CPK41" s="113"/>
      <c r="CPV41" s="113"/>
      <c r="CQG41" s="113"/>
      <c r="CQR41" s="113"/>
      <c r="CRC41" s="113"/>
      <c r="CRN41" s="113"/>
      <c r="CRY41" s="113"/>
      <c r="CSJ41" s="113"/>
      <c r="CSU41" s="113"/>
      <c r="CTF41" s="113"/>
      <c r="CTQ41" s="113"/>
      <c r="CUB41" s="113"/>
      <c r="CUM41" s="113"/>
      <c r="CUX41" s="113"/>
      <c r="CVI41" s="113"/>
      <c r="CYS41" s="113"/>
      <c r="CZD41" s="113"/>
      <c r="CZL41" s="113"/>
      <c r="CZW41" s="113"/>
      <c r="DAE41" s="113"/>
      <c r="DAP41" s="113"/>
      <c r="DBA41" s="113"/>
      <c r="DBL41" s="113"/>
      <c r="DBW41" s="113"/>
      <c r="DCF41" s="113"/>
      <c r="DCI41" s="113"/>
    </row>
    <row r="42" spans="1834:2043 2054:2791" x14ac:dyDescent="0.25">
      <c r="BRN42" s="113"/>
      <c r="BRY42" s="113"/>
      <c r="BSJ42" s="113"/>
      <c r="BSU42" s="113"/>
      <c r="BTF42" s="113"/>
      <c r="BTQ42" s="113"/>
      <c r="BUB42" s="113"/>
      <c r="BUM42" s="113"/>
      <c r="BUX42" s="113"/>
      <c r="BVI42" s="113"/>
      <c r="BVT42" s="113"/>
      <c r="BWE42" s="113"/>
      <c r="BWP42" s="113"/>
      <c r="BXA42" s="113"/>
      <c r="BXL42" s="113"/>
      <c r="BXW42" s="113"/>
      <c r="BYH42" s="113"/>
      <c r="BYS42" s="113"/>
      <c r="BZD42" s="113"/>
      <c r="BZO42" s="113"/>
      <c r="BZZ42" s="113"/>
      <c r="CAK42" s="113"/>
      <c r="CAV42" s="113"/>
      <c r="CBG42" s="113"/>
      <c r="CBR42" s="113"/>
      <c r="CCC42" s="113"/>
      <c r="CCN42" s="113"/>
      <c r="CCY42" s="113"/>
      <c r="CDJ42" s="113"/>
      <c r="CDU42" s="113"/>
      <c r="CEF42" s="113"/>
      <c r="CEQ42" s="113"/>
      <c r="CFB42" s="113"/>
      <c r="CFM42" s="113"/>
      <c r="CFX42" s="113"/>
      <c r="CGI42" s="113"/>
      <c r="CGT42" s="113"/>
      <c r="CHE42" s="113"/>
      <c r="CHP42" s="113"/>
      <c r="CIA42" s="113"/>
      <c r="CIL42" s="113"/>
      <c r="CIW42" s="113"/>
      <c r="CJH42" s="113"/>
      <c r="CJS42" s="113"/>
      <c r="CKD42" s="113"/>
      <c r="CKO42" s="113"/>
      <c r="CKZ42" s="113"/>
      <c r="CLE42" s="113"/>
      <c r="CLK42" s="113"/>
      <c r="CLP42" s="113"/>
      <c r="CMA42" s="113"/>
      <c r="CML42" s="113"/>
      <c r="CMW42" s="113"/>
      <c r="CNH42" s="113"/>
      <c r="CNS42" s="113"/>
      <c r="COD42" s="113"/>
      <c r="COO42" s="113"/>
      <c r="COZ42" s="113"/>
      <c r="CPK42" s="113"/>
      <c r="CPV42" s="113"/>
      <c r="CQG42" s="113"/>
      <c r="CQR42" s="113"/>
      <c r="CRC42" s="113"/>
      <c r="CRN42" s="113"/>
      <c r="CRY42" s="113"/>
      <c r="CSJ42" s="113"/>
      <c r="CSU42" s="113"/>
      <c r="CTF42" s="113"/>
      <c r="CTQ42" s="113"/>
      <c r="CUB42" s="113"/>
      <c r="CUM42" s="113"/>
      <c r="CUX42" s="113"/>
      <c r="CVI42" s="113"/>
      <c r="CYS42" s="113"/>
      <c r="CZD42" s="113"/>
      <c r="CZL42" s="113"/>
      <c r="CZW42" s="113"/>
      <c r="DAE42" s="113"/>
      <c r="DAP42" s="113"/>
      <c r="DBA42" s="113"/>
      <c r="DBL42" s="113"/>
      <c r="DBW42" s="113"/>
      <c r="DCF42" s="113"/>
      <c r="DCI42" s="113"/>
    </row>
    <row r="43" spans="1834:2043 2054:2791" x14ac:dyDescent="0.25">
      <c r="BRN43" s="113"/>
      <c r="BRY43" s="113"/>
      <c r="BSJ43" s="113"/>
      <c r="BSU43" s="113"/>
      <c r="BTF43" s="113"/>
      <c r="BTQ43" s="113"/>
      <c r="BUB43" s="113"/>
      <c r="BUM43" s="113"/>
      <c r="BUX43" s="113"/>
      <c r="BVI43" s="113"/>
      <c r="BVT43" s="113"/>
      <c r="BWE43" s="113"/>
      <c r="BWP43" s="113"/>
      <c r="BXA43" s="113"/>
      <c r="BXL43" s="113"/>
      <c r="BXW43" s="113"/>
      <c r="BYH43" s="113"/>
      <c r="BYS43" s="113"/>
      <c r="BZD43" s="113"/>
      <c r="BZO43" s="113"/>
      <c r="BZZ43" s="113"/>
      <c r="CAK43" s="113"/>
      <c r="CAV43" s="113"/>
      <c r="CBG43" s="113"/>
      <c r="CBR43" s="113"/>
      <c r="CCC43" s="113"/>
      <c r="CCN43" s="113"/>
      <c r="CCY43" s="113"/>
      <c r="CDJ43" s="113"/>
      <c r="CDU43" s="113"/>
      <c r="CEF43" s="113"/>
      <c r="CEQ43" s="113"/>
      <c r="CFB43" s="113"/>
      <c r="CFM43" s="113"/>
      <c r="CFX43" s="113"/>
      <c r="CGI43" s="113"/>
      <c r="CGT43" s="113"/>
      <c r="CHE43" s="113"/>
      <c r="CHP43" s="113"/>
      <c r="CIA43" s="113"/>
      <c r="CIL43" s="113"/>
      <c r="CIW43" s="113"/>
      <c r="CJH43" s="113"/>
      <c r="CJS43" s="113"/>
      <c r="CKD43" s="113"/>
      <c r="CKO43" s="113"/>
      <c r="CKZ43" s="113"/>
      <c r="CLE43" s="113"/>
      <c r="CLK43" s="113"/>
      <c r="CLP43" s="113"/>
      <c r="CMA43" s="113"/>
      <c r="CML43" s="113"/>
      <c r="CMW43" s="113"/>
      <c r="CNH43" s="113"/>
      <c r="CNS43" s="113"/>
      <c r="COD43" s="113"/>
      <c r="COO43" s="113"/>
      <c r="COZ43" s="113"/>
      <c r="CPK43" s="113"/>
      <c r="CPV43" s="113"/>
      <c r="CQG43" s="113"/>
      <c r="CQR43" s="113"/>
      <c r="CRC43" s="113"/>
      <c r="CRN43" s="113"/>
      <c r="CRY43" s="113"/>
      <c r="CSJ43" s="113"/>
      <c r="CSU43" s="113"/>
      <c r="CTF43" s="113"/>
      <c r="CTQ43" s="113"/>
      <c r="CUB43" s="113"/>
      <c r="CUM43" s="113"/>
      <c r="CUX43" s="113"/>
      <c r="CVI43" s="113"/>
      <c r="CYS43" s="113"/>
      <c r="CZD43" s="113"/>
      <c r="CZL43" s="113"/>
      <c r="CZW43" s="113"/>
      <c r="DAE43" s="113"/>
      <c r="DAP43" s="113"/>
      <c r="DBA43" s="113"/>
      <c r="DBL43" s="113"/>
      <c r="DBW43" s="113"/>
      <c r="DCF43" s="113"/>
      <c r="DCI43" s="113"/>
    </row>
    <row r="44" spans="1834:2043 2054:2791" x14ac:dyDescent="0.25">
      <c r="BRN44" s="113"/>
      <c r="BRY44" s="113"/>
      <c r="BSJ44" s="113"/>
      <c r="BSU44" s="113"/>
      <c r="BTF44" s="113"/>
      <c r="BTQ44" s="113"/>
      <c r="BUB44" s="113"/>
      <c r="BUM44" s="113"/>
      <c r="BUX44" s="113"/>
      <c r="BVI44" s="113"/>
      <c r="BVT44" s="113"/>
      <c r="BWE44" s="113"/>
      <c r="BWP44" s="113"/>
      <c r="BXA44" s="113"/>
      <c r="BXL44" s="113"/>
      <c r="BXW44" s="113"/>
      <c r="BYH44" s="113"/>
      <c r="BYS44" s="113"/>
      <c r="BZD44" s="113"/>
      <c r="BZO44" s="113"/>
      <c r="BZZ44" s="113"/>
      <c r="CAK44" s="113"/>
      <c r="CAV44" s="113"/>
      <c r="CBG44" s="113"/>
      <c r="CBR44" s="113"/>
      <c r="CCC44" s="113"/>
      <c r="CCN44" s="113"/>
      <c r="CCY44" s="113"/>
      <c r="CDJ44" s="113"/>
      <c r="CDU44" s="113"/>
      <c r="CEF44" s="113"/>
      <c r="CEQ44" s="113"/>
      <c r="CFB44" s="113"/>
      <c r="CFM44" s="113"/>
      <c r="CFX44" s="113"/>
      <c r="CGI44" s="113"/>
      <c r="CGT44" s="113"/>
      <c r="CHE44" s="113"/>
      <c r="CHP44" s="113"/>
      <c r="CIA44" s="113"/>
      <c r="CIL44" s="113"/>
      <c r="CIW44" s="113"/>
      <c r="CJH44" s="113"/>
      <c r="CJS44" s="113"/>
      <c r="CKD44" s="113"/>
      <c r="CKO44" s="113"/>
      <c r="CKZ44" s="113"/>
      <c r="CLE44" s="113"/>
      <c r="CLK44" s="113"/>
      <c r="CLP44" s="113"/>
      <c r="CMA44" s="113"/>
      <c r="CML44" s="113"/>
      <c r="CMW44" s="113"/>
      <c r="CNH44" s="113"/>
      <c r="CNS44" s="113"/>
      <c r="COD44" s="113"/>
      <c r="COO44" s="113"/>
      <c r="COZ44" s="113"/>
      <c r="CPK44" s="113"/>
      <c r="CPV44" s="113"/>
      <c r="CQG44" s="113"/>
      <c r="CQR44" s="113"/>
      <c r="CRC44" s="113"/>
      <c r="CRN44" s="113"/>
      <c r="CRY44" s="113"/>
      <c r="CSJ44" s="113"/>
      <c r="CSU44" s="113"/>
      <c r="CTF44" s="113"/>
      <c r="CTQ44" s="113"/>
      <c r="CUB44" s="113"/>
      <c r="CUM44" s="113"/>
      <c r="CUX44" s="113"/>
      <c r="CVI44" s="113"/>
      <c r="CYS44" s="113"/>
      <c r="CZD44" s="113"/>
      <c r="CZL44" s="113"/>
      <c r="CZW44" s="113"/>
      <c r="DAE44" s="113"/>
      <c r="DAP44" s="113"/>
      <c r="DBA44" s="113"/>
      <c r="DBL44" s="113"/>
      <c r="DBW44" s="113"/>
      <c r="DCF44" s="113"/>
      <c r="DCI44" s="113"/>
    </row>
    <row r="45" spans="1834:2043 2054:2791" x14ac:dyDescent="0.25">
      <c r="BRN45" s="113"/>
      <c r="BRY45" s="113"/>
      <c r="BSJ45" s="113"/>
      <c r="BSU45" s="113"/>
      <c r="BTF45" s="113"/>
      <c r="BTQ45" s="113"/>
      <c r="BUB45" s="113"/>
      <c r="BUM45" s="113"/>
      <c r="BUX45" s="113"/>
      <c r="BVI45" s="113"/>
      <c r="BVT45" s="113"/>
      <c r="BWE45" s="113"/>
      <c r="BWP45" s="113"/>
      <c r="BXA45" s="113"/>
      <c r="BXL45" s="113"/>
      <c r="BXW45" s="113"/>
      <c r="BYH45" s="113"/>
      <c r="BYS45" s="113"/>
      <c r="BZD45" s="113"/>
      <c r="BZO45" s="113"/>
      <c r="BZZ45" s="113"/>
      <c r="CAK45" s="113"/>
      <c r="CAV45" s="113"/>
      <c r="CBG45" s="113"/>
      <c r="CBR45" s="113"/>
      <c r="CCC45" s="113"/>
      <c r="CCN45" s="113"/>
      <c r="CCY45" s="113"/>
      <c r="CDJ45" s="113"/>
      <c r="CDU45" s="113"/>
      <c r="CEF45" s="113"/>
      <c r="CEQ45" s="113"/>
      <c r="CFB45" s="113"/>
      <c r="CFM45" s="113"/>
      <c r="CFX45" s="113"/>
      <c r="CGI45" s="113"/>
      <c r="CGT45" s="113"/>
      <c r="CHE45" s="113"/>
      <c r="CHP45" s="113"/>
      <c r="CIA45" s="113"/>
      <c r="CIL45" s="113"/>
      <c r="CIW45" s="113"/>
      <c r="CJH45" s="113"/>
      <c r="CJS45" s="113"/>
      <c r="CKD45" s="113"/>
      <c r="CKO45" s="113"/>
      <c r="CKZ45" s="113"/>
      <c r="CLE45" s="113"/>
      <c r="CLK45" s="113"/>
      <c r="CLP45" s="113"/>
      <c r="CMA45" s="113"/>
      <c r="CML45" s="113"/>
      <c r="CMW45" s="113"/>
      <c r="CNH45" s="113"/>
      <c r="CNS45" s="113"/>
      <c r="COD45" s="113"/>
      <c r="COO45" s="113"/>
      <c r="COZ45" s="113"/>
      <c r="CPK45" s="113"/>
      <c r="CPV45" s="113"/>
      <c r="CQG45" s="113"/>
      <c r="CQR45" s="113"/>
      <c r="CRC45" s="113"/>
      <c r="CRN45" s="113"/>
      <c r="CRY45" s="113"/>
      <c r="CSJ45" s="113"/>
      <c r="CSU45" s="113"/>
      <c r="CTF45" s="113"/>
      <c r="CTQ45" s="113"/>
      <c r="CUB45" s="113"/>
      <c r="CUM45" s="113"/>
      <c r="CUX45" s="113"/>
      <c r="CVI45" s="113"/>
      <c r="CYS45" s="113"/>
      <c r="CZD45" s="113"/>
      <c r="CZL45" s="113"/>
      <c r="CZW45" s="113"/>
      <c r="DAE45" s="113"/>
      <c r="DAP45" s="113"/>
      <c r="DBA45" s="113"/>
      <c r="DBL45" s="113"/>
      <c r="DBW45" s="113"/>
      <c r="DCF45" s="113"/>
      <c r="DCI45" s="113"/>
    </row>
    <row r="46" spans="1834:2043 2054:2791" x14ac:dyDescent="0.25">
      <c r="BRN46" s="113"/>
      <c r="BRY46" s="113"/>
      <c r="BSJ46" s="113"/>
      <c r="BSU46" s="113"/>
      <c r="BTF46" s="113"/>
      <c r="BTQ46" s="113"/>
      <c r="BUB46" s="113"/>
      <c r="BUM46" s="113"/>
      <c r="BUX46" s="113"/>
      <c r="BVI46" s="113"/>
      <c r="BVT46" s="113"/>
      <c r="BWE46" s="113"/>
      <c r="BWP46" s="113"/>
      <c r="BXA46" s="113"/>
      <c r="BXL46" s="113"/>
      <c r="BXW46" s="113"/>
      <c r="BYH46" s="113"/>
      <c r="BYS46" s="113"/>
      <c r="BZD46" s="113"/>
      <c r="BZO46" s="113"/>
      <c r="BZZ46" s="113"/>
      <c r="CAK46" s="113"/>
      <c r="CAV46" s="113"/>
      <c r="CBG46" s="113"/>
      <c r="CBR46" s="113"/>
      <c r="CCC46" s="113"/>
      <c r="CCN46" s="113"/>
      <c r="CCY46" s="113"/>
      <c r="CDJ46" s="113"/>
      <c r="CDU46" s="113"/>
      <c r="CEF46" s="113"/>
      <c r="CEQ46" s="113"/>
      <c r="CFB46" s="113"/>
      <c r="CFM46" s="113"/>
      <c r="CFX46" s="113"/>
      <c r="CGI46" s="113"/>
      <c r="CGT46" s="113"/>
      <c r="CHE46" s="113"/>
      <c r="CHP46" s="113"/>
      <c r="CIA46" s="113"/>
      <c r="CIL46" s="113"/>
      <c r="CIW46" s="113"/>
      <c r="CJH46" s="113"/>
      <c r="CJS46" s="113"/>
      <c r="CKD46" s="113"/>
      <c r="CKO46" s="113"/>
      <c r="CKZ46" s="113"/>
      <c r="CLE46" s="113"/>
      <c r="CLK46" s="113"/>
      <c r="CLP46" s="113"/>
      <c r="CMA46" s="113"/>
      <c r="CML46" s="113"/>
      <c r="CMW46" s="113"/>
      <c r="CNH46" s="113"/>
      <c r="CNS46" s="113"/>
      <c r="COD46" s="113"/>
      <c r="COO46" s="113"/>
      <c r="COZ46" s="113"/>
      <c r="CPK46" s="113"/>
      <c r="CPV46" s="113"/>
      <c r="CQG46" s="113"/>
      <c r="CQR46" s="113"/>
      <c r="CRC46" s="113"/>
      <c r="CRN46" s="113"/>
      <c r="CRY46" s="113"/>
      <c r="CSJ46" s="113"/>
      <c r="CSU46" s="113"/>
      <c r="CTF46" s="113"/>
      <c r="CTQ46" s="113"/>
      <c r="CUB46" s="113"/>
      <c r="CUM46" s="113"/>
      <c r="CUX46" s="113"/>
      <c r="CVI46" s="113"/>
      <c r="CYS46" s="113"/>
      <c r="CZD46" s="113"/>
      <c r="CZL46" s="113"/>
      <c r="CZW46" s="113"/>
      <c r="DAE46" s="113"/>
      <c r="DAP46" s="113"/>
      <c r="DBA46" s="113"/>
      <c r="DBL46" s="113"/>
      <c r="DBW46" s="113"/>
      <c r="DCF46" s="113"/>
      <c r="DCI46" s="113"/>
    </row>
    <row r="47" spans="1834:2043 2054:2791" x14ac:dyDescent="0.25">
      <c r="BRN47" s="113"/>
      <c r="BRY47" s="113"/>
      <c r="BSJ47" s="113"/>
      <c r="BSU47" s="113"/>
      <c r="BTF47" s="113"/>
      <c r="BTQ47" s="113"/>
      <c r="BUB47" s="113"/>
      <c r="BUM47" s="113"/>
      <c r="BUX47" s="113"/>
      <c r="BVI47" s="113"/>
      <c r="BVT47" s="113"/>
      <c r="BWE47" s="113"/>
      <c r="BWP47" s="113"/>
      <c r="BXA47" s="113"/>
      <c r="BXL47" s="113"/>
      <c r="BXW47" s="113"/>
      <c r="BYH47" s="113"/>
      <c r="BYS47" s="113"/>
      <c r="BZD47" s="113"/>
      <c r="BZO47" s="113"/>
      <c r="BZZ47" s="113"/>
      <c r="CAK47" s="113"/>
      <c r="CAV47" s="113"/>
      <c r="CBG47" s="113"/>
      <c r="CBR47" s="113"/>
      <c r="CCC47" s="113"/>
      <c r="CCN47" s="113"/>
      <c r="CCY47" s="113"/>
      <c r="CDJ47" s="113"/>
      <c r="CDU47" s="113"/>
      <c r="CEF47" s="113"/>
      <c r="CEQ47" s="113"/>
      <c r="CFB47" s="113"/>
      <c r="CFM47" s="113"/>
      <c r="CFX47" s="113"/>
      <c r="CGI47" s="113"/>
      <c r="CGT47" s="113"/>
      <c r="CHE47" s="113"/>
      <c r="CHP47" s="113"/>
      <c r="CIA47" s="113"/>
      <c r="CIL47" s="113"/>
      <c r="CIW47" s="113"/>
      <c r="CJH47" s="113"/>
      <c r="CJS47" s="113"/>
      <c r="CKD47" s="113"/>
      <c r="CKO47" s="113"/>
      <c r="CKZ47" s="113"/>
      <c r="CLE47" s="113"/>
      <c r="CLK47" s="113"/>
      <c r="CLP47" s="113"/>
      <c r="CMA47" s="113"/>
      <c r="CML47" s="113"/>
      <c r="CMW47" s="113"/>
      <c r="CNH47" s="113"/>
      <c r="CNS47" s="113"/>
      <c r="COD47" s="113"/>
      <c r="COO47" s="113"/>
      <c r="COZ47" s="113"/>
      <c r="CPK47" s="113"/>
      <c r="CPV47" s="113"/>
      <c r="CQG47" s="113"/>
      <c r="CQR47" s="113"/>
      <c r="CRC47" s="113"/>
      <c r="CRN47" s="113"/>
      <c r="CRY47" s="113"/>
      <c r="CSJ47" s="113"/>
      <c r="CSU47" s="113"/>
      <c r="CTF47" s="113"/>
      <c r="CTQ47" s="113"/>
      <c r="CUB47" s="113"/>
      <c r="CUM47" s="113"/>
      <c r="CUX47" s="113"/>
      <c r="CVI47" s="113"/>
      <c r="CYS47" s="113"/>
      <c r="CZD47" s="113"/>
      <c r="CZL47" s="113"/>
      <c r="CZW47" s="113"/>
      <c r="DAE47" s="113"/>
      <c r="DAP47" s="113"/>
      <c r="DBA47" s="113"/>
      <c r="DBL47" s="113"/>
      <c r="DBW47" s="113"/>
      <c r="DCF47" s="113"/>
      <c r="DCI47" s="113"/>
    </row>
    <row r="48" spans="1834:2043 2054:2791" x14ac:dyDescent="0.25">
      <c r="BRN48" s="113"/>
      <c r="BRY48" s="113"/>
      <c r="BSJ48" s="113"/>
      <c r="BSU48" s="113"/>
      <c r="BTF48" s="113"/>
      <c r="BTQ48" s="113"/>
      <c r="BUB48" s="113"/>
      <c r="BUM48" s="113"/>
      <c r="BUX48" s="113"/>
      <c r="BVI48" s="113"/>
      <c r="BVT48" s="113"/>
      <c r="BWE48" s="113"/>
      <c r="BWP48" s="113"/>
      <c r="BXA48" s="113"/>
      <c r="BXL48" s="113"/>
      <c r="BXW48" s="113"/>
      <c r="BYH48" s="113"/>
      <c r="BYS48" s="113"/>
      <c r="BZD48" s="113"/>
      <c r="BZO48" s="113"/>
      <c r="BZZ48" s="113"/>
      <c r="CAK48" s="113"/>
      <c r="CAV48" s="113"/>
      <c r="CBG48" s="113"/>
      <c r="CBR48" s="113"/>
      <c r="CCC48" s="113"/>
      <c r="CCN48" s="113"/>
      <c r="CCY48" s="113"/>
      <c r="CDJ48" s="113"/>
      <c r="CDU48" s="113"/>
      <c r="CEF48" s="113"/>
      <c r="CEQ48" s="113"/>
      <c r="CFB48" s="113"/>
      <c r="CFM48" s="113"/>
      <c r="CFX48" s="113"/>
      <c r="CGI48" s="113"/>
      <c r="CGT48" s="113"/>
      <c r="CHE48" s="113"/>
      <c r="CHP48" s="113"/>
      <c r="CIA48" s="113"/>
      <c r="CIL48" s="113"/>
      <c r="CIW48" s="113"/>
      <c r="CJH48" s="113"/>
      <c r="CJS48" s="113"/>
      <c r="CKD48" s="113"/>
      <c r="CKO48" s="113"/>
      <c r="CKZ48" s="113"/>
      <c r="CLE48" s="113"/>
      <c r="CLK48" s="113"/>
      <c r="CLP48" s="113"/>
      <c r="CMA48" s="113"/>
      <c r="CML48" s="113"/>
      <c r="CMW48" s="113"/>
      <c r="CNH48" s="113"/>
      <c r="CNS48" s="113"/>
      <c r="COD48" s="113"/>
      <c r="COO48" s="113"/>
      <c r="COZ48" s="113"/>
      <c r="CPK48" s="113"/>
      <c r="CPV48" s="113"/>
      <c r="CQG48" s="113"/>
      <c r="CQR48" s="113"/>
      <c r="CRC48" s="113"/>
      <c r="CRN48" s="113"/>
      <c r="CRY48" s="113"/>
      <c r="CSJ48" s="113"/>
      <c r="CSU48" s="113"/>
      <c r="CTF48" s="113"/>
      <c r="CTQ48" s="113"/>
      <c r="CUB48" s="113"/>
      <c r="CUM48" s="113"/>
      <c r="CUX48" s="113"/>
      <c r="CVI48" s="113"/>
      <c r="CYS48" s="113"/>
      <c r="CZD48" s="113"/>
      <c r="CZL48" s="113"/>
      <c r="CZW48" s="113"/>
      <c r="DAE48" s="113"/>
      <c r="DAP48" s="113"/>
      <c r="DBA48" s="113"/>
      <c r="DBL48" s="113"/>
      <c r="DBW48" s="113"/>
      <c r="DCF48" s="113"/>
      <c r="DCI48" s="113"/>
    </row>
    <row r="49" spans="1834:2043 2054:2791" x14ac:dyDescent="0.25">
      <c r="BRN49" s="113"/>
      <c r="BRY49" s="113"/>
      <c r="BSJ49" s="113"/>
      <c r="BSU49" s="113"/>
      <c r="BTF49" s="113"/>
      <c r="BTQ49" s="113"/>
      <c r="BUB49" s="113"/>
      <c r="BUM49" s="113"/>
      <c r="BUX49" s="113"/>
      <c r="BVI49" s="113"/>
      <c r="BVT49" s="113"/>
      <c r="BWE49" s="113"/>
      <c r="BWP49" s="113"/>
      <c r="BXA49" s="113"/>
      <c r="BXL49" s="113"/>
      <c r="BXW49" s="113"/>
      <c r="BYH49" s="113"/>
      <c r="BYS49" s="113"/>
      <c r="BZD49" s="113"/>
      <c r="BZO49" s="113"/>
      <c r="BZZ49" s="113"/>
      <c r="CAK49" s="113"/>
      <c r="CAV49" s="113"/>
      <c r="CBG49" s="113"/>
      <c r="CBR49" s="113"/>
      <c r="CCC49" s="113"/>
      <c r="CCN49" s="113"/>
      <c r="CCY49" s="113"/>
      <c r="CDJ49" s="113"/>
      <c r="CDU49" s="113"/>
      <c r="CEF49" s="113"/>
      <c r="CEQ49" s="113"/>
      <c r="CFB49" s="113"/>
      <c r="CFM49" s="113"/>
      <c r="CFX49" s="113"/>
      <c r="CGI49" s="113"/>
      <c r="CGT49" s="113"/>
      <c r="CHE49" s="113"/>
      <c r="CHP49" s="113"/>
      <c r="CIA49" s="113"/>
      <c r="CIL49" s="113"/>
      <c r="CIW49" s="113"/>
      <c r="CJH49" s="113"/>
      <c r="CJS49" s="113"/>
      <c r="CKD49" s="113"/>
      <c r="CKO49" s="113"/>
      <c r="CKZ49" s="113"/>
      <c r="CLE49" s="113"/>
      <c r="CLK49" s="113"/>
      <c r="CLP49" s="113"/>
      <c r="CMA49" s="113"/>
      <c r="CML49" s="113"/>
      <c r="CMW49" s="113"/>
      <c r="CNH49" s="113"/>
      <c r="CNS49" s="113"/>
      <c r="COD49" s="113"/>
      <c r="COO49" s="113"/>
      <c r="COZ49" s="113"/>
      <c r="CPK49" s="113"/>
      <c r="CPV49" s="113"/>
      <c r="CQG49" s="113"/>
      <c r="CQR49" s="113"/>
      <c r="CRC49" s="113"/>
      <c r="CRN49" s="113"/>
      <c r="CRY49" s="113"/>
      <c r="CSJ49" s="113"/>
      <c r="CSU49" s="113"/>
      <c r="CTF49" s="113"/>
      <c r="CTQ49" s="113"/>
      <c r="CUB49" s="113"/>
      <c r="CUM49" s="113"/>
      <c r="CUX49" s="113"/>
      <c r="CVI49" s="113"/>
      <c r="CYS49" s="113"/>
      <c r="CZD49" s="113"/>
      <c r="CZL49" s="113"/>
      <c r="CZW49" s="113"/>
      <c r="DAE49" s="113"/>
      <c r="DAP49" s="113"/>
      <c r="DBA49" s="113"/>
      <c r="DBL49" s="113"/>
      <c r="DBW49" s="113"/>
      <c r="DCF49" s="113"/>
      <c r="DCI49" s="113"/>
    </row>
    <row r="50" spans="1834:2043 2054:2791" x14ac:dyDescent="0.25">
      <c r="BRN50" s="113"/>
      <c r="BRY50" s="113"/>
      <c r="BSJ50" s="113"/>
      <c r="BSU50" s="113"/>
      <c r="BTF50" s="113"/>
      <c r="BTQ50" s="113"/>
      <c r="BUB50" s="113"/>
      <c r="BUM50" s="113"/>
      <c r="BUX50" s="113"/>
      <c r="BVI50" s="113"/>
      <c r="BVT50" s="113"/>
      <c r="BWE50" s="113"/>
      <c r="BWP50" s="113"/>
      <c r="BXA50" s="113"/>
      <c r="BXL50" s="113"/>
      <c r="BXW50" s="113"/>
      <c r="BYH50" s="113"/>
      <c r="BYS50" s="113"/>
      <c r="BZD50" s="113"/>
      <c r="BZO50" s="113"/>
      <c r="BZZ50" s="113"/>
      <c r="CAK50" s="113"/>
      <c r="CAV50" s="113"/>
      <c r="CBG50" s="113"/>
      <c r="CBR50" s="113"/>
      <c r="CCC50" s="113"/>
      <c r="CCN50" s="113"/>
      <c r="CCY50" s="113"/>
      <c r="CDJ50" s="113"/>
      <c r="CDU50" s="113"/>
      <c r="CEF50" s="113"/>
      <c r="CEQ50" s="113"/>
      <c r="CFB50" s="113"/>
      <c r="CFM50" s="113"/>
      <c r="CFX50" s="113"/>
      <c r="CGI50" s="113"/>
      <c r="CGT50" s="113"/>
      <c r="CHE50" s="113"/>
      <c r="CHP50" s="113"/>
      <c r="CIA50" s="113"/>
      <c r="CIL50" s="113"/>
      <c r="CIW50" s="113"/>
      <c r="CJH50" s="113"/>
      <c r="CJS50" s="113"/>
      <c r="CKD50" s="113"/>
      <c r="CKO50" s="113"/>
      <c r="CKZ50" s="113"/>
      <c r="CLE50" s="113"/>
      <c r="CLK50" s="113"/>
      <c r="CLP50" s="113"/>
      <c r="CMA50" s="113"/>
      <c r="CML50" s="113"/>
      <c r="CMW50" s="113"/>
      <c r="CNH50" s="113"/>
      <c r="CNS50" s="113"/>
      <c r="COD50" s="113"/>
      <c r="COO50" s="113"/>
      <c r="COZ50" s="113"/>
      <c r="CPK50" s="113"/>
      <c r="CPV50" s="113"/>
      <c r="CQG50" s="113"/>
      <c r="CQR50" s="113"/>
      <c r="CRC50" s="113"/>
      <c r="CRN50" s="113"/>
      <c r="CRY50" s="113"/>
      <c r="CSJ50" s="113"/>
      <c r="CSU50" s="113"/>
      <c r="CTF50" s="113"/>
      <c r="CTQ50" s="113"/>
      <c r="CUB50" s="113"/>
      <c r="CUM50" s="113"/>
      <c r="CUX50" s="113"/>
      <c r="CVI50" s="113"/>
      <c r="CYS50" s="113"/>
      <c r="CZD50" s="113"/>
      <c r="CZL50" s="113"/>
      <c r="CZW50" s="113"/>
      <c r="DAE50" s="113"/>
      <c r="DAP50" s="113"/>
      <c r="DBA50" s="113"/>
      <c r="DBL50" s="113"/>
      <c r="DBW50" s="113"/>
      <c r="DCF50" s="113"/>
      <c r="DCI50" s="113"/>
    </row>
    <row r="51" spans="1834:2043 2054:2791" x14ac:dyDescent="0.25">
      <c r="BRN51" s="113"/>
      <c r="BRY51" s="113"/>
      <c r="BSJ51" s="113"/>
      <c r="BSU51" s="113"/>
      <c r="BTF51" s="113"/>
      <c r="BTQ51" s="113"/>
      <c r="BUB51" s="113"/>
      <c r="BUM51" s="113"/>
      <c r="BUX51" s="113"/>
      <c r="BVI51" s="113"/>
      <c r="BVT51" s="113"/>
      <c r="BWE51" s="113"/>
      <c r="BWP51" s="113"/>
      <c r="BXA51" s="113"/>
      <c r="BXL51" s="113"/>
      <c r="BXW51" s="113"/>
      <c r="BYH51" s="113"/>
      <c r="BYS51" s="113"/>
      <c r="BZD51" s="113"/>
      <c r="BZO51" s="113"/>
      <c r="BZZ51" s="113"/>
      <c r="CAK51" s="113"/>
      <c r="CAV51" s="113"/>
      <c r="CBG51" s="113"/>
      <c r="CBR51" s="113"/>
      <c r="CCC51" s="113"/>
      <c r="CCN51" s="113"/>
      <c r="CCY51" s="113"/>
      <c r="CDJ51" s="113"/>
      <c r="CDU51" s="113"/>
      <c r="CEF51" s="113"/>
      <c r="CEQ51" s="113"/>
      <c r="CFB51" s="113"/>
      <c r="CFM51" s="113"/>
      <c r="CFX51" s="113"/>
      <c r="CGI51" s="113"/>
      <c r="CGT51" s="113"/>
      <c r="CHE51" s="113"/>
      <c r="CHP51" s="113"/>
      <c r="CIA51" s="113"/>
      <c r="CIL51" s="113"/>
      <c r="CIW51" s="113"/>
      <c r="CJH51" s="113"/>
      <c r="CJS51" s="113"/>
      <c r="CKD51" s="113"/>
      <c r="CKO51" s="113"/>
      <c r="CKZ51" s="113"/>
      <c r="CLE51" s="113"/>
      <c r="CLK51" s="113"/>
      <c r="CLP51" s="113"/>
      <c r="CMA51" s="113"/>
      <c r="CML51" s="113"/>
      <c r="CMW51" s="113"/>
      <c r="CNH51" s="113"/>
      <c r="CNS51" s="113"/>
      <c r="COD51" s="113"/>
      <c r="COO51" s="113"/>
      <c r="COZ51" s="113"/>
      <c r="CPK51" s="113"/>
      <c r="CPV51" s="113"/>
      <c r="CQG51" s="113"/>
      <c r="CQR51" s="113"/>
      <c r="CRC51" s="113"/>
      <c r="CRN51" s="113"/>
      <c r="CRY51" s="113"/>
      <c r="CSJ51" s="113"/>
      <c r="CSU51" s="113"/>
      <c r="CTF51" s="113"/>
      <c r="CTQ51" s="113"/>
      <c r="CUB51" s="113"/>
      <c r="CUM51" s="113"/>
      <c r="CUX51" s="113"/>
      <c r="CVI51" s="113"/>
      <c r="CYS51" s="113"/>
      <c r="CZD51" s="113"/>
      <c r="CZL51" s="113"/>
      <c r="CZW51" s="113"/>
      <c r="DAE51" s="113"/>
      <c r="DAP51" s="113"/>
      <c r="DBA51" s="113"/>
      <c r="DBL51" s="113"/>
      <c r="DBW51" s="113"/>
      <c r="DCF51" s="113"/>
      <c r="DCI51" s="113"/>
    </row>
    <row r="52" spans="1834:2043 2054:2791" x14ac:dyDescent="0.25">
      <c r="BRN52" s="113"/>
      <c r="BRY52" s="113"/>
      <c r="BSJ52" s="113"/>
      <c r="BSU52" s="113"/>
      <c r="BTF52" s="113"/>
      <c r="BTQ52" s="113"/>
      <c r="BUB52" s="113"/>
      <c r="BUM52" s="113"/>
      <c r="BUX52" s="113"/>
      <c r="BVI52" s="113"/>
      <c r="BVT52" s="113"/>
      <c r="BWE52" s="113"/>
      <c r="BWP52" s="113"/>
      <c r="BXA52" s="113"/>
      <c r="BXL52" s="113"/>
      <c r="BXW52" s="113"/>
      <c r="BYH52" s="113"/>
      <c r="BYS52" s="113"/>
      <c r="BZD52" s="113"/>
      <c r="BZO52" s="113"/>
      <c r="BZZ52" s="113"/>
      <c r="CAK52" s="113"/>
      <c r="CAV52" s="113"/>
      <c r="CBG52" s="113"/>
      <c r="CBR52" s="113"/>
      <c r="CCC52" s="113"/>
      <c r="CCN52" s="113"/>
      <c r="CCY52" s="113"/>
      <c r="CDJ52" s="113"/>
      <c r="CDU52" s="113"/>
      <c r="CEF52" s="113"/>
      <c r="CEQ52" s="113"/>
      <c r="CFB52" s="113"/>
      <c r="CFM52" s="113"/>
      <c r="CFX52" s="113"/>
      <c r="CGI52" s="113"/>
      <c r="CGT52" s="113"/>
      <c r="CHE52" s="113"/>
      <c r="CHP52" s="113"/>
      <c r="CIA52" s="113"/>
      <c r="CIL52" s="113"/>
      <c r="CIW52" s="113"/>
      <c r="CJH52" s="113"/>
      <c r="CJS52" s="113"/>
      <c r="CKD52" s="113"/>
      <c r="CKO52" s="113"/>
      <c r="CKZ52" s="113"/>
      <c r="CLE52" s="113"/>
      <c r="CLK52" s="113"/>
      <c r="CLP52" s="113"/>
      <c r="CMA52" s="113"/>
      <c r="CML52" s="113"/>
      <c r="CMW52" s="113"/>
      <c r="CNH52" s="113"/>
      <c r="CNS52" s="113"/>
      <c r="COD52" s="113"/>
      <c r="COO52" s="113"/>
      <c r="COZ52" s="113"/>
      <c r="CPK52" s="113"/>
      <c r="CPV52" s="113"/>
      <c r="CQG52" s="113"/>
      <c r="CQR52" s="113"/>
      <c r="CRC52" s="113"/>
      <c r="CRN52" s="113"/>
      <c r="CRY52" s="113"/>
      <c r="CSJ52" s="113"/>
      <c r="CSU52" s="113"/>
      <c r="CTF52" s="113"/>
      <c r="CTQ52" s="113"/>
      <c r="CUB52" s="113"/>
      <c r="CUM52" s="113"/>
      <c r="CUX52" s="113"/>
      <c r="CVI52" s="113"/>
      <c r="CYS52" s="113"/>
      <c r="CZD52" s="113"/>
      <c r="CZL52" s="113"/>
      <c r="CZW52" s="113"/>
      <c r="DAE52" s="113"/>
      <c r="DAP52" s="113"/>
      <c r="DBA52" s="113"/>
      <c r="DBL52" s="113"/>
      <c r="DBW52" s="113"/>
      <c r="DCF52" s="113"/>
      <c r="DCI52" s="113"/>
    </row>
    <row r="53" spans="1834:2043 2054:2791" x14ac:dyDescent="0.25">
      <c r="BRN53" s="113"/>
      <c r="BRY53" s="113"/>
      <c r="BSJ53" s="113"/>
      <c r="BSU53" s="113"/>
      <c r="BTF53" s="113"/>
      <c r="BTQ53" s="113"/>
      <c r="BUB53" s="113"/>
      <c r="BUM53" s="113"/>
      <c r="BUX53" s="113"/>
      <c r="BVI53" s="113"/>
      <c r="BVT53" s="113"/>
      <c r="BWE53" s="113"/>
      <c r="BWP53" s="113"/>
      <c r="BXA53" s="113"/>
      <c r="BXL53" s="113"/>
      <c r="BXW53" s="113"/>
      <c r="BYH53" s="113"/>
      <c r="BYS53" s="113"/>
      <c r="BZD53" s="113"/>
      <c r="BZO53" s="113"/>
      <c r="BZZ53" s="113"/>
      <c r="CAK53" s="113"/>
      <c r="CAV53" s="113"/>
      <c r="CBG53" s="113"/>
      <c r="CBR53" s="113"/>
      <c r="CCC53" s="113"/>
      <c r="CCN53" s="113"/>
      <c r="CCY53" s="113"/>
      <c r="CDJ53" s="113"/>
      <c r="CDU53" s="113"/>
      <c r="CEF53" s="113"/>
      <c r="CEQ53" s="113"/>
      <c r="CFB53" s="113"/>
      <c r="CFM53" s="113"/>
      <c r="CFX53" s="113"/>
      <c r="CGI53" s="113"/>
      <c r="CGT53" s="113"/>
      <c r="CHE53" s="113"/>
      <c r="CHP53" s="113"/>
      <c r="CIA53" s="113"/>
      <c r="CIL53" s="113"/>
      <c r="CIW53" s="113"/>
      <c r="CJH53" s="113"/>
      <c r="CJS53" s="113"/>
      <c r="CKD53" s="113"/>
      <c r="CKO53" s="113"/>
      <c r="CKZ53" s="113"/>
      <c r="CLE53" s="113"/>
      <c r="CLK53" s="113"/>
      <c r="CLP53" s="113"/>
      <c r="CMA53" s="113"/>
      <c r="CML53" s="113"/>
      <c r="CMW53" s="113"/>
      <c r="CNH53" s="113"/>
      <c r="CNS53" s="113"/>
      <c r="COD53" s="113"/>
      <c r="COO53" s="113"/>
      <c r="COZ53" s="113"/>
      <c r="CPK53" s="113"/>
      <c r="CPV53" s="113"/>
      <c r="CQG53" s="113"/>
      <c r="CQR53" s="113"/>
      <c r="CRC53" s="113"/>
      <c r="CRN53" s="113"/>
      <c r="CRY53" s="113"/>
      <c r="CSJ53" s="113"/>
      <c r="CSU53" s="113"/>
      <c r="CTF53" s="113"/>
      <c r="CTQ53" s="113"/>
      <c r="CUB53" s="113"/>
      <c r="CUM53" s="113"/>
      <c r="CUX53" s="113"/>
      <c r="CVI53" s="113"/>
      <c r="CYS53" s="113"/>
      <c r="CZD53" s="113"/>
      <c r="CZL53" s="113"/>
      <c r="CZW53" s="113"/>
      <c r="DAE53" s="113"/>
      <c r="DAP53" s="113"/>
      <c r="DBA53" s="113"/>
      <c r="DBL53" s="113"/>
      <c r="DBW53" s="113"/>
      <c r="DCF53" s="113"/>
      <c r="DCI53" s="113"/>
    </row>
    <row r="54" spans="1834:2043 2054:2791" x14ac:dyDescent="0.25">
      <c r="BRN54" s="113"/>
      <c r="BRY54" s="113"/>
      <c r="BSJ54" s="113"/>
      <c r="BSU54" s="113"/>
      <c r="BTF54" s="113"/>
      <c r="BTQ54" s="113"/>
      <c r="BUB54" s="113"/>
      <c r="BUM54" s="113"/>
      <c r="BUX54" s="113"/>
      <c r="BVI54" s="113"/>
      <c r="BVT54" s="113"/>
      <c r="BWE54" s="113"/>
      <c r="BWP54" s="113"/>
      <c r="BXA54" s="113"/>
      <c r="BXL54" s="113"/>
      <c r="BXW54" s="113"/>
      <c r="BYH54" s="113"/>
      <c r="BYS54" s="113"/>
      <c r="BZD54" s="113"/>
      <c r="BZO54" s="113"/>
      <c r="BZZ54" s="113"/>
      <c r="CAK54" s="113"/>
      <c r="CAV54" s="113"/>
      <c r="CBG54" s="113"/>
      <c r="CBR54" s="113"/>
      <c r="CCC54" s="113"/>
      <c r="CCN54" s="113"/>
      <c r="CCY54" s="113"/>
      <c r="CDJ54" s="113"/>
      <c r="CDU54" s="113"/>
      <c r="CEF54" s="113"/>
      <c r="CEQ54" s="113"/>
      <c r="CFB54" s="113"/>
      <c r="CFM54" s="113"/>
      <c r="CFX54" s="113"/>
      <c r="CGI54" s="113"/>
      <c r="CGT54" s="113"/>
      <c r="CHE54" s="113"/>
      <c r="CHP54" s="113"/>
      <c r="CIA54" s="113"/>
      <c r="CIL54" s="113"/>
      <c r="CIW54" s="113"/>
      <c r="CJH54" s="113"/>
      <c r="CJS54" s="113"/>
      <c r="CKD54" s="113"/>
      <c r="CKO54" s="113"/>
      <c r="CKZ54" s="113"/>
      <c r="CLE54" s="113"/>
      <c r="CLK54" s="113"/>
      <c r="CLP54" s="113"/>
      <c r="CMA54" s="113"/>
      <c r="CML54" s="113"/>
      <c r="CMW54" s="113"/>
      <c r="CNH54" s="113"/>
      <c r="CNS54" s="113"/>
      <c r="COD54" s="113"/>
      <c r="COO54" s="113"/>
      <c r="COZ54" s="113"/>
      <c r="CPK54" s="113"/>
      <c r="CPV54" s="113"/>
      <c r="CQG54" s="113"/>
      <c r="CQR54" s="113"/>
      <c r="CRC54" s="113"/>
      <c r="CRN54" s="113"/>
      <c r="CRY54" s="113"/>
      <c r="CSJ54" s="113"/>
      <c r="CSU54" s="113"/>
      <c r="CTF54" s="113"/>
      <c r="CTQ54" s="113"/>
      <c r="CUB54" s="113"/>
      <c r="CUM54" s="113"/>
      <c r="CUX54" s="113"/>
      <c r="CVI54" s="113"/>
      <c r="CYS54" s="113"/>
      <c r="CZD54" s="113"/>
      <c r="CZL54" s="113"/>
      <c r="CZW54" s="113"/>
      <c r="DAE54" s="113"/>
      <c r="DAP54" s="113"/>
      <c r="DBA54" s="113"/>
      <c r="DBL54" s="113"/>
      <c r="DBW54" s="113"/>
      <c r="DCF54" s="113"/>
      <c r="DCI54" s="113"/>
    </row>
    <row r="55" spans="1834:2043 2054:2791" x14ac:dyDescent="0.25">
      <c r="BRN55" s="113"/>
      <c r="BRY55" s="113"/>
      <c r="BSJ55" s="113"/>
      <c r="BSU55" s="113"/>
      <c r="BTF55" s="113"/>
      <c r="BTQ55" s="113"/>
      <c r="BUB55" s="113"/>
      <c r="BUM55" s="113"/>
      <c r="BUX55" s="113"/>
      <c r="BVI55" s="113"/>
      <c r="BVT55" s="113"/>
      <c r="BWE55" s="113"/>
      <c r="BWP55" s="113"/>
      <c r="BXA55" s="113"/>
      <c r="BXL55" s="113"/>
      <c r="BXW55" s="113"/>
      <c r="BYH55" s="113"/>
      <c r="BYS55" s="113"/>
      <c r="BZD55" s="113"/>
      <c r="BZO55" s="113"/>
      <c r="BZZ55" s="113"/>
      <c r="CAK55" s="113"/>
      <c r="CAV55" s="113"/>
      <c r="CBG55" s="113"/>
      <c r="CBR55" s="113"/>
      <c r="CCC55" s="113"/>
      <c r="CCN55" s="113"/>
      <c r="CCY55" s="113"/>
      <c r="CDJ55" s="113"/>
      <c r="CDU55" s="113"/>
      <c r="CEF55" s="113"/>
      <c r="CEQ55" s="113"/>
      <c r="CFB55" s="113"/>
      <c r="CFM55" s="113"/>
      <c r="CFX55" s="113"/>
      <c r="CGI55" s="113"/>
      <c r="CGT55" s="113"/>
      <c r="CHE55" s="113"/>
      <c r="CHP55" s="113"/>
      <c r="CIA55" s="113"/>
      <c r="CIL55" s="113"/>
      <c r="CIW55" s="113"/>
      <c r="CJH55" s="113"/>
      <c r="CJS55" s="113"/>
      <c r="CKD55" s="113"/>
      <c r="CKO55" s="113"/>
      <c r="CKZ55" s="113"/>
      <c r="CLE55" s="113"/>
      <c r="CLK55" s="113"/>
      <c r="CLP55" s="113"/>
      <c r="CMA55" s="113"/>
      <c r="CML55" s="113"/>
      <c r="CMW55" s="113"/>
      <c r="CNH55" s="113"/>
      <c r="CNS55" s="113"/>
      <c r="COD55" s="113"/>
      <c r="COO55" s="113"/>
      <c r="COZ55" s="113"/>
      <c r="CPK55" s="113"/>
      <c r="CPV55" s="113"/>
      <c r="CQG55" s="113"/>
      <c r="CQR55" s="113"/>
      <c r="CRC55" s="113"/>
      <c r="CRN55" s="113"/>
      <c r="CRY55" s="113"/>
      <c r="CSJ55" s="113"/>
      <c r="CSU55" s="113"/>
      <c r="CTF55" s="113"/>
      <c r="CTQ55" s="113"/>
      <c r="CUB55" s="113"/>
      <c r="CUM55" s="113"/>
      <c r="CUX55" s="113"/>
      <c r="CVI55" s="113"/>
      <c r="CYS55" s="113"/>
      <c r="CZD55" s="113"/>
      <c r="CZL55" s="113"/>
      <c r="CZW55" s="113"/>
      <c r="DAE55" s="113"/>
      <c r="DAP55" s="113"/>
      <c r="DBA55" s="113"/>
      <c r="DBL55" s="113"/>
      <c r="DBW55" s="113"/>
      <c r="DCI55" s="113"/>
    </row>
    <row r="56" spans="1834:2043 2054:2791" x14ac:dyDescent="0.25">
      <c r="BRN56" s="113"/>
      <c r="BRY56" s="113"/>
      <c r="BSJ56" s="113"/>
      <c r="BSU56" s="113"/>
      <c r="BTF56" s="113"/>
      <c r="BTQ56" s="113"/>
      <c r="BUB56" s="113"/>
      <c r="BUM56" s="113"/>
      <c r="BUX56" s="113"/>
      <c r="BVI56" s="113"/>
      <c r="BVT56" s="113"/>
      <c r="BWE56" s="113"/>
      <c r="BWP56" s="113"/>
      <c r="BXA56" s="113"/>
      <c r="BXL56" s="113"/>
      <c r="BXW56" s="113"/>
      <c r="BYH56" s="113"/>
      <c r="BYS56" s="113"/>
      <c r="BZD56" s="113"/>
      <c r="BZO56" s="113"/>
      <c r="BZZ56" s="113"/>
      <c r="CAK56" s="113"/>
      <c r="CAV56" s="113"/>
      <c r="CBG56" s="113"/>
      <c r="CBR56" s="113"/>
      <c r="CCC56" s="113"/>
      <c r="CCN56" s="113"/>
      <c r="CCY56" s="113"/>
      <c r="CDJ56" s="113"/>
      <c r="CDU56" s="113"/>
      <c r="CEF56" s="113"/>
      <c r="CEQ56" s="113"/>
      <c r="CFB56" s="113"/>
      <c r="CFM56" s="113"/>
      <c r="CFX56" s="113"/>
      <c r="CGI56" s="113"/>
      <c r="CGT56" s="113"/>
      <c r="CHE56" s="113"/>
      <c r="CHP56" s="113"/>
      <c r="CIA56" s="113"/>
      <c r="CIL56" s="113"/>
      <c r="CIW56" s="113"/>
      <c r="CJH56" s="113"/>
      <c r="CJS56" s="113"/>
      <c r="CKD56" s="113"/>
      <c r="CKO56" s="113"/>
      <c r="CKZ56" s="113"/>
      <c r="CLE56" s="113"/>
      <c r="CLK56" s="113"/>
      <c r="CLP56" s="113"/>
      <c r="CMA56" s="113"/>
      <c r="CML56" s="113"/>
      <c r="CMW56" s="113"/>
      <c r="CNH56" s="113"/>
      <c r="CNS56" s="113"/>
      <c r="COD56" s="113"/>
      <c r="COO56" s="113"/>
      <c r="COZ56" s="113"/>
      <c r="CPK56" s="113"/>
      <c r="CPV56" s="113"/>
      <c r="CQG56" s="113"/>
      <c r="CQR56" s="113"/>
      <c r="CRC56" s="113"/>
      <c r="CRN56" s="113"/>
      <c r="CRY56" s="113"/>
      <c r="CSJ56" s="113"/>
      <c r="CSU56" s="113"/>
      <c r="CTF56" s="113"/>
      <c r="CTQ56" s="113"/>
      <c r="CUB56" s="113"/>
      <c r="CUM56" s="113"/>
      <c r="CUX56" s="113"/>
      <c r="CVI56" s="113"/>
      <c r="CYS56" s="113"/>
      <c r="CZD56" s="113"/>
      <c r="CZL56" s="113"/>
      <c r="CZW56" s="113"/>
      <c r="DAE56" s="113"/>
      <c r="DAP56" s="113"/>
      <c r="DBA56" s="113"/>
      <c r="DBL56" s="113"/>
      <c r="DBW56" s="113"/>
      <c r="DCI56" s="113"/>
    </row>
    <row r="57" spans="1834:2043 2054:2791" x14ac:dyDescent="0.25">
      <c r="BRN57" s="113"/>
      <c r="BRY57" s="113"/>
      <c r="BSJ57" s="113"/>
      <c r="BSU57" s="113"/>
      <c r="BTF57" s="113"/>
      <c r="BTQ57" s="113"/>
      <c r="BUB57" s="113"/>
      <c r="BUM57" s="113"/>
      <c r="BUX57" s="113"/>
      <c r="BVI57" s="113"/>
      <c r="BVT57" s="113"/>
      <c r="BWE57" s="113"/>
      <c r="BWP57" s="113"/>
      <c r="BXA57" s="113"/>
      <c r="BXL57" s="113"/>
      <c r="BXW57" s="113"/>
      <c r="BYH57" s="113"/>
      <c r="BYS57" s="113"/>
      <c r="BZD57" s="113"/>
      <c r="BZO57" s="113"/>
      <c r="BZZ57" s="113"/>
      <c r="CAK57" s="113"/>
      <c r="CAV57" s="113"/>
      <c r="CBG57" s="113"/>
      <c r="CBR57" s="113"/>
      <c r="CCC57" s="113"/>
      <c r="CCN57" s="113"/>
      <c r="CCY57" s="113"/>
      <c r="CDJ57" s="113"/>
      <c r="CDU57" s="113"/>
      <c r="CEF57" s="113"/>
      <c r="CEQ57" s="113"/>
      <c r="CFB57" s="113"/>
      <c r="CFM57" s="113"/>
      <c r="CFX57" s="113"/>
      <c r="CGI57" s="113"/>
      <c r="CGT57" s="113"/>
      <c r="CHE57" s="113"/>
      <c r="CHP57" s="113"/>
      <c r="CIA57" s="113"/>
      <c r="CIL57" s="113"/>
      <c r="CIW57" s="113"/>
      <c r="CJH57" s="113"/>
      <c r="CJS57" s="113"/>
      <c r="CKD57" s="113"/>
      <c r="CKO57" s="113"/>
      <c r="CKZ57" s="113"/>
      <c r="CLE57" s="113"/>
      <c r="CLK57" s="113"/>
      <c r="CLP57" s="113"/>
      <c r="CMA57" s="113"/>
      <c r="CML57" s="113"/>
      <c r="CMW57" s="113"/>
      <c r="CNH57" s="113"/>
      <c r="CNS57" s="113"/>
      <c r="COD57" s="113"/>
      <c r="COO57" s="113"/>
      <c r="COZ57" s="113"/>
      <c r="CPK57" s="113"/>
      <c r="CPV57" s="113"/>
      <c r="CQG57" s="113"/>
      <c r="CQR57" s="113"/>
      <c r="CRC57" s="113"/>
      <c r="CRN57" s="113"/>
      <c r="CRY57" s="113"/>
      <c r="CSJ57" s="113"/>
      <c r="CSU57" s="113"/>
      <c r="CTF57" s="113"/>
      <c r="CTQ57" s="113"/>
      <c r="CUB57" s="113"/>
      <c r="CUM57" s="113"/>
      <c r="CUX57" s="113"/>
      <c r="CVI57" s="113"/>
      <c r="CYS57" s="113"/>
      <c r="CZD57" s="113"/>
      <c r="CZL57" s="113"/>
      <c r="CZW57" s="113"/>
      <c r="DAE57" s="113"/>
      <c r="DAP57" s="113"/>
      <c r="DBA57" s="113"/>
      <c r="DBL57" s="113"/>
      <c r="DBW57" s="113"/>
      <c r="DCI57" s="113"/>
    </row>
    <row r="58" spans="1834:2043 2054:2791" x14ac:dyDescent="0.25">
      <c r="BRN58" s="113"/>
      <c r="BRY58" s="113"/>
      <c r="BSJ58" s="113"/>
      <c r="BSU58" s="113"/>
      <c r="BTF58" s="113"/>
      <c r="BTQ58" s="113"/>
      <c r="BUB58" s="113"/>
      <c r="BUM58" s="113"/>
      <c r="BUX58" s="113"/>
      <c r="BVI58" s="113"/>
      <c r="BVT58" s="113"/>
      <c r="BWE58" s="113"/>
      <c r="BWP58" s="113"/>
      <c r="BXA58" s="113"/>
      <c r="BXL58" s="113"/>
      <c r="BXW58" s="113"/>
      <c r="BYH58" s="113"/>
      <c r="BYS58" s="113"/>
      <c r="BZD58" s="113"/>
      <c r="BZO58" s="113"/>
      <c r="BZZ58" s="113"/>
      <c r="CAK58" s="113"/>
      <c r="CAV58" s="113"/>
      <c r="CBG58" s="113"/>
      <c r="CBR58" s="113"/>
      <c r="CCC58" s="113"/>
      <c r="CCN58" s="113"/>
      <c r="CCY58" s="113"/>
      <c r="CDJ58" s="113"/>
      <c r="CDU58" s="113"/>
      <c r="CEF58" s="113"/>
      <c r="CEQ58" s="113"/>
      <c r="CFB58" s="113"/>
      <c r="CFM58" s="113"/>
      <c r="CFX58" s="113"/>
      <c r="CGI58" s="113"/>
      <c r="CGT58" s="113"/>
      <c r="CHE58" s="113"/>
      <c r="CHP58" s="113"/>
      <c r="CIA58" s="113"/>
      <c r="CIL58" s="113"/>
      <c r="CIW58" s="113"/>
      <c r="CJH58" s="113"/>
      <c r="CJS58" s="113"/>
      <c r="CKD58" s="113"/>
      <c r="CKO58" s="113"/>
      <c r="CKZ58" s="113"/>
      <c r="CLE58" s="113"/>
      <c r="CLK58" s="113"/>
      <c r="CLP58" s="113"/>
      <c r="CMA58" s="113"/>
      <c r="CML58" s="113"/>
      <c r="CMW58" s="113"/>
      <c r="CNH58" s="113"/>
      <c r="CNS58" s="113"/>
      <c r="COD58" s="113"/>
      <c r="COO58" s="113"/>
      <c r="COZ58" s="113"/>
      <c r="CPK58" s="113"/>
      <c r="CPV58" s="113"/>
      <c r="CQG58" s="113"/>
      <c r="CQR58" s="113"/>
      <c r="CRC58" s="113"/>
      <c r="CRN58" s="113"/>
      <c r="CRY58" s="113"/>
      <c r="CSJ58" s="113"/>
      <c r="CSU58" s="113"/>
      <c r="CTF58" s="113"/>
      <c r="CTQ58" s="113"/>
      <c r="CUB58" s="113"/>
      <c r="CUM58" s="113"/>
      <c r="CUX58" s="113"/>
      <c r="CVI58" s="113"/>
      <c r="CYS58" s="113"/>
      <c r="CZD58" s="113"/>
      <c r="CZL58" s="113"/>
      <c r="CZW58" s="113"/>
      <c r="DAE58" s="113"/>
      <c r="DAP58" s="113"/>
      <c r="DBA58" s="113"/>
      <c r="DBL58" s="113"/>
      <c r="DBW58" s="113"/>
      <c r="DCI58" s="113"/>
    </row>
    <row r="59" spans="1834:2043 2054:2791" x14ac:dyDescent="0.25">
      <c r="BRN59" s="113"/>
      <c r="BRY59" s="113"/>
      <c r="BSJ59" s="113"/>
      <c r="BSU59" s="113"/>
      <c r="BTF59" s="113"/>
      <c r="BTQ59" s="113"/>
      <c r="BUB59" s="113"/>
      <c r="BUM59" s="113"/>
      <c r="BUX59" s="113"/>
      <c r="BVI59" s="113"/>
      <c r="BVT59" s="113"/>
      <c r="BWE59" s="113"/>
      <c r="BWP59" s="113"/>
      <c r="BXA59" s="113"/>
      <c r="BXL59" s="113"/>
      <c r="BXW59" s="113"/>
      <c r="BYH59" s="113"/>
      <c r="BYS59" s="113"/>
      <c r="BZD59" s="113"/>
      <c r="BZO59" s="113"/>
      <c r="BZZ59" s="113"/>
      <c r="CAK59" s="113"/>
      <c r="CAV59" s="113"/>
      <c r="CBG59" s="113"/>
      <c r="CBR59" s="113"/>
      <c r="CCC59" s="113"/>
      <c r="CCN59" s="113"/>
      <c r="CCY59" s="113"/>
      <c r="CDJ59" s="113"/>
      <c r="CDU59" s="113"/>
      <c r="CEF59" s="113"/>
      <c r="CEQ59" s="113"/>
      <c r="CFB59" s="113"/>
      <c r="CFM59" s="113"/>
      <c r="CFX59" s="113"/>
      <c r="CGI59" s="113"/>
      <c r="CGT59" s="113"/>
      <c r="CHE59" s="113"/>
      <c r="CHP59" s="113"/>
      <c r="CIA59" s="113"/>
      <c r="CIL59" s="113"/>
      <c r="CIW59" s="113"/>
      <c r="CJH59" s="113"/>
      <c r="CJS59" s="113"/>
      <c r="CKD59" s="113"/>
      <c r="CKO59" s="113"/>
      <c r="CKZ59" s="113"/>
      <c r="CLE59" s="113"/>
      <c r="CLK59" s="113"/>
      <c r="CLP59" s="113"/>
      <c r="CMA59" s="113"/>
      <c r="CML59" s="113"/>
      <c r="CMW59" s="113"/>
      <c r="CNH59" s="113"/>
      <c r="CNS59" s="113"/>
      <c r="COD59" s="113"/>
      <c r="COO59" s="113"/>
      <c r="COZ59" s="113"/>
      <c r="CPK59" s="113"/>
      <c r="CPV59" s="113"/>
      <c r="CQG59" s="113"/>
      <c r="CQR59" s="113"/>
      <c r="CRC59" s="113"/>
      <c r="CRN59" s="113"/>
      <c r="CRY59" s="113"/>
      <c r="CSJ59" s="113"/>
      <c r="CSU59" s="113"/>
      <c r="CTF59" s="113"/>
      <c r="CTQ59" s="113"/>
      <c r="CUB59" s="113"/>
      <c r="CUM59" s="113"/>
      <c r="CUX59" s="113"/>
      <c r="CVI59" s="113"/>
      <c r="CYS59" s="113"/>
      <c r="CZD59" s="113"/>
      <c r="CZL59" s="113"/>
      <c r="CZW59" s="113"/>
      <c r="DAE59" s="113"/>
      <c r="DAP59" s="113"/>
      <c r="DBA59" s="113"/>
      <c r="DBL59" s="113"/>
      <c r="DBW59" s="113"/>
      <c r="DCI59" s="113"/>
    </row>
    <row r="60" spans="1834:2043 2054:2791" x14ac:dyDescent="0.25">
      <c r="BRN60" s="113"/>
      <c r="BRY60" s="113"/>
      <c r="BSJ60" s="113"/>
      <c r="BSU60" s="113"/>
      <c r="BTF60" s="113"/>
      <c r="BTQ60" s="113"/>
      <c r="BUB60" s="113"/>
      <c r="BUM60" s="113"/>
      <c r="BUX60" s="113"/>
      <c r="BVI60" s="113"/>
      <c r="BVT60" s="113"/>
      <c r="BWE60" s="113"/>
      <c r="BWP60" s="113"/>
      <c r="BXA60" s="113"/>
      <c r="BXL60" s="113"/>
      <c r="BXW60" s="113"/>
      <c r="BYH60" s="113"/>
      <c r="BYS60" s="113"/>
      <c r="BZD60" s="113"/>
      <c r="BZO60" s="113"/>
      <c r="BZZ60" s="113"/>
      <c r="CAK60" s="113"/>
      <c r="CAV60" s="113"/>
      <c r="CBG60" s="113"/>
      <c r="CBR60" s="113"/>
      <c r="CCC60" s="113"/>
      <c r="CCN60" s="113"/>
      <c r="CCY60" s="113"/>
      <c r="CDJ60" s="113"/>
      <c r="CDU60" s="113"/>
      <c r="CEF60" s="113"/>
      <c r="CEQ60" s="113"/>
      <c r="CFB60" s="113"/>
      <c r="CFM60" s="113"/>
      <c r="CFX60" s="113"/>
      <c r="CGI60" s="113"/>
      <c r="CGT60" s="113"/>
      <c r="CHE60" s="113"/>
      <c r="CHP60" s="113"/>
      <c r="CIA60" s="113"/>
      <c r="CIL60" s="113"/>
      <c r="CIW60" s="113"/>
      <c r="CJH60" s="113"/>
      <c r="CJS60" s="113"/>
      <c r="CKD60" s="113"/>
      <c r="CKO60" s="113"/>
      <c r="CKZ60" s="113"/>
      <c r="CLE60" s="113"/>
      <c r="CLK60" s="113"/>
      <c r="CLP60" s="113"/>
      <c r="CMA60" s="113"/>
      <c r="CML60" s="113"/>
      <c r="CMW60" s="113"/>
      <c r="CNH60" s="113"/>
      <c r="CNS60" s="113"/>
      <c r="COD60" s="113"/>
      <c r="COO60" s="113"/>
      <c r="COZ60" s="113"/>
      <c r="CPK60" s="113"/>
      <c r="CPV60" s="113"/>
      <c r="CQG60" s="113"/>
      <c r="CQR60" s="113"/>
      <c r="CRC60" s="113"/>
      <c r="CRN60" s="113"/>
      <c r="CRY60" s="113"/>
      <c r="CSJ60" s="113"/>
      <c r="CSU60" s="113"/>
      <c r="CTF60" s="113"/>
      <c r="CTQ60" s="113"/>
      <c r="CUB60" s="113"/>
      <c r="CUM60" s="113"/>
      <c r="CUX60" s="113"/>
      <c r="CVI60" s="113"/>
      <c r="CYS60" s="113"/>
      <c r="CZD60" s="113"/>
      <c r="CZL60" s="113"/>
      <c r="CZW60" s="113"/>
      <c r="DAE60" s="113"/>
      <c r="DAP60" s="113"/>
      <c r="DBA60" s="113"/>
      <c r="DBL60" s="113"/>
      <c r="DBW60" s="113"/>
      <c r="DCI60" s="113"/>
    </row>
    <row r="61" spans="1834:2043 2054:2791" x14ac:dyDescent="0.25">
      <c r="BRN61" s="113"/>
      <c r="BRY61" s="113"/>
      <c r="BSJ61" s="113"/>
      <c r="BSU61" s="113"/>
      <c r="BTF61" s="113"/>
      <c r="BTQ61" s="113"/>
      <c r="BUB61" s="113"/>
      <c r="BUM61" s="113"/>
      <c r="BUX61" s="113"/>
      <c r="BVI61" s="113"/>
      <c r="BVT61" s="113"/>
      <c r="BWE61" s="113"/>
      <c r="BWP61" s="113"/>
      <c r="BXA61" s="113"/>
      <c r="BXL61" s="113"/>
      <c r="BXW61" s="113"/>
      <c r="BYH61" s="113"/>
      <c r="BYS61" s="113"/>
      <c r="BZD61" s="113"/>
      <c r="BZO61" s="113"/>
      <c r="BZZ61" s="113"/>
      <c r="CAK61" s="113"/>
      <c r="CAV61" s="113"/>
      <c r="CBG61" s="113"/>
      <c r="CBR61" s="113"/>
      <c r="CCC61" s="113"/>
      <c r="CCN61" s="113"/>
      <c r="CCY61" s="113"/>
      <c r="CDJ61" s="113"/>
      <c r="CDU61" s="113"/>
      <c r="CEF61" s="113"/>
      <c r="CEQ61" s="113"/>
      <c r="CFB61" s="113"/>
      <c r="CFM61" s="113"/>
      <c r="CFX61" s="113"/>
      <c r="CGI61" s="113"/>
      <c r="CGT61" s="113"/>
      <c r="CHE61" s="113"/>
      <c r="CHP61" s="113"/>
      <c r="CIA61" s="113"/>
      <c r="CIL61" s="113"/>
      <c r="CIW61" s="113"/>
      <c r="CJH61" s="113"/>
      <c r="CJS61" s="113"/>
      <c r="CKD61" s="113"/>
      <c r="CKO61" s="113"/>
      <c r="CKZ61" s="113"/>
      <c r="CLE61" s="113"/>
      <c r="CLK61" s="113"/>
      <c r="CLP61" s="113"/>
      <c r="CMA61" s="113"/>
      <c r="CML61" s="113"/>
      <c r="CMW61" s="113"/>
      <c r="CNH61" s="113"/>
      <c r="CNS61" s="113"/>
      <c r="COD61" s="113"/>
      <c r="COO61" s="113"/>
      <c r="COZ61" s="113"/>
      <c r="CPK61" s="113"/>
      <c r="CPV61" s="113"/>
      <c r="CQG61" s="113"/>
      <c r="CQR61" s="113"/>
      <c r="CRC61" s="113"/>
      <c r="CRN61" s="113"/>
      <c r="CRY61" s="113"/>
      <c r="CSJ61" s="113"/>
      <c r="CSU61" s="113"/>
      <c r="CTF61" s="113"/>
      <c r="CTQ61" s="113"/>
      <c r="CUB61" s="113"/>
      <c r="CUM61" s="113"/>
      <c r="CUX61" s="113"/>
      <c r="CVI61" s="113"/>
      <c r="CYS61" s="113"/>
      <c r="CZD61" s="113"/>
      <c r="CZL61" s="113"/>
      <c r="CZW61" s="113"/>
      <c r="DAE61" s="113"/>
      <c r="DAP61" s="113"/>
      <c r="DBA61" s="113"/>
      <c r="DBL61" s="113"/>
      <c r="DBW61" s="113"/>
      <c r="DCI61" s="113"/>
    </row>
    <row r="62" spans="1834:2043 2054:2791" x14ac:dyDescent="0.25">
      <c r="BRN62" s="113"/>
      <c r="BRY62" s="113"/>
      <c r="BSJ62" s="113"/>
      <c r="BSU62" s="113"/>
      <c r="BTF62" s="113"/>
      <c r="BTQ62" s="113"/>
      <c r="BUB62" s="113"/>
      <c r="BUM62" s="113"/>
      <c r="BUX62" s="113"/>
      <c r="BVI62" s="113"/>
      <c r="BVT62" s="113"/>
      <c r="BWE62" s="113"/>
      <c r="BWP62" s="113"/>
      <c r="BXA62" s="113"/>
      <c r="BXL62" s="113"/>
      <c r="BXW62" s="113"/>
      <c r="BYH62" s="113"/>
      <c r="BYS62" s="113"/>
      <c r="BZD62" s="113"/>
      <c r="BZO62" s="113"/>
      <c r="BZZ62" s="113"/>
      <c r="CAK62" s="113"/>
      <c r="CAV62" s="113"/>
      <c r="CBG62" s="113"/>
      <c r="CBR62" s="113"/>
      <c r="CCC62" s="113"/>
      <c r="CCN62" s="113"/>
      <c r="CCY62" s="113"/>
      <c r="CDJ62" s="113"/>
      <c r="CDU62" s="113"/>
      <c r="CEF62" s="113"/>
      <c r="CEQ62" s="113"/>
      <c r="CFB62" s="113"/>
      <c r="CFM62" s="113"/>
      <c r="CFX62" s="113"/>
      <c r="CGI62" s="113"/>
      <c r="CGT62" s="113"/>
      <c r="CHE62" s="113"/>
      <c r="CHP62" s="113"/>
      <c r="CIA62" s="113"/>
      <c r="CIL62" s="113"/>
      <c r="CIW62" s="113"/>
      <c r="CJH62" s="113"/>
      <c r="CJS62" s="113"/>
      <c r="CKD62" s="113"/>
      <c r="CKO62" s="113"/>
      <c r="CKZ62" s="113"/>
      <c r="CLE62" s="113"/>
      <c r="CLK62" s="113"/>
      <c r="CLP62" s="113"/>
      <c r="CMA62" s="113"/>
      <c r="CML62" s="113"/>
      <c r="CMW62" s="113"/>
      <c r="CNH62" s="113"/>
      <c r="CNS62" s="113"/>
      <c r="COD62" s="113"/>
      <c r="COO62" s="113"/>
      <c r="COZ62" s="113"/>
      <c r="CPK62" s="113"/>
      <c r="CPV62" s="113"/>
      <c r="CQG62" s="113"/>
      <c r="CQR62" s="113"/>
      <c r="CRC62" s="113"/>
      <c r="CRN62" s="113"/>
      <c r="CRY62" s="113"/>
      <c r="CSJ62" s="113"/>
      <c r="CSU62" s="113"/>
      <c r="CTF62" s="113"/>
      <c r="CTQ62" s="113"/>
      <c r="CUB62" s="113"/>
      <c r="CUM62" s="113"/>
      <c r="CUX62" s="113"/>
      <c r="CVI62" s="113"/>
      <c r="CYS62" s="113"/>
      <c r="CZD62" s="113"/>
      <c r="CZL62" s="113"/>
      <c r="CZW62" s="113"/>
      <c r="DAE62" s="113"/>
      <c r="DAP62" s="113"/>
      <c r="DBA62" s="113"/>
      <c r="DBL62" s="113"/>
      <c r="DBW62" s="113"/>
      <c r="DCI62" s="113"/>
    </row>
    <row r="63" spans="1834:2043 2054:2791" x14ac:dyDescent="0.25">
      <c r="BRN63" s="113"/>
      <c r="BRY63" s="113"/>
      <c r="BSJ63" s="113"/>
      <c r="BSU63" s="113"/>
      <c r="BTF63" s="113"/>
      <c r="BTQ63" s="113"/>
      <c r="BUB63" s="113"/>
      <c r="BUM63" s="113"/>
      <c r="BUX63" s="113"/>
      <c r="BVI63" s="113"/>
      <c r="BVT63" s="113"/>
      <c r="BWE63" s="113"/>
      <c r="BWP63" s="113"/>
      <c r="BXA63" s="113"/>
      <c r="BXL63" s="113"/>
      <c r="BXW63" s="113"/>
      <c r="BYH63" s="113"/>
      <c r="BYS63" s="113"/>
      <c r="BZD63" s="113"/>
      <c r="BZO63" s="113"/>
      <c r="BZZ63" s="113"/>
      <c r="CAK63" s="113"/>
      <c r="CAV63" s="113"/>
      <c r="CBG63" s="113"/>
      <c r="CBR63" s="113"/>
      <c r="CCC63" s="113"/>
      <c r="CCN63" s="113"/>
      <c r="CCY63" s="113"/>
      <c r="CDJ63" s="113"/>
      <c r="CDU63" s="113"/>
      <c r="CEF63" s="113"/>
      <c r="CEQ63" s="113"/>
      <c r="CFB63" s="113"/>
      <c r="CFM63" s="113"/>
      <c r="CFX63" s="113"/>
      <c r="CGI63" s="113"/>
      <c r="CGT63" s="113"/>
      <c r="CHE63" s="113"/>
      <c r="CHP63" s="113"/>
      <c r="CIA63" s="113"/>
      <c r="CIL63" s="113"/>
      <c r="CIW63" s="113"/>
      <c r="CJH63" s="113"/>
      <c r="CJS63" s="113"/>
      <c r="CKD63" s="113"/>
      <c r="CKO63" s="113"/>
      <c r="CKZ63" s="113"/>
      <c r="CLE63" s="113"/>
      <c r="CLK63" s="113"/>
      <c r="CLP63" s="113"/>
      <c r="CMA63" s="113"/>
      <c r="CML63" s="113"/>
      <c r="CMW63" s="113"/>
      <c r="CNH63" s="113"/>
      <c r="CNS63" s="113"/>
      <c r="COD63" s="113"/>
      <c r="COO63" s="113"/>
      <c r="COZ63" s="113"/>
      <c r="CPK63" s="113"/>
      <c r="CPV63" s="113"/>
      <c r="CQG63" s="113"/>
      <c r="CQR63" s="113"/>
      <c r="CRC63" s="113"/>
      <c r="CRN63" s="113"/>
      <c r="CRY63" s="113"/>
      <c r="CSJ63" s="113"/>
      <c r="CSU63" s="113"/>
      <c r="CTF63" s="113"/>
      <c r="CTQ63" s="113"/>
      <c r="CUB63" s="113"/>
      <c r="CUM63" s="113"/>
      <c r="CUX63" s="113"/>
      <c r="CVI63" s="113"/>
      <c r="CYS63" s="113"/>
      <c r="CZD63" s="113"/>
      <c r="CZL63" s="113"/>
      <c r="CZW63" s="113"/>
      <c r="DAE63" s="113"/>
      <c r="DAP63" s="113"/>
      <c r="DBA63" s="113"/>
      <c r="DBL63" s="113"/>
      <c r="DBW63" s="113"/>
      <c r="DCI63" s="113"/>
    </row>
    <row r="64" spans="1834:2043 2054:2791" x14ac:dyDescent="0.25">
      <c r="BRN64" s="113"/>
      <c r="BRY64" s="113"/>
      <c r="BSJ64" s="113"/>
      <c r="BSU64" s="113"/>
      <c r="BTF64" s="113"/>
      <c r="BTQ64" s="113"/>
      <c r="BUB64" s="113"/>
      <c r="BUM64" s="113"/>
      <c r="BUX64" s="113"/>
      <c r="BVI64" s="113"/>
      <c r="BVT64" s="113"/>
      <c r="BWE64" s="113"/>
      <c r="BWP64" s="113"/>
      <c r="BXA64" s="113"/>
      <c r="BXL64" s="113"/>
      <c r="BXW64" s="113"/>
      <c r="BYH64" s="113"/>
      <c r="BYS64" s="113"/>
      <c r="BZD64" s="113"/>
      <c r="BZO64" s="113"/>
      <c r="BZZ64" s="113"/>
      <c r="CAK64" s="113"/>
      <c r="CAV64" s="113"/>
      <c r="CBG64" s="113"/>
      <c r="CBR64" s="113"/>
      <c r="CCC64" s="113"/>
      <c r="CCN64" s="113"/>
      <c r="CCY64" s="113"/>
      <c r="CDJ64" s="113"/>
      <c r="CDU64" s="113"/>
      <c r="CEF64" s="113"/>
      <c r="CEQ64" s="113"/>
      <c r="CFB64" s="113"/>
      <c r="CFM64" s="113"/>
      <c r="CFX64" s="113"/>
      <c r="CGI64" s="113"/>
      <c r="CGT64" s="113"/>
      <c r="CHE64" s="113"/>
      <c r="CHP64" s="113"/>
      <c r="CIA64" s="113"/>
      <c r="CIL64" s="113"/>
      <c r="CIW64" s="113"/>
      <c r="CJH64" s="113"/>
      <c r="CJS64" s="113"/>
      <c r="CKD64" s="113"/>
      <c r="CKO64" s="113"/>
      <c r="CKZ64" s="113"/>
      <c r="CLE64" s="113"/>
      <c r="CLK64" s="113"/>
      <c r="CLP64" s="113"/>
      <c r="CMA64" s="113"/>
      <c r="CML64" s="113"/>
      <c r="CMW64" s="113"/>
      <c r="CNH64" s="113"/>
      <c r="CNS64" s="113"/>
      <c r="COD64" s="113"/>
      <c r="COO64" s="113"/>
      <c r="COZ64" s="113"/>
      <c r="CPK64" s="113"/>
      <c r="CPV64" s="113"/>
      <c r="CQG64" s="113"/>
      <c r="CQR64" s="113"/>
      <c r="CRC64" s="113"/>
      <c r="CRN64" s="113"/>
      <c r="CRY64" s="113"/>
      <c r="CSJ64" s="113"/>
      <c r="CSU64" s="113"/>
      <c r="CTF64" s="113"/>
      <c r="CTQ64" s="113"/>
      <c r="CUB64" s="113"/>
      <c r="CUM64" s="113"/>
      <c r="CUX64" s="113"/>
      <c r="CVI64" s="113"/>
      <c r="CYS64" s="113"/>
      <c r="CZD64" s="113"/>
      <c r="CZL64" s="113"/>
      <c r="CZW64" s="113"/>
      <c r="DAE64" s="113"/>
      <c r="DAP64" s="113"/>
      <c r="DBA64" s="113"/>
      <c r="DBL64" s="113"/>
      <c r="DBW64" s="113"/>
      <c r="DCI64" s="113"/>
    </row>
    <row r="65" spans="1834:2043 2054:2791" x14ac:dyDescent="0.25">
      <c r="BRN65" s="113"/>
      <c r="BRY65" s="113"/>
      <c r="BSJ65" s="113"/>
      <c r="BSU65" s="113"/>
      <c r="BTF65" s="113"/>
      <c r="BTQ65" s="113"/>
      <c r="BUB65" s="113"/>
      <c r="BUM65" s="113"/>
      <c r="BUX65" s="113"/>
      <c r="BVI65" s="113"/>
      <c r="BVT65" s="113"/>
      <c r="BWE65" s="113"/>
      <c r="BWP65" s="113"/>
      <c r="BXA65" s="113"/>
      <c r="BXL65" s="113"/>
      <c r="BXW65" s="113"/>
      <c r="BYH65" s="113"/>
      <c r="BYS65" s="113"/>
      <c r="BZD65" s="113"/>
      <c r="BZO65" s="113"/>
      <c r="BZZ65" s="113"/>
      <c r="CAK65" s="113"/>
      <c r="CAV65" s="113"/>
      <c r="CBG65" s="113"/>
      <c r="CBR65" s="113"/>
      <c r="CCC65" s="113"/>
      <c r="CCN65" s="113"/>
      <c r="CCY65" s="113"/>
      <c r="CDJ65" s="113"/>
      <c r="CDU65" s="113"/>
      <c r="CEF65" s="113"/>
      <c r="CEQ65" s="113"/>
      <c r="CFB65" s="113"/>
      <c r="CFM65" s="113"/>
      <c r="CFX65" s="113"/>
      <c r="CGI65" s="113"/>
      <c r="CGT65" s="113"/>
      <c r="CHE65" s="113"/>
      <c r="CHP65" s="113"/>
      <c r="CIA65" s="113"/>
      <c r="CIL65" s="113"/>
      <c r="CIW65" s="113"/>
      <c r="CJH65" s="113"/>
      <c r="CJS65" s="113"/>
      <c r="CKD65" s="113"/>
      <c r="CKO65" s="113"/>
      <c r="CKZ65" s="113"/>
      <c r="CLE65" s="113"/>
      <c r="CLK65" s="113"/>
      <c r="CLP65" s="113"/>
      <c r="CMA65" s="113"/>
      <c r="CML65" s="113"/>
      <c r="CMW65" s="113"/>
      <c r="CNH65" s="113"/>
      <c r="CNS65" s="113"/>
      <c r="COD65" s="113"/>
      <c r="COO65" s="113"/>
      <c r="COZ65" s="113"/>
      <c r="CPK65" s="113"/>
      <c r="CPV65" s="113"/>
      <c r="CQG65" s="113"/>
      <c r="CQR65" s="113"/>
      <c r="CRC65" s="113"/>
      <c r="CRN65" s="113"/>
      <c r="CRY65" s="113"/>
      <c r="CSJ65" s="113"/>
      <c r="CSU65" s="113"/>
      <c r="CTF65" s="113"/>
      <c r="CTQ65" s="113"/>
      <c r="CUB65" s="113"/>
      <c r="CUM65" s="113"/>
      <c r="CUX65" s="113"/>
      <c r="CVI65" s="113"/>
      <c r="CYS65" s="113"/>
      <c r="CZD65" s="113"/>
      <c r="CZL65" s="113"/>
      <c r="CZW65" s="113"/>
      <c r="DAE65" s="113"/>
      <c r="DAP65" s="113"/>
      <c r="DBA65" s="113"/>
      <c r="DBL65" s="113"/>
      <c r="DBW65" s="113"/>
      <c r="DCI65" s="1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">
    <tabColor rgb="FF0070C0"/>
  </sheetPr>
  <dimension ref="B3:T55"/>
  <sheetViews>
    <sheetView showGridLines="0" topLeftCell="D3" zoomScale="80" zoomScaleNormal="80" workbookViewId="0">
      <selection activeCell="B34" sqref="B34:T54"/>
    </sheetView>
  </sheetViews>
  <sheetFormatPr baseColWidth="10" defaultColWidth="9.1796875" defaultRowHeight="12.5" x14ac:dyDescent="0.25"/>
  <cols>
    <col min="1" max="1" width="2.1796875" style="63" customWidth="1"/>
    <col min="2" max="2" width="13.54296875" style="63" customWidth="1"/>
    <col min="3" max="3" width="23" style="63" customWidth="1"/>
    <col min="4" max="4" width="10.7265625" style="63" customWidth="1"/>
    <col min="5" max="5" width="12.81640625" style="63" customWidth="1"/>
    <col min="6" max="6" width="12.1796875" style="63" customWidth="1"/>
    <col min="7" max="7" width="9.1796875" style="63" customWidth="1"/>
    <col min="8" max="8" width="10.7265625" style="63" customWidth="1"/>
    <col min="9" max="9" width="11.54296875" style="63" customWidth="1"/>
    <col min="10" max="10" width="9.1796875" style="63" customWidth="1"/>
    <col min="11" max="11" width="13" style="63" customWidth="1"/>
    <col min="12" max="12" width="10.453125" style="63" bestFit="1" customWidth="1"/>
    <col min="13" max="13" width="12" style="63" customWidth="1"/>
    <col min="14" max="14" width="14" style="63" customWidth="1"/>
    <col min="15" max="15" width="14.26953125" style="63" customWidth="1"/>
    <col min="16" max="16" width="11.81640625" style="63" customWidth="1"/>
    <col min="17" max="17" width="14.1796875" style="63" customWidth="1"/>
    <col min="18" max="18" width="13.453125" style="63" customWidth="1"/>
    <col min="19" max="19" width="13" style="63" customWidth="1"/>
    <col min="20" max="20" width="15.81640625" style="63" customWidth="1"/>
    <col min="21" max="16384" width="9.1796875" style="63"/>
  </cols>
  <sheetData>
    <row r="3" spans="2:20" ht="13" x14ac:dyDescent="0.3">
      <c r="B3" s="151" t="s">
        <v>169</v>
      </c>
      <c r="C3" s="169"/>
      <c r="D3" s="170">
        <v>600</v>
      </c>
    </row>
    <row r="4" spans="2:20" ht="13" x14ac:dyDescent="0.3">
      <c r="B4" s="202" t="s">
        <v>0</v>
      </c>
      <c r="C4" s="203" t="s">
        <v>1</v>
      </c>
      <c r="D4" s="203" t="s">
        <v>2</v>
      </c>
      <c r="E4" s="203" t="s">
        <v>3</v>
      </c>
      <c r="F4" s="203" t="s">
        <v>4</v>
      </c>
      <c r="G4" s="203" t="s">
        <v>5</v>
      </c>
      <c r="H4" s="203" t="s">
        <v>6</v>
      </c>
      <c r="I4" s="203" t="s">
        <v>7</v>
      </c>
      <c r="J4" s="203" t="s">
        <v>8</v>
      </c>
      <c r="K4" s="203" t="s">
        <v>9</v>
      </c>
      <c r="L4" s="203" t="s">
        <v>10</v>
      </c>
      <c r="M4" s="203" t="s">
        <v>11</v>
      </c>
      <c r="N4" s="203" t="s">
        <v>12</v>
      </c>
      <c r="O4" s="203" t="s">
        <v>13</v>
      </c>
      <c r="P4" s="203" t="s">
        <v>14</v>
      </c>
      <c r="Q4" s="203" t="s">
        <v>15</v>
      </c>
      <c r="R4" s="203" t="s">
        <v>183</v>
      </c>
      <c r="S4" s="203" t="s">
        <v>184</v>
      </c>
      <c r="T4" s="204" t="s">
        <v>185</v>
      </c>
    </row>
    <row r="5" spans="2:20" ht="13" x14ac:dyDescent="0.3">
      <c r="B5" s="205"/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6"/>
      <c r="R5" s="206"/>
      <c r="S5" s="206"/>
      <c r="T5" s="207"/>
    </row>
    <row r="6" spans="2:20" ht="13" x14ac:dyDescent="0.3">
      <c r="B6" s="208"/>
      <c r="C6" s="209"/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10"/>
    </row>
    <row r="7" spans="2:20" x14ac:dyDescent="0.25">
      <c r="B7" s="68">
        <v>30</v>
      </c>
      <c r="C7" s="69" t="s">
        <v>16</v>
      </c>
      <c r="D7" s="71">
        <v>0</v>
      </c>
      <c r="E7" s="71">
        <v>23411226.510000002</v>
      </c>
      <c r="F7" s="71">
        <v>1379624.4</v>
      </c>
      <c r="G7" s="69">
        <v>1</v>
      </c>
      <c r="H7" s="71">
        <v>1379624.4</v>
      </c>
      <c r="I7" s="71">
        <v>9751223.6699999999</v>
      </c>
      <c r="J7" s="69">
        <v>1</v>
      </c>
      <c r="K7" s="71">
        <v>9751223.6699999999</v>
      </c>
      <c r="L7" s="71">
        <v>3261557</v>
      </c>
      <c r="M7" s="71">
        <v>19302687</v>
      </c>
      <c r="N7" s="71">
        <v>-1379624.4</v>
      </c>
      <c r="O7" s="71">
        <v>13660002.84</v>
      </c>
      <c r="P7" s="71">
        <v>-3261557</v>
      </c>
      <c r="Q7" s="71">
        <v>4108539.51</v>
      </c>
      <c r="R7" s="71">
        <v>1869980</v>
      </c>
      <c r="S7" s="71">
        <v>2630914.9300000002</v>
      </c>
      <c r="T7" s="114">
        <v>0</v>
      </c>
    </row>
    <row r="8" spans="2:20" x14ac:dyDescent="0.25">
      <c r="B8" s="68">
        <v>40</v>
      </c>
      <c r="C8" s="69" t="s">
        <v>252</v>
      </c>
      <c r="D8" s="71">
        <v>0</v>
      </c>
      <c r="E8" s="71">
        <v>-2407893.63</v>
      </c>
      <c r="F8" s="71">
        <v>0</v>
      </c>
      <c r="G8" s="69">
        <v>1</v>
      </c>
      <c r="H8" s="71">
        <v>0</v>
      </c>
      <c r="I8" s="71">
        <v>-1384757.37</v>
      </c>
      <c r="J8" s="69">
        <v>1</v>
      </c>
      <c r="K8" s="71">
        <v>-1384757.37</v>
      </c>
      <c r="L8" s="69">
        <v>0</v>
      </c>
      <c r="M8" s="69">
        <v>0</v>
      </c>
      <c r="N8" s="71">
        <v>0</v>
      </c>
      <c r="O8" s="71">
        <v>-1023136.26</v>
      </c>
      <c r="P8" s="71">
        <v>0</v>
      </c>
      <c r="Q8" s="71">
        <v>-2407893.63</v>
      </c>
      <c r="R8" s="69">
        <v>0</v>
      </c>
      <c r="S8" s="71">
        <v>0</v>
      </c>
      <c r="T8" s="114">
        <v>0</v>
      </c>
    </row>
    <row r="9" spans="2:20" x14ac:dyDescent="0.25">
      <c r="B9" s="68">
        <v>50</v>
      </c>
      <c r="C9" s="69" t="s">
        <v>17</v>
      </c>
      <c r="D9" s="71">
        <v>0</v>
      </c>
      <c r="E9" s="71">
        <v>21003332.879999999</v>
      </c>
      <c r="F9" s="71">
        <v>1379624.4</v>
      </c>
      <c r="G9" s="69">
        <v>1</v>
      </c>
      <c r="H9" s="71">
        <v>1379624.4</v>
      </c>
      <c r="I9" s="71">
        <v>8366466.2999999998</v>
      </c>
      <c r="J9" s="69">
        <v>1</v>
      </c>
      <c r="K9" s="71">
        <v>8366466.2999999998</v>
      </c>
      <c r="L9" s="71">
        <v>3261557</v>
      </c>
      <c r="M9" s="71">
        <v>19302687</v>
      </c>
      <c r="N9" s="71">
        <v>-1379624.4</v>
      </c>
      <c r="O9" s="71">
        <v>12636866.58</v>
      </c>
      <c r="P9" s="71">
        <v>-3261557</v>
      </c>
      <c r="Q9" s="71">
        <v>1700645.88</v>
      </c>
      <c r="R9" s="71">
        <v>1869980</v>
      </c>
      <c r="S9" s="71">
        <v>2630914.9300000002</v>
      </c>
      <c r="T9" s="114">
        <v>0</v>
      </c>
    </row>
    <row r="10" spans="2:20" x14ac:dyDescent="0.25">
      <c r="B10" s="68">
        <v>60</v>
      </c>
      <c r="C10" s="69" t="s">
        <v>18</v>
      </c>
      <c r="D10" s="71">
        <v>0</v>
      </c>
      <c r="E10" s="71">
        <v>10407633.119999999</v>
      </c>
      <c r="F10" s="71">
        <v>676151.99</v>
      </c>
      <c r="G10" s="69">
        <v>1</v>
      </c>
      <c r="H10" s="71">
        <v>676151.99</v>
      </c>
      <c r="I10" s="71">
        <v>3745843.18</v>
      </c>
      <c r="J10" s="69">
        <v>1</v>
      </c>
      <c r="K10" s="71">
        <v>3745843.18</v>
      </c>
      <c r="L10" s="71">
        <v>1555054</v>
      </c>
      <c r="M10" s="71">
        <v>9312262</v>
      </c>
      <c r="N10" s="71">
        <v>-676151.99</v>
      </c>
      <c r="O10" s="71">
        <v>6661789.9400000004</v>
      </c>
      <c r="P10" s="71">
        <v>-1555054</v>
      </c>
      <c r="Q10" s="71">
        <v>1095371.1200000001</v>
      </c>
      <c r="R10" s="71">
        <v>818061</v>
      </c>
      <c r="S10" s="71">
        <v>1082709.06</v>
      </c>
      <c r="T10" s="114">
        <v>0</v>
      </c>
    </row>
    <row r="11" spans="2:20" x14ac:dyDescent="0.25">
      <c r="B11" s="68">
        <v>70</v>
      </c>
      <c r="C11" s="69" t="s">
        <v>584</v>
      </c>
      <c r="D11" s="71">
        <v>0</v>
      </c>
      <c r="E11" s="71">
        <v>10595699.76</v>
      </c>
      <c r="F11" s="71">
        <v>703472.41</v>
      </c>
      <c r="G11" s="69">
        <v>1</v>
      </c>
      <c r="H11" s="71">
        <v>703472.41</v>
      </c>
      <c r="I11" s="71">
        <v>4620623.12</v>
      </c>
      <c r="J11" s="69">
        <v>1</v>
      </c>
      <c r="K11" s="71">
        <v>4620623.12</v>
      </c>
      <c r="L11" s="71">
        <v>1706503</v>
      </c>
      <c r="M11" s="71">
        <v>9990425</v>
      </c>
      <c r="N11" s="71">
        <v>-703472.41</v>
      </c>
      <c r="O11" s="71">
        <v>5975076.6399999997</v>
      </c>
      <c r="P11" s="71">
        <v>-1706503</v>
      </c>
      <c r="Q11" s="71">
        <v>605274.76</v>
      </c>
      <c r="R11" s="71">
        <v>1051919</v>
      </c>
      <c r="S11" s="71">
        <v>1548205.87</v>
      </c>
      <c r="T11" s="114">
        <v>0</v>
      </c>
    </row>
    <row r="12" spans="2:20" x14ac:dyDescent="0.25">
      <c r="B12" s="68">
        <v>80</v>
      </c>
      <c r="C12" s="69" t="s">
        <v>20</v>
      </c>
      <c r="D12" s="71">
        <v>0</v>
      </c>
      <c r="E12" s="71">
        <v>955776.89</v>
      </c>
      <c r="F12" s="71">
        <v>74353.75</v>
      </c>
      <c r="G12" s="69">
        <v>1</v>
      </c>
      <c r="H12" s="71">
        <v>74353.75</v>
      </c>
      <c r="I12" s="71">
        <v>596731.18999999994</v>
      </c>
      <c r="J12" s="69">
        <v>1</v>
      </c>
      <c r="K12" s="71">
        <v>596731.18999999994</v>
      </c>
      <c r="L12" s="71">
        <v>152447</v>
      </c>
      <c r="M12" s="71">
        <v>962921</v>
      </c>
      <c r="N12" s="71">
        <v>-74353.75</v>
      </c>
      <c r="O12" s="71">
        <v>359045.7</v>
      </c>
      <c r="P12" s="71">
        <v>-152447</v>
      </c>
      <c r="Q12" s="71">
        <v>-7144.11</v>
      </c>
      <c r="R12" s="71">
        <v>99845</v>
      </c>
      <c r="S12" s="71">
        <v>143743.97</v>
      </c>
      <c r="T12" s="114">
        <v>0</v>
      </c>
    </row>
    <row r="13" spans="2:20" x14ac:dyDescent="0.25">
      <c r="B13" s="68">
        <v>90</v>
      </c>
      <c r="C13" s="69" t="s">
        <v>64</v>
      </c>
      <c r="D13" s="71">
        <v>0</v>
      </c>
      <c r="E13" s="71">
        <v>1198892.25</v>
      </c>
      <c r="F13" s="71">
        <v>105167.17</v>
      </c>
      <c r="G13" s="69">
        <v>1</v>
      </c>
      <c r="H13" s="71">
        <v>105167.17</v>
      </c>
      <c r="I13" s="71">
        <v>2199624.14</v>
      </c>
      <c r="J13" s="69">
        <v>1</v>
      </c>
      <c r="K13" s="71">
        <v>2199624.14</v>
      </c>
      <c r="L13" s="71">
        <v>157000</v>
      </c>
      <c r="M13" s="71">
        <v>1240000</v>
      </c>
      <c r="N13" s="71">
        <v>-105167.17</v>
      </c>
      <c r="O13" s="71">
        <v>-1000731.89</v>
      </c>
      <c r="P13" s="71">
        <v>-157000</v>
      </c>
      <c r="Q13" s="71">
        <v>-41107.75</v>
      </c>
      <c r="R13" s="71">
        <v>167000</v>
      </c>
      <c r="S13" s="71">
        <v>342656.71</v>
      </c>
      <c r="T13" s="114">
        <v>0</v>
      </c>
    </row>
    <row r="14" spans="2:20" x14ac:dyDescent="0.25">
      <c r="B14" s="68">
        <v>100</v>
      </c>
      <c r="C14" s="69" t="s">
        <v>585</v>
      </c>
      <c r="D14" s="71">
        <v>0</v>
      </c>
      <c r="E14" s="71">
        <v>12012.68</v>
      </c>
      <c r="F14" s="71">
        <v>1152.99</v>
      </c>
      <c r="G14" s="69">
        <v>1</v>
      </c>
      <c r="H14" s="71">
        <v>1152.99</v>
      </c>
      <c r="I14" s="71">
        <v>9223.92</v>
      </c>
      <c r="J14" s="69">
        <v>1</v>
      </c>
      <c r="K14" s="71">
        <v>9223.92</v>
      </c>
      <c r="L14" s="71">
        <v>3625</v>
      </c>
      <c r="M14" s="71">
        <v>29000</v>
      </c>
      <c r="N14" s="71">
        <v>-1152.99</v>
      </c>
      <c r="O14" s="71">
        <v>2788.76</v>
      </c>
      <c r="P14" s="71">
        <v>-3625</v>
      </c>
      <c r="Q14" s="71">
        <v>-16987.32</v>
      </c>
      <c r="R14" s="71">
        <v>3625</v>
      </c>
      <c r="S14" s="71">
        <v>0</v>
      </c>
      <c r="T14" s="114">
        <v>0</v>
      </c>
    </row>
    <row r="15" spans="2:20" x14ac:dyDescent="0.25">
      <c r="B15" s="68">
        <v>110</v>
      </c>
      <c r="C15" s="69" t="s">
        <v>23</v>
      </c>
      <c r="D15" s="71">
        <v>0</v>
      </c>
      <c r="E15" s="71">
        <v>2166681.8199999998</v>
      </c>
      <c r="F15" s="71">
        <v>180673.91</v>
      </c>
      <c r="G15" s="69">
        <v>1</v>
      </c>
      <c r="H15" s="71">
        <v>180673.91</v>
      </c>
      <c r="I15" s="71">
        <v>2805579.25</v>
      </c>
      <c r="J15" s="69">
        <v>1</v>
      </c>
      <c r="K15" s="71">
        <v>2805579.25</v>
      </c>
      <c r="L15" s="71">
        <v>313072</v>
      </c>
      <c r="M15" s="71">
        <v>2231921</v>
      </c>
      <c r="N15" s="71">
        <v>-180673.91</v>
      </c>
      <c r="O15" s="71">
        <v>-638897.43000000005</v>
      </c>
      <c r="P15" s="71">
        <v>-313072</v>
      </c>
      <c r="Q15" s="71">
        <v>-65239.18</v>
      </c>
      <c r="R15" s="71">
        <v>270470</v>
      </c>
      <c r="S15" s="71">
        <v>486400.68</v>
      </c>
      <c r="T15" s="114">
        <v>0</v>
      </c>
    </row>
    <row r="16" spans="2:20" x14ac:dyDescent="0.25">
      <c r="B16" s="68">
        <v>120</v>
      </c>
      <c r="C16" s="69" t="s">
        <v>24</v>
      </c>
      <c r="D16" s="71">
        <v>0</v>
      </c>
      <c r="E16" s="71">
        <v>8429017.9399999995</v>
      </c>
      <c r="F16" s="71">
        <v>522798.5</v>
      </c>
      <c r="G16" s="69">
        <v>1</v>
      </c>
      <c r="H16" s="71">
        <v>522798.5</v>
      </c>
      <c r="I16" s="71">
        <v>1815043.87</v>
      </c>
      <c r="J16" s="69">
        <v>1</v>
      </c>
      <c r="K16" s="71">
        <v>1815043.87</v>
      </c>
      <c r="L16" s="71">
        <v>1393431</v>
      </c>
      <c r="M16" s="71">
        <v>7758504</v>
      </c>
      <c r="N16" s="71">
        <v>-522798.5</v>
      </c>
      <c r="O16" s="71">
        <v>6613974.0700000003</v>
      </c>
      <c r="P16" s="71">
        <v>-1393431</v>
      </c>
      <c r="Q16" s="71">
        <v>670513.93999999994</v>
      </c>
      <c r="R16" s="71">
        <v>781449</v>
      </c>
      <c r="S16" s="71">
        <v>1061805.19</v>
      </c>
      <c r="T16" s="114">
        <v>0</v>
      </c>
    </row>
    <row r="17" spans="2:20" x14ac:dyDescent="0.25">
      <c r="B17" s="68">
        <v>130</v>
      </c>
      <c r="C17" s="69" t="s">
        <v>586</v>
      </c>
      <c r="D17" s="71">
        <v>0</v>
      </c>
      <c r="E17" s="71">
        <v>-197554.95</v>
      </c>
      <c r="F17" s="71">
        <v>-133710.37</v>
      </c>
      <c r="G17" s="69">
        <v>1</v>
      </c>
      <c r="H17" s="71">
        <v>-133710.37</v>
      </c>
      <c r="I17" s="71">
        <v>-552372.43000000005</v>
      </c>
      <c r="J17" s="69">
        <v>1</v>
      </c>
      <c r="K17" s="71">
        <v>-552372.43000000005</v>
      </c>
      <c r="L17" s="71">
        <v>-93000</v>
      </c>
      <c r="M17" s="71">
        <v>-744000</v>
      </c>
      <c r="N17" s="71">
        <v>133710.37</v>
      </c>
      <c r="O17" s="71">
        <v>354817.48</v>
      </c>
      <c r="P17" s="71">
        <v>93000</v>
      </c>
      <c r="Q17" s="71">
        <v>546445.05000000005</v>
      </c>
      <c r="R17" s="71">
        <v>-93000</v>
      </c>
      <c r="S17" s="71">
        <v>-20314.759999999998</v>
      </c>
      <c r="T17" s="114">
        <v>0</v>
      </c>
    </row>
    <row r="18" spans="2:20" x14ac:dyDescent="0.25">
      <c r="B18" s="68">
        <v>135</v>
      </c>
      <c r="C18" s="69" t="s">
        <v>26</v>
      </c>
      <c r="D18" s="71">
        <v>0</v>
      </c>
      <c r="E18" s="71">
        <v>0</v>
      </c>
      <c r="F18" s="71">
        <v>0</v>
      </c>
      <c r="G18" s="69">
        <v>1</v>
      </c>
      <c r="H18" s="71">
        <v>0</v>
      </c>
      <c r="I18" s="71">
        <v>0</v>
      </c>
      <c r="J18" s="69">
        <v>1</v>
      </c>
      <c r="K18" s="71">
        <v>0</v>
      </c>
      <c r="L18" s="69">
        <v>0</v>
      </c>
      <c r="M18" s="69">
        <v>0</v>
      </c>
      <c r="N18" s="71">
        <v>0</v>
      </c>
      <c r="O18" s="71">
        <v>0</v>
      </c>
      <c r="P18" s="71">
        <v>0</v>
      </c>
      <c r="Q18" s="71">
        <v>0</v>
      </c>
      <c r="R18" s="69">
        <v>0</v>
      </c>
      <c r="S18" s="69">
        <v>0</v>
      </c>
      <c r="T18" s="114">
        <v>0</v>
      </c>
    </row>
    <row r="19" spans="2:20" x14ac:dyDescent="0.25">
      <c r="B19" s="68">
        <v>140</v>
      </c>
      <c r="C19" s="69" t="s">
        <v>27</v>
      </c>
      <c r="D19" s="71">
        <v>0</v>
      </c>
      <c r="E19" s="71">
        <v>9005.65</v>
      </c>
      <c r="F19" s="71">
        <v>1071.6600000000001</v>
      </c>
      <c r="G19" s="69">
        <v>1</v>
      </c>
      <c r="H19" s="71">
        <v>1071.6600000000001</v>
      </c>
      <c r="I19" s="71">
        <v>14089.08</v>
      </c>
      <c r="J19" s="69">
        <v>1</v>
      </c>
      <c r="K19" s="71">
        <v>14089.08</v>
      </c>
      <c r="L19" s="71">
        <v>3000</v>
      </c>
      <c r="M19" s="71">
        <v>24000</v>
      </c>
      <c r="N19" s="71">
        <v>-1071.6600000000001</v>
      </c>
      <c r="O19" s="71">
        <v>-5083.43</v>
      </c>
      <c r="P19" s="71">
        <v>-3000</v>
      </c>
      <c r="Q19" s="71">
        <v>-14994.35</v>
      </c>
      <c r="R19" s="71">
        <v>3000</v>
      </c>
      <c r="S19" s="71">
        <v>2221.1999999999998</v>
      </c>
      <c r="T19" s="114">
        <v>0</v>
      </c>
    </row>
    <row r="20" spans="2:20" x14ac:dyDescent="0.25">
      <c r="B20" s="68">
        <v>150</v>
      </c>
      <c r="C20" s="69" t="s">
        <v>28</v>
      </c>
      <c r="D20" s="71">
        <v>0</v>
      </c>
      <c r="E20" s="71">
        <v>2879866.98</v>
      </c>
      <c r="F20" s="71">
        <v>396283.65</v>
      </c>
      <c r="G20" s="69">
        <v>1</v>
      </c>
      <c r="H20" s="71">
        <v>396283.65</v>
      </c>
      <c r="I20" s="71">
        <v>2523683.8399999999</v>
      </c>
      <c r="J20" s="69">
        <v>1</v>
      </c>
      <c r="K20" s="71">
        <v>2523683.8399999999</v>
      </c>
      <c r="L20" s="71">
        <v>250000</v>
      </c>
      <c r="M20" s="71">
        <v>2000000</v>
      </c>
      <c r="N20" s="71">
        <v>-396283.65</v>
      </c>
      <c r="O20" s="71">
        <v>356183.14</v>
      </c>
      <c r="P20" s="71">
        <v>-250000</v>
      </c>
      <c r="Q20" s="71">
        <v>879866.98</v>
      </c>
      <c r="R20" s="71">
        <v>250000</v>
      </c>
      <c r="S20" s="71">
        <v>242837.91</v>
      </c>
      <c r="T20" s="114">
        <v>0</v>
      </c>
    </row>
    <row r="21" spans="2:20" x14ac:dyDescent="0.25">
      <c r="B21" s="68">
        <v>155</v>
      </c>
      <c r="C21" s="69" t="s">
        <v>587</v>
      </c>
      <c r="D21" s="69">
        <v>0</v>
      </c>
      <c r="E21" s="69">
        <v>0</v>
      </c>
      <c r="F21" s="69">
        <v>0</v>
      </c>
      <c r="G21" s="69">
        <v>1</v>
      </c>
      <c r="H21" s="69">
        <v>0</v>
      </c>
      <c r="I21" s="69">
        <v>0</v>
      </c>
      <c r="J21" s="69">
        <v>1</v>
      </c>
      <c r="K21" s="69">
        <v>0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114">
        <v>0</v>
      </c>
    </row>
    <row r="22" spans="2:20" x14ac:dyDescent="0.25">
      <c r="B22" s="68">
        <v>160</v>
      </c>
      <c r="C22" s="69" t="s">
        <v>588</v>
      </c>
      <c r="D22" s="71">
        <v>0</v>
      </c>
      <c r="E22" s="71">
        <v>-3068416.28</v>
      </c>
      <c r="F22" s="71">
        <v>-528922.36</v>
      </c>
      <c r="G22" s="69">
        <v>1</v>
      </c>
      <c r="H22" s="71">
        <v>-528922.36</v>
      </c>
      <c r="I22" s="71">
        <v>-3061967.19</v>
      </c>
      <c r="J22" s="69">
        <v>1</v>
      </c>
      <c r="K22" s="71">
        <v>-3061967.19</v>
      </c>
      <c r="L22" s="71">
        <v>-340000</v>
      </c>
      <c r="M22" s="71">
        <v>-2720000</v>
      </c>
      <c r="N22" s="71">
        <v>528922.36</v>
      </c>
      <c r="O22" s="71">
        <v>-6449.09</v>
      </c>
      <c r="P22" s="71">
        <v>340000</v>
      </c>
      <c r="Q22" s="71">
        <v>-348416.28</v>
      </c>
      <c r="R22" s="71">
        <v>-340000</v>
      </c>
      <c r="S22" s="71">
        <v>-260931.47</v>
      </c>
      <c r="T22" s="114">
        <v>0</v>
      </c>
    </row>
    <row r="23" spans="2:20" x14ac:dyDescent="0.25">
      <c r="B23" s="68">
        <v>170</v>
      </c>
      <c r="C23" s="69" t="s">
        <v>29</v>
      </c>
      <c r="D23" s="71">
        <v>0</v>
      </c>
      <c r="E23" s="71">
        <v>11497434.220000001</v>
      </c>
      <c r="F23" s="71">
        <v>1051720.8600000001</v>
      </c>
      <c r="G23" s="69">
        <v>1</v>
      </c>
      <c r="H23" s="71">
        <v>1051720.8600000001</v>
      </c>
      <c r="I23" s="71">
        <v>4877011.0599999996</v>
      </c>
      <c r="J23" s="69">
        <v>1</v>
      </c>
      <c r="K23" s="71">
        <v>4877011.0599999996</v>
      </c>
      <c r="L23" s="71">
        <v>1733431</v>
      </c>
      <c r="M23" s="71">
        <v>10478504</v>
      </c>
      <c r="N23" s="71">
        <v>-1051720.8600000001</v>
      </c>
      <c r="O23" s="71">
        <v>6620423.1600000001</v>
      </c>
      <c r="P23" s="71">
        <v>-1733431</v>
      </c>
      <c r="Q23" s="71">
        <v>1018930.22</v>
      </c>
      <c r="R23" s="71">
        <v>1121449</v>
      </c>
      <c r="S23" s="71">
        <v>1322736.6599999999</v>
      </c>
      <c r="T23" s="114">
        <v>0</v>
      </c>
    </row>
    <row r="24" spans="2:20" x14ac:dyDescent="0.25">
      <c r="B24" s="68">
        <v>180</v>
      </c>
      <c r="C24" s="69" t="s">
        <v>589</v>
      </c>
      <c r="D24" s="71">
        <v>0</v>
      </c>
      <c r="E24" s="71">
        <v>0</v>
      </c>
      <c r="F24" s="69">
        <v>0</v>
      </c>
      <c r="G24" s="69">
        <v>1</v>
      </c>
      <c r="H24" s="69">
        <v>0</v>
      </c>
      <c r="I24" s="69">
        <v>0</v>
      </c>
      <c r="J24" s="69">
        <v>1</v>
      </c>
      <c r="K24" s="69">
        <v>0</v>
      </c>
      <c r="L24" s="71">
        <v>97847</v>
      </c>
      <c r="M24" s="71">
        <v>579081</v>
      </c>
      <c r="N24" s="71">
        <v>0</v>
      </c>
      <c r="O24" s="71">
        <v>0</v>
      </c>
      <c r="P24" s="71">
        <v>-97847</v>
      </c>
      <c r="Q24" s="71">
        <v>-579081</v>
      </c>
      <c r="R24" s="71">
        <v>56099</v>
      </c>
      <c r="S24" s="69">
        <v>0</v>
      </c>
      <c r="T24" s="114">
        <v>0</v>
      </c>
    </row>
    <row r="25" spans="2:20" x14ac:dyDescent="0.25">
      <c r="B25" s="68">
        <v>190</v>
      </c>
      <c r="C25" s="69" t="s">
        <v>590</v>
      </c>
      <c r="D25" s="71">
        <v>0</v>
      </c>
      <c r="E25" s="71">
        <v>0</v>
      </c>
      <c r="F25" s="69">
        <v>0</v>
      </c>
      <c r="G25" s="69">
        <v>1</v>
      </c>
      <c r="H25" s="69">
        <v>0</v>
      </c>
      <c r="I25" s="69">
        <v>0</v>
      </c>
      <c r="J25" s="69">
        <v>1</v>
      </c>
      <c r="K25" s="69">
        <v>0</v>
      </c>
      <c r="L25" s="69">
        <v>0</v>
      </c>
      <c r="M25" s="69">
        <v>0</v>
      </c>
      <c r="N25" s="71">
        <v>0</v>
      </c>
      <c r="O25" s="71">
        <v>0</v>
      </c>
      <c r="P25" s="71">
        <v>0</v>
      </c>
      <c r="Q25" s="71">
        <v>0</v>
      </c>
      <c r="R25" s="69">
        <v>0</v>
      </c>
      <c r="S25" s="69">
        <v>0</v>
      </c>
      <c r="T25" s="114">
        <v>0</v>
      </c>
    </row>
    <row r="26" spans="2:20" x14ac:dyDescent="0.25">
      <c r="B26" s="68">
        <v>200</v>
      </c>
      <c r="C26" s="69" t="s">
        <v>30</v>
      </c>
      <c r="D26" s="71">
        <v>0</v>
      </c>
      <c r="E26" s="71">
        <v>11497434.220000001</v>
      </c>
      <c r="F26" s="71">
        <v>1051720.8600000001</v>
      </c>
      <c r="G26" s="69">
        <v>1</v>
      </c>
      <c r="H26" s="71">
        <v>1051720.8600000001</v>
      </c>
      <c r="I26" s="71">
        <v>4877011.0599999996</v>
      </c>
      <c r="J26" s="69">
        <v>1</v>
      </c>
      <c r="K26" s="71">
        <v>4877011.0599999996</v>
      </c>
      <c r="L26" s="71">
        <v>1635584</v>
      </c>
      <c r="M26" s="71">
        <v>9899423</v>
      </c>
      <c r="N26" s="71">
        <v>-1051720.8600000001</v>
      </c>
      <c r="O26" s="71">
        <v>6620423.1600000001</v>
      </c>
      <c r="P26" s="71">
        <v>-1635584</v>
      </c>
      <c r="Q26" s="71">
        <v>1598011.22</v>
      </c>
      <c r="R26" s="71">
        <v>1065350</v>
      </c>
      <c r="S26" s="71">
        <v>1322736.6599999999</v>
      </c>
      <c r="T26" s="114">
        <v>0</v>
      </c>
    </row>
    <row r="27" spans="2:20" x14ac:dyDescent="0.25">
      <c r="B27" s="68">
        <v>210</v>
      </c>
      <c r="C27" s="69" t="s">
        <v>31</v>
      </c>
      <c r="D27" s="71">
        <v>0</v>
      </c>
      <c r="E27" s="71">
        <v>8441030.6199999992</v>
      </c>
      <c r="F27" s="71">
        <v>523951.49</v>
      </c>
      <c r="G27" s="69">
        <v>1</v>
      </c>
      <c r="H27" s="71">
        <v>523951.49</v>
      </c>
      <c r="I27" s="71">
        <v>1824267.79</v>
      </c>
      <c r="J27" s="69">
        <v>1</v>
      </c>
      <c r="K27" s="71">
        <v>1824267.79</v>
      </c>
      <c r="L27" s="71">
        <v>1397056</v>
      </c>
      <c r="M27" s="71">
        <v>7787504</v>
      </c>
      <c r="N27" s="71">
        <v>-523951.49</v>
      </c>
      <c r="O27" s="71">
        <v>6616762.8300000001</v>
      </c>
      <c r="P27" s="71">
        <v>-1397056</v>
      </c>
      <c r="Q27" s="71">
        <v>653526.62</v>
      </c>
      <c r="R27" s="71">
        <v>785074</v>
      </c>
      <c r="S27" s="71">
        <v>1061805.19</v>
      </c>
      <c r="T27" s="114">
        <v>0</v>
      </c>
    </row>
    <row r="30" spans="2:20" ht="13" x14ac:dyDescent="0.3">
      <c r="B30" s="151" t="s">
        <v>161</v>
      </c>
      <c r="D30" s="170">
        <v>600</v>
      </c>
    </row>
    <row r="31" spans="2:20" ht="13" x14ac:dyDescent="0.3">
      <c r="B31" s="202" t="s">
        <v>0</v>
      </c>
      <c r="C31" s="203" t="s">
        <v>1</v>
      </c>
      <c r="D31" s="203" t="s">
        <v>2</v>
      </c>
      <c r="E31" s="203" t="s">
        <v>3</v>
      </c>
      <c r="F31" s="203" t="s">
        <v>4</v>
      </c>
      <c r="G31" s="203" t="s">
        <v>5</v>
      </c>
      <c r="H31" s="203" t="s">
        <v>6</v>
      </c>
      <c r="I31" s="203" t="s">
        <v>7</v>
      </c>
      <c r="J31" s="203" t="s">
        <v>8</v>
      </c>
      <c r="K31" s="203" t="s">
        <v>9</v>
      </c>
      <c r="L31" s="203" t="s">
        <v>10</v>
      </c>
      <c r="M31" s="203" t="s">
        <v>11</v>
      </c>
      <c r="N31" s="203" t="s">
        <v>12</v>
      </c>
      <c r="O31" s="203" t="s">
        <v>13</v>
      </c>
      <c r="P31" s="203" t="s">
        <v>14</v>
      </c>
      <c r="Q31" s="203" t="s">
        <v>15</v>
      </c>
      <c r="R31" s="203" t="s">
        <v>183</v>
      </c>
      <c r="S31" s="203" t="s">
        <v>184</v>
      </c>
      <c r="T31" s="204" t="s">
        <v>185</v>
      </c>
    </row>
    <row r="32" spans="2:20" ht="13" x14ac:dyDescent="0.3">
      <c r="B32" s="205"/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6"/>
      <c r="Q32" s="206"/>
      <c r="R32" s="206"/>
      <c r="S32" s="206"/>
      <c r="T32" s="207"/>
    </row>
    <row r="33" spans="2:20" ht="13" x14ac:dyDescent="0.3">
      <c r="B33" s="208"/>
      <c r="C33" s="209"/>
      <c r="D33" s="209"/>
      <c r="E33" s="209"/>
      <c r="F33" s="209"/>
      <c r="G33" s="209"/>
      <c r="H33" s="209"/>
      <c r="I33" s="209"/>
      <c r="J33" s="209"/>
      <c r="K33" s="209"/>
      <c r="L33" s="209"/>
      <c r="M33" s="209"/>
      <c r="N33" s="209"/>
      <c r="O33" s="209"/>
      <c r="P33" s="209"/>
      <c r="Q33" s="209"/>
      <c r="R33" s="209"/>
      <c r="S33" s="209"/>
      <c r="T33" s="210"/>
    </row>
    <row r="34" spans="2:20" x14ac:dyDescent="0.25">
      <c r="B34" s="68">
        <v>30</v>
      </c>
      <c r="C34" s="69" t="s">
        <v>16</v>
      </c>
      <c r="D34" s="71">
        <v>0</v>
      </c>
      <c r="E34" s="71">
        <v>10127168.310000001</v>
      </c>
      <c r="F34" s="71">
        <v>2173182.42</v>
      </c>
      <c r="G34" s="69">
        <v>1</v>
      </c>
      <c r="H34" s="71">
        <v>2173182.42</v>
      </c>
      <c r="I34" s="71">
        <v>10027642.689999999</v>
      </c>
      <c r="J34" s="69">
        <v>1</v>
      </c>
      <c r="K34" s="71">
        <v>10027642.689999999</v>
      </c>
      <c r="L34" s="71">
        <v>1280690</v>
      </c>
      <c r="M34" s="71">
        <v>15531242</v>
      </c>
      <c r="N34" s="71">
        <v>-2173182.42</v>
      </c>
      <c r="O34" s="71">
        <v>99525.62</v>
      </c>
      <c r="P34" s="71">
        <v>-1280690</v>
      </c>
      <c r="Q34" s="71">
        <v>-5404073.6900000004</v>
      </c>
      <c r="R34" s="71">
        <v>1196162</v>
      </c>
      <c r="S34" s="71">
        <v>1987378.27</v>
      </c>
      <c r="T34" s="114">
        <v>0</v>
      </c>
    </row>
    <row r="35" spans="2:20" x14ac:dyDescent="0.25">
      <c r="B35" s="68">
        <v>40</v>
      </c>
      <c r="C35" s="69" t="s">
        <v>252</v>
      </c>
      <c r="D35" s="69">
        <v>0</v>
      </c>
      <c r="E35" s="69">
        <v>0</v>
      </c>
      <c r="F35" s="71">
        <v>0</v>
      </c>
      <c r="G35" s="69">
        <v>1</v>
      </c>
      <c r="H35" s="71">
        <v>0</v>
      </c>
      <c r="I35" s="71">
        <v>0</v>
      </c>
      <c r="J35" s="69">
        <v>1</v>
      </c>
      <c r="K35" s="71">
        <v>0</v>
      </c>
      <c r="L35" s="69">
        <v>0</v>
      </c>
      <c r="M35" s="69">
        <v>0</v>
      </c>
      <c r="N35" s="71">
        <v>0</v>
      </c>
      <c r="O35" s="71">
        <v>0</v>
      </c>
      <c r="P35" s="69">
        <v>0</v>
      </c>
      <c r="Q35" s="69">
        <v>0</v>
      </c>
      <c r="R35" s="69">
        <v>0</v>
      </c>
      <c r="S35" s="69">
        <v>0</v>
      </c>
      <c r="T35" s="114">
        <v>0</v>
      </c>
    </row>
    <row r="36" spans="2:20" x14ac:dyDescent="0.25">
      <c r="B36" s="68">
        <v>50</v>
      </c>
      <c r="C36" s="69" t="s">
        <v>17</v>
      </c>
      <c r="D36" s="71">
        <v>0</v>
      </c>
      <c r="E36" s="71">
        <v>10127168.310000001</v>
      </c>
      <c r="F36" s="71">
        <v>2173182.42</v>
      </c>
      <c r="G36" s="69">
        <v>1</v>
      </c>
      <c r="H36" s="71">
        <v>2173182.42</v>
      </c>
      <c r="I36" s="71">
        <v>10027642.689999999</v>
      </c>
      <c r="J36" s="69">
        <v>1</v>
      </c>
      <c r="K36" s="71">
        <v>10027642.689999999</v>
      </c>
      <c r="L36" s="71">
        <v>1280690</v>
      </c>
      <c r="M36" s="71">
        <v>15531242</v>
      </c>
      <c r="N36" s="71">
        <v>-2173182.42</v>
      </c>
      <c r="O36" s="71">
        <v>99525.62</v>
      </c>
      <c r="P36" s="71">
        <v>-1280690</v>
      </c>
      <c r="Q36" s="71">
        <v>-5404073.6900000004</v>
      </c>
      <c r="R36" s="71">
        <v>1196162</v>
      </c>
      <c r="S36" s="71">
        <v>1987378.27</v>
      </c>
      <c r="T36" s="114">
        <v>0</v>
      </c>
    </row>
    <row r="37" spans="2:20" x14ac:dyDescent="0.25">
      <c r="B37" s="68">
        <v>60</v>
      </c>
      <c r="C37" s="69" t="s">
        <v>18</v>
      </c>
      <c r="D37" s="71">
        <v>0</v>
      </c>
      <c r="E37" s="71">
        <v>7930641.2300000004</v>
      </c>
      <c r="F37" s="71">
        <v>1584571.62</v>
      </c>
      <c r="G37" s="69">
        <v>1</v>
      </c>
      <c r="H37" s="71">
        <v>1584571.62</v>
      </c>
      <c r="I37" s="71">
        <v>7339504.8799999999</v>
      </c>
      <c r="J37" s="69">
        <v>1</v>
      </c>
      <c r="K37" s="71">
        <v>7339504.8799999999</v>
      </c>
      <c r="L37" s="71">
        <v>866300</v>
      </c>
      <c r="M37" s="71">
        <v>11758230</v>
      </c>
      <c r="N37" s="71">
        <v>-1584571.62</v>
      </c>
      <c r="O37" s="71">
        <v>591136.35</v>
      </c>
      <c r="P37" s="71">
        <v>-866300</v>
      </c>
      <c r="Q37" s="71">
        <v>-3827588.77</v>
      </c>
      <c r="R37" s="71">
        <v>779550</v>
      </c>
      <c r="S37" s="71">
        <v>1463513.6</v>
      </c>
      <c r="T37" s="114">
        <v>0</v>
      </c>
    </row>
    <row r="38" spans="2:20" x14ac:dyDescent="0.25">
      <c r="B38" s="68">
        <v>70</v>
      </c>
      <c r="C38" s="69" t="s">
        <v>584</v>
      </c>
      <c r="D38" s="71">
        <v>0</v>
      </c>
      <c r="E38" s="71">
        <v>2196527.08</v>
      </c>
      <c r="F38" s="71">
        <v>588610.80000000005</v>
      </c>
      <c r="G38" s="69">
        <v>1</v>
      </c>
      <c r="H38" s="71">
        <v>588610.80000000005</v>
      </c>
      <c r="I38" s="71">
        <v>2688137.81</v>
      </c>
      <c r="J38" s="69">
        <v>1</v>
      </c>
      <c r="K38" s="71">
        <v>2688137.81</v>
      </c>
      <c r="L38" s="71">
        <v>414390</v>
      </c>
      <c r="M38" s="71">
        <v>3773012</v>
      </c>
      <c r="N38" s="71">
        <v>-588610.80000000005</v>
      </c>
      <c r="O38" s="71">
        <v>-491610.73</v>
      </c>
      <c r="P38" s="71">
        <v>-414390</v>
      </c>
      <c r="Q38" s="71">
        <v>-1576484.92</v>
      </c>
      <c r="R38" s="71">
        <v>416612</v>
      </c>
      <c r="S38" s="71">
        <v>523864.67</v>
      </c>
      <c r="T38" s="114">
        <v>0</v>
      </c>
    </row>
    <row r="39" spans="2:20" x14ac:dyDescent="0.25">
      <c r="B39" s="68">
        <v>80</v>
      </c>
      <c r="C39" s="69" t="s">
        <v>20</v>
      </c>
      <c r="D39" s="71">
        <v>0</v>
      </c>
      <c r="E39" s="71">
        <v>0</v>
      </c>
      <c r="F39" s="71">
        <v>0</v>
      </c>
      <c r="G39" s="69">
        <v>1</v>
      </c>
      <c r="H39" s="71">
        <v>0</v>
      </c>
      <c r="I39" s="71">
        <v>0</v>
      </c>
      <c r="J39" s="69">
        <v>1</v>
      </c>
      <c r="K39" s="71">
        <v>0</v>
      </c>
      <c r="L39" s="69">
        <v>0</v>
      </c>
      <c r="M39" s="71">
        <v>0</v>
      </c>
      <c r="N39" s="71">
        <v>0</v>
      </c>
      <c r="O39" s="71">
        <v>0</v>
      </c>
      <c r="P39" s="71">
        <v>0</v>
      </c>
      <c r="Q39" s="71">
        <v>0</v>
      </c>
      <c r="R39" s="69">
        <v>0</v>
      </c>
      <c r="S39" s="69">
        <v>0</v>
      </c>
      <c r="T39" s="114">
        <v>0</v>
      </c>
    </row>
    <row r="40" spans="2:20" x14ac:dyDescent="0.25">
      <c r="B40" s="68">
        <v>90</v>
      </c>
      <c r="C40" s="69" t="s">
        <v>64</v>
      </c>
      <c r="D40" s="71">
        <v>0</v>
      </c>
      <c r="E40" s="71">
        <v>866900.22</v>
      </c>
      <c r="F40" s="71">
        <v>133428.89000000001</v>
      </c>
      <c r="G40" s="69">
        <v>1</v>
      </c>
      <c r="H40" s="71">
        <v>133428.89000000001</v>
      </c>
      <c r="I40" s="71">
        <v>900364.85</v>
      </c>
      <c r="J40" s="69">
        <v>1</v>
      </c>
      <c r="K40" s="71">
        <v>900364.85</v>
      </c>
      <c r="L40" s="71">
        <v>134550</v>
      </c>
      <c r="M40" s="71">
        <v>982400</v>
      </c>
      <c r="N40" s="71">
        <v>-133428.89000000001</v>
      </c>
      <c r="O40" s="71">
        <v>-33464.629999999997</v>
      </c>
      <c r="P40" s="71">
        <v>-134550</v>
      </c>
      <c r="Q40" s="71">
        <v>-115499.78</v>
      </c>
      <c r="R40" s="71">
        <v>115550</v>
      </c>
      <c r="S40" s="71">
        <v>103486.89</v>
      </c>
      <c r="T40" s="114">
        <v>0</v>
      </c>
    </row>
    <row r="41" spans="2:20" x14ac:dyDescent="0.25">
      <c r="B41" s="68">
        <v>100</v>
      </c>
      <c r="C41" s="69" t="s">
        <v>585</v>
      </c>
      <c r="D41" s="71">
        <v>0</v>
      </c>
      <c r="E41" s="71">
        <v>170495.96</v>
      </c>
      <c r="F41" s="71">
        <v>24089.15</v>
      </c>
      <c r="G41" s="69">
        <v>1</v>
      </c>
      <c r="H41" s="71">
        <v>24089.15</v>
      </c>
      <c r="I41" s="71">
        <v>192950.62</v>
      </c>
      <c r="J41" s="69">
        <v>1</v>
      </c>
      <c r="K41" s="71">
        <v>192950.62</v>
      </c>
      <c r="L41" s="71">
        <v>24300</v>
      </c>
      <c r="M41" s="71">
        <v>194400</v>
      </c>
      <c r="N41" s="71">
        <v>-24089.15</v>
      </c>
      <c r="O41" s="71">
        <v>-22454.66</v>
      </c>
      <c r="P41" s="71">
        <v>-24300</v>
      </c>
      <c r="Q41" s="71">
        <v>-23904.04</v>
      </c>
      <c r="R41" s="71">
        <v>24300</v>
      </c>
      <c r="S41" s="71">
        <v>0</v>
      </c>
      <c r="T41" s="114">
        <v>0</v>
      </c>
    </row>
    <row r="42" spans="2:20" x14ac:dyDescent="0.25">
      <c r="B42" s="68">
        <v>110</v>
      </c>
      <c r="C42" s="69" t="s">
        <v>23</v>
      </c>
      <c r="D42" s="71">
        <v>0</v>
      </c>
      <c r="E42" s="71">
        <v>1037396.18</v>
      </c>
      <c r="F42" s="71">
        <v>157518.04</v>
      </c>
      <c r="G42" s="69">
        <v>1</v>
      </c>
      <c r="H42" s="71">
        <v>157518.04</v>
      </c>
      <c r="I42" s="71">
        <v>1093315.47</v>
      </c>
      <c r="J42" s="69">
        <v>1</v>
      </c>
      <c r="K42" s="71">
        <v>1093315.47</v>
      </c>
      <c r="L42" s="71">
        <v>158850</v>
      </c>
      <c r="M42" s="71">
        <v>1176800</v>
      </c>
      <c r="N42" s="71">
        <v>-157518.04</v>
      </c>
      <c r="O42" s="71">
        <v>-55919.29</v>
      </c>
      <c r="P42" s="71">
        <v>-158850</v>
      </c>
      <c r="Q42" s="71">
        <v>-139403.82</v>
      </c>
      <c r="R42" s="71">
        <v>139850</v>
      </c>
      <c r="S42" s="71">
        <v>103486.89</v>
      </c>
      <c r="T42" s="114">
        <v>0</v>
      </c>
    </row>
    <row r="43" spans="2:20" x14ac:dyDescent="0.25">
      <c r="B43" s="68">
        <v>120</v>
      </c>
      <c r="C43" s="69" t="s">
        <v>24</v>
      </c>
      <c r="D43" s="71">
        <v>0</v>
      </c>
      <c r="E43" s="71">
        <v>1159130.8999999999</v>
      </c>
      <c r="F43" s="71">
        <v>431092.76</v>
      </c>
      <c r="G43" s="69">
        <v>1</v>
      </c>
      <c r="H43" s="71">
        <v>431092.76</v>
      </c>
      <c r="I43" s="71">
        <v>1594822.34</v>
      </c>
      <c r="J43" s="69">
        <v>1</v>
      </c>
      <c r="K43" s="71">
        <v>1594822.34</v>
      </c>
      <c r="L43" s="71">
        <v>255540</v>
      </c>
      <c r="M43" s="71">
        <v>2596212</v>
      </c>
      <c r="N43" s="71">
        <v>-431092.76</v>
      </c>
      <c r="O43" s="71">
        <v>-435691.44</v>
      </c>
      <c r="P43" s="71">
        <v>-255540</v>
      </c>
      <c r="Q43" s="71">
        <v>-1437081.1</v>
      </c>
      <c r="R43" s="71">
        <v>276762</v>
      </c>
      <c r="S43" s="71">
        <v>420377.78</v>
      </c>
      <c r="T43" s="114">
        <v>0</v>
      </c>
    </row>
    <row r="44" spans="2:20" x14ac:dyDescent="0.25">
      <c r="B44" s="68">
        <v>130</v>
      </c>
      <c r="C44" s="69" t="s">
        <v>586</v>
      </c>
      <c r="D44" s="71">
        <v>0</v>
      </c>
      <c r="E44" s="71">
        <v>-88796.45</v>
      </c>
      <c r="F44" s="71">
        <v>176355.51</v>
      </c>
      <c r="G44" s="69">
        <v>1</v>
      </c>
      <c r="H44" s="71">
        <v>176355.51</v>
      </c>
      <c r="I44" s="71">
        <v>-220647.66</v>
      </c>
      <c r="J44" s="69">
        <v>1</v>
      </c>
      <c r="K44" s="71">
        <v>-220647.66</v>
      </c>
      <c r="L44" s="71">
        <v>16300</v>
      </c>
      <c r="M44" s="71">
        <v>-116492</v>
      </c>
      <c r="N44" s="71">
        <v>-176355.51</v>
      </c>
      <c r="O44" s="71">
        <v>131851.21</v>
      </c>
      <c r="P44" s="71">
        <v>-16300</v>
      </c>
      <c r="Q44" s="71">
        <v>27695.55</v>
      </c>
      <c r="R44" s="71">
        <v>0</v>
      </c>
      <c r="S44" s="71">
        <v>-92364.24</v>
      </c>
      <c r="T44" s="114">
        <v>0</v>
      </c>
    </row>
    <row r="45" spans="2:20" x14ac:dyDescent="0.25">
      <c r="B45" s="68">
        <v>135</v>
      </c>
      <c r="C45" s="69" t="s">
        <v>26</v>
      </c>
      <c r="D45" s="71">
        <v>0</v>
      </c>
      <c r="E45" s="71">
        <v>0</v>
      </c>
      <c r="F45" s="71">
        <v>0</v>
      </c>
      <c r="G45" s="69">
        <v>1</v>
      </c>
      <c r="H45" s="71">
        <v>0</v>
      </c>
      <c r="I45" s="71">
        <v>0</v>
      </c>
      <c r="J45" s="69">
        <v>1</v>
      </c>
      <c r="K45" s="71">
        <v>0</v>
      </c>
      <c r="L45" s="71">
        <v>40184</v>
      </c>
      <c r="M45" s="71">
        <v>-11658</v>
      </c>
      <c r="N45" s="71">
        <v>0</v>
      </c>
      <c r="O45" s="71">
        <v>0</v>
      </c>
      <c r="P45" s="71">
        <v>-40184</v>
      </c>
      <c r="Q45" s="71">
        <v>11658</v>
      </c>
      <c r="R45" s="71">
        <v>23919</v>
      </c>
      <c r="S45" s="69">
        <v>0</v>
      </c>
      <c r="T45" s="114">
        <v>0</v>
      </c>
    </row>
    <row r="46" spans="2:20" x14ac:dyDescent="0.25">
      <c r="B46" s="68">
        <v>140</v>
      </c>
      <c r="C46" s="69" t="s">
        <v>27</v>
      </c>
      <c r="D46" s="71">
        <v>0</v>
      </c>
      <c r="E46" s="71">
        <v>136836.07999999999</v>
      </c>
      <c r="F46" s="71">
        <v>34540.79</v>
      </c>
      <c r="G46" s="69">
        <v>1</v>
      </c>
      <c r="H46" s="71">
        <v>34540.79</v>
      </c>
      <c r="I46" s="71">
        <v>289169.99</v>
      </c>
      <c r="J46" s="69">
        <v>1</v>
      </c>
      <c r="K46" s="71">
        <v>289169.99</v>
      </c>
      <c r="L46" s="69">
        <v>40184</v>
      </c>
      <c r="M46" s="71">
        <v>-11658</v>
      </c>
      <c r="N46" s="71">
        <v>-34540.79</v>
      </c>
      <c r="O46" s="71">
        <v>-152333.91</v>
      </c>
      <c r="P46" s="71">
        <v>-40184</v>
      </c>
      <c r="Q46" s="71">
        <v>148494.07999999999</v>
      </c>
      <c r="R46" s="69">
        <v>23919</v>
      </c>
      <c r="S46" s="71">
        <v>34564.080000000002</v>
      </c>
      <c r="T46" s="114">
        <v>0</v>
      </c>
    </row>
    <row r="47" spans="2:20" x14ac:dyDescent="0.25">
      <c r="B47" s="68">
        <v>150</v>
      </c>
      <c r="C47" s="69" t="s">
        <v>28</v>
      </c>
      <c r="D47" s="69">
        <v>0</v>
      </c>
      <c r="E47" s="69">
        <v>0</v>
      </c>
      <c r="F47" s="71">
        <v>0</v>
      </c>
      <c r="G47" s="69">
        <v>1</v>
      </c>
      <c r="H47" s="71">
        <v>0</v>
      </c>
      <c r="I47" s="71">
        <v>0</v>
      </c>
      <c r="J47" s="69">
        <v>1</v>
      </c>
      <c r="K47" s="71">
        <v>0</v>
      </c>
      <c r="L47" s="71">
        <v>18047</v>
      </c>
      <c r="M47" s="71">
        <v>55760</v>
      </c>
      <c r="N47" s="71">
        <v>0</v>
      </c>
      <c r="O47" s="71">
        <v>0</v>
      </c>
      <c r="P47" s="71">
        <v>-18047</v>
      </c>
      <c r="Q47" s="71">
        <v>-55760</v>
      </c>
      <c r="R47" s="71">
        <v>17731</v>
      </c>
      <c r="S47" s="69">
        <v>0</v>
      </c>
      <c r="T47" s="114">
        <v>0</v>
      </c>
    </row>
    <row r="48" spans="2:20" x14ac:dyDescent="0.25">
      <c r="B48" s="68">
        <v>155</v>
      </c>
      <c r="C48" s="69" t="s">
        <v>587</v>
      </c>
      <c r="D48" s="69">
        <v>0</v>
      </c>
      <c r="E48" s="69">
        <v>0</v>
      </c>
      <c r="F48" s="71">
        <v>0</v>
      </c>
      <c r="G48" s="69">
        <v>1</v>
      </c>
      <c r="H48" s="71">
        <v>0</v>
      </c>
      <c r="I48" s="71">
        <v>0</v>
      </c>
      <c r="J48" s="69">
        <v>1</v>
      </c>
      <c r="K48" s="71">
        <v>0</v>
      </c>
      <c r="L48" s="69">
        <v>0</v>
      </c>
      <c r="M48" s="69">
        <v>0</v>
      </c>
      <c r="N48" s="71">
        <v>0</v>
      </c>
      <c r="O48" s="71">
        <v>0</v>
      </c>
      <c r="P48" s="69">
        <v>0</v>
      </c>
      <c r="Q48" s="69">
        <v>0</v>
      </c>
      <c r="R48" s="69">
        <v>0</v>
      </c>
      <c r="S48" s="69">
        <v>0</v>
      </c>
      <c r="T48" s="114">
        <v>0</v>
      </c>
    </row>
    <row r="49" spans="2:20" x14ac:dyDescent="0.25">
      <c r="B49" s="68">
        <v>160</v>
      </c>
      <c r="C49" s="69" t="s">
        <v>588</v>
      </c>
      <c r="D49" s="71">
        <v>0</v>
      </c>
      <c r="E49" s="71">
        <v>48039.63</v>
      </c>
      <c r="F49" s="71">
        <v>210896.3</v>
      </c>
      <c r="G49" s="69">
        <v>1</v>
      </c>
      <c r="H49" s="71">
        <v>210896.3</v>
      </c>
      <c r="I49" s="71">
        <v>68522.33</v>
      </c>
      <c r="J49" s="69">
        <v>1</v>
      </c>
      <c r="K49" s="71">
        <v>68522.33</v>
      </c>
      <c r="L49" s="71">
        <v>78621</v>
      </c>
      <c r="M49" s="71">
        <v>-195568</v>
      </c>
      <c r="N49" s="71">
        <v>-210896.3</v>
      </c>
      <c r="O49" s="71">
        <v>-20482.7</v>
      </c>
      <c r="P49" s="71">
        <v>-78621</v>
      </c>
      <c r="Q49" s="71">
        <v>243607.63</v>
      </c>
      <c r="R49" s="71">
        <v>30107</v>
      </c>
      <c r="S49" s="71">
        <v>-57800.160000000003</v>
      </c>
      <c r="T49" s="114">
        <v>0</v>
      </c>
    </row>
    <row r="50" spans="2:20" x14ac:dyDescent="0.25">
      <c r="B50" s="68">
        <v>170</v>
      </c>
      <c r="C50" s="69" t="s">
        <v>29</v>
      </c>
      <c r="D50" s="71">
        <v>0</v>
      </c>
      <c r="E50" s="71">
        <v>1111091.27</v>
      </c>
      <c r="F50" s="71">
        <v>220196.46</v>
      </c>
      <c r="G50" s="69">
        <v>1</v>
      </c>
      <c r="H50" s="71">
        <v>220196.46</v>
      </c>
      <c r="I50" s="71">
        <v>1526300.01</v>
      </c>
      <c r="J50" s="69">
        <v>1</v>
      </c>
      <c r="K50" s="71">
        <v>1526300.01</v>
      </c>
      <c r="L50" s="71">
        <v>176919</v>
      </c>
      <c r="M50" s="71">
        <v>2791780</v>
      </c>
      <c r="N50" s="71">
        <v>-220196.46</v>
      </c>
      <c r="O50" s="71">
        <v>-415208.74</v>
      </c>
      <c r="P50" s="71">
        <v>-176919</v>
      </c>
      <c r="Q50" s="71">
        <v>-1680688.73</v>
      </c>
      <c r="R50" s="71">
        <v>246655</v>
      </c>
      <c r="S50" s="71">
        <v>478177.94</v>
      </c>
      <c r="T50" s="114">
        <v>0</v>
      </c>
    </row>
    <row r="51" spans="2:20" x14ac:dyDescent="0.25">
      <c r="B51" s="68">
        <v>180</v>
      </c>
      <c r="C51" s="69" t="s">
        <v>589</v>
      </c>
      <c r="D51" s="71">
        <v>0</v>
      </c>
      <c r="E51" s="71">
        <v>0</v>
      </c>
      <c r="F51" s="71">
        <v>0</v>
      </c>
      <c r="G51" s="69">
        <v>1</v>
      </c>
      <c r="H51" s="71">
        <v>0</v>
      </c>
      <c r="I51" s="71">
        <v>0</v>
      </c>
      <c r="J51" s="69">
        <v>1</v>
      </c>
      <c r="K51" s="71">
        <v>0</v>
      </c>
      <c r="L51" s="71">
        <v>2561</v>
      </c>
      <c r="M51" s="71">
        <v>31062</v>
      </c>
      <c r="N51" s="71">
        <v>0</v>
      </c>
      <c r="O51" s="71">
        <v>0</v>
      </c>
      <c r="P51" s="71">
        <v>-2561</v>
      </c>
      <c r="Q51" s="71">
        <v>-31062</v>
      </c>
      <c r="R51" s="71">
        <v>2392</v>
      </c>
      <c r="S51" s="69">
        <v>0</v>
      </c>
      <c r="T51" s="114">
        <v>0</v>
      </c>
    </row>
    <row r="52" spans="2:20" x14ac:dyDescent="0.25">
      <c r="B52" s="68">
        <v>190</v>
      </c>
      <c r="C52" s="69" t="s">
        <v>590</v>
      </c>
      <c r="D52" s="71">
        <v>0</v>
      </c>
      <c r="E52" s="69">
        <v>0</v>
      </c>
      <c r="F52" s="71">
        <v>0</v>
      </c>
      <c r="G52" s="69">
        <v>1</v>
      </c>
      <c r="H52" s="71">
        <v>0</v>
      </c>
      <c r="I52" s="69">
        <v>0</v>
      </c>
      <c r="J52" s="69">
        <v>1</v>
      </c>
      <c r="K52" s="69">
        <v>0</v>
      </c>
      <c r="L52" s="69">
        <v>0</v>
      </c>
      <c r="M52" s="69">
        <v>0</v>
      </c>
      <c r="N52" s="69">
        <v>0</v>
      </c>
      <c r="O52" s="69">
        <v>0</v>
      </c>
      <c r="P52" s="69">
        <v>0</v>
      </c>
      <c r="Q52" s="69">
        <v>0</v>
      </c>
      <c r="R52" s="69">
        <v>0</v>
      </c>
      <c r="S52" s="69">
        <v>0</v>
      </c>
      <c r="T52" s="114">
        <v>0</v>
      </c>
    </row>
    <row r="53" spans="2:20" x14ac:dyDescent="0.25">
      <c r="B53" s="68">
        <v>200</v>
      </c>
      <c r="C53" s="69" t="s">
        <v>30</v>
      </c>
      <c r="D53" s="71">
        <v>0</v>
      </c>
      <c r="E53" s="71">
        <v>1111091.27</v>
      </c>
      <c r="F53" s="71">
        <v>220196.46</v>
      </c>
      <c r="G53" s="69">
        <v>1</v>
      </c>
      <c r="H53" s="71">
        <v>220196.46</v>
      </c>
      <c r="I53" s="71">
        <v>1526300.01</v>
      </c>
      <c r="J53" s="69">
        <v>1</v>
      </c>
      <c r="K53" s="71">
        <v>1526300.01</v>
      </c>
      <c r="L53" s="71">
        <v>174358</v>
      </c>
      <c r="M53" s="71">
        <v>2760718</v>
      </c>
      <c r="N53" s="71">
        <v>-220196.46</v>
      </c>
      <c r="O53" s="71">
        <v>-415208.74</v>
      </c>
      <c r="P53" s="71">
        <v>-174358</v>
      </c>
      <c r="Q53" s="71">
        <v>-1649626.73</v>
      </c>
      <c r="R53" s="71">
        <v>244263</v>
      </c>
      <c r="S53" s="71">
        <v>478177.94</v>
      </c>
      <c r="T53" s="114">
        <v>0</v>
      </c>
    </row>
    <row r="54" spans="2:20" x14ac:dyDescent="0.25">
      <c r="B54" s="72">
        <v>210</v>
      </c>
      <c r="C54" s="73" t="s">
        <v>31</v>
      </c>
      <c r="D54" s="74">
        <v>0</v>
      </c>
      <c r="E54" s="74">
        <v>1329626.8600000001</v>
      </c>
      <c r="F54" s="74">
        <v>455181.91</v>
      </c>
      <c r="G54" s="73">
        <v>1</v>
      </c>
      <c r="H54" s="74">
        <v>455181.91</v>
      </c>
      <c r="I54" s="74">
        <v>1787772.96</v>
      </c>
      <c r="J54" s="73">
        <v>1</v>
      </c>
      <c r="K54" s="74">
        <v>1787772.96</v>
      </c>
      <c r="L54" s="74">
        <v>279840</v>
      </c>
      <c r="M54" s="74">
        <v>2790612</v>
      </c>
      <c r="N54" s="74">
        <v>-455181.91</v>
      </c>
      <c r="O54" s="74">
        <v>-458146.1</v>
      </c>
      <c r="P54" s="74">
        <v>-279840</v>
      </c>
      <c r="Q54" s="74">
        <v>-1460985.14</v>
      </c>
      <c r="R54" s="74">
        <v>301062</v>
      </c>
      <c r="S54" s="74">
        <v>420377.78</v>
      </c>
      <c r="T54" s="115">
        <v>0</v>
      </c>
    </row>
    <row r="55" spans="2:20" x14ac:dyDescent="0.25">
      <c r="T55" s="177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BG">
    <tabColor rgb="FF0070C0"/>
    <pageSetUpPr fitToPage="1"/>
  </sheetPr>
  <dimension ref="B3:Z175"/>
  <sheetViews>
    <sheetView showGridLines="0" zoomScale="16" zoomScaleNormal="69" workbookViewId="0">
      <selection activeCell="O7" sqref="O7:Z59"/>
    </sheetView>
  </sheetViews>
  <sheetFormatPr baseColWidth="10" defaultColWidth="9.1796875" defaultRowHeight="12.5" x14ac:dyDescent="0.25"/>
  <cols>
    <col min="1" max="1" width="9.1796875" style="63" customWidth="1"/>
    <col min="2" max="2" width="13.81640625" style="63" customWidth="1"/>
    <col min="3" max="3" width="33.54296875" style="63" bestFit="1" customWidth="1"/>
    <col min="4" max="4" width="14.81640625" style="63" bestFit="1" customWidth="1"/>
    <col min="5" max="5" width="13.7265625" style="63" customWidth="1"/>
    <col min="6" max="6" width="13.453125" style="63" bestFit="1" customWidth="1"/>
    <col min="7" max="7" width="4.54296875" style="63" bestFit="1" customWidth="1"/>
    <col min="8" max="8" width="14.81640625" style="63" bestFit="1" customWidth="1"/>
    <col min="9" max="9" width="8.453125" style="63" bestFit="1" customWidth="1"/>
    <col min="10" max="10" width="14.7265625" style="63" customWidth="1"/>
    <col min="11" max="11" width="14.81640625" style="63" bestFit="1" customWidth="1"/>
    <col min="12" max="12" width="14" style="63" bestFit="1" customWidth="1"/>
    <col min="13" max="13" width="12.54296875" style="63" bestFit="1" customWidth="1"/>
    <col min="14" max="15" width="9.1796875" style="63" customWidth="1"/>
    <col min="16" max="16" width="25.81640625" style="63" customWidth="1"/>
    <col min="17" max="17" width="11.26953125" style="63" customWidth="1"/>
    <col min="18" max="18" width="5.54296875" style="63" bestFit="1" customWidth="1"/>
    <col min="19" max="19" width="14.81640625" style="63" bestFit="1" customWidth="1"/>
    <col min="20" max="20" width="4.54296875" style="63" bestFit="1" customWidth="1"/>
    <col min="21" max="21" width="14.81640625" style="63" bestFit="1" customWidth="1"/>
    <col min="22" max="22" width="4.54296875" style="63" customWidth="1"/>
    <col min="23" max="23" width="14.54296875" style="63" customWidth="1"/>
    <col min="24" max="24" width="13.54296875" style="63" customWidth="1"/>
    <col min="25" max="25" width="11.7265625" style="63" customWidth="1"/>
    <col min="26" max="26" width="12.54296875" style="63" bestFit="1" customWidth="1"/>
    <col min="27" max="16384" width="9.1796875" style="63"/>
  </cols>
  <sheetData>
    <row r="3" spans="2:26" ht="13" x14ac:dyDescent="0.3">
      <c r="B3" s="151" t="s">
        <v>169</v>
      </c>
      <c r="C3" s="181"/>
      <c r="D3" s="151">
        <v>610</v>
      </c>
      <c r="L3" s="174"/>
      <c r="O3" s="151" t="s">
        <v>161</v>
      </c>
      <c r="P3" s="182"/>
      <c r="Q3" s="151">
        <v>610</v>
      </c>
    </row>
    <row r="4" spans="2:26" ht="13" x14ac:dyDescent="0.3">
      <c r="B4" s="202" t="s">
        <v>0</v>
      </c>
      <c r="C4" s="203" t="s">
        <v>1</v>
      </c>
      <c r="D4" s="203" t="s">
        <v>32</v>
      </c>
      <c r="E4" s="203" t="s">
        <v>33</v>
      </c>
      <c r="F4" s="203" t="s">
        <v>34</v>
      </c>
      <c r="G4" s="203" t="s">
        <v>33</v>
      </c>
      <c r="H4" s="203" t="s">
        <v>35</v>
      </c>
      <c r="I4" s="203" t="s">
        <v>33</v>
      </c>
      <c r="J4" s="203" t="s">
        <v>35</v>
      </c>
      <c r="K4" s="203" t="s">
        <v>35</v>
      </c>
      <c r="L4" s="203" t="s">
        <v>36</v>
      </c>
      <c r="M4" s="204" t="s">
        <v>37</v>
      </c>
      <c r="O4" s="202" t="s">
        <v>0</v>
      </c>
      <c r="P4" s="203" t="s">
        <v>1</v>
      </c>
      <c r="Q4" s="203" t="s">
        <v>32</v>
      </c>
      <c r="R4" s="203" t="s">
        <v>33</v>
      </c>
      <c r="S4" s="203" t="s">
        <v>34</v>
      </c>
      <c r="T4" s="203" t="s">
        <v>33</v>
      </c>
      <c r="U4" s="203" t="s">
        <v>35</v>
      </c>
      <c r="V4" s="203" t="s">
        <v>33</v>
      </c>
      <c r="W4" s="203" t="s">
        <v>35</v>
      </c>
      <c r="X4" s="203" t="s">
        <v>35</v>
      </c>
      <c r="Y4" s="203" t="s">
        <v>36</v>
      </c>
      <c r="Z4" s="204" t="s">
        <v>37</v>
      </c>
    </row>
    <row r="5" spans="2:26" ht="13" x14ac:dyDescent="0.3">
      <c r="B5" s="205" t="s">
        <v>38</v>
      </c>
      <c r="C5" s="206"/>
      <c r="D5" s="206" t="s">
        <v>38</v>
      </c>
      <c r="E5" s="206"/>
      <c r="F5" s="206" t="s">
        <v>39</v>
      </c>
      <c r="G5" s="206"/>
      <c r="H5" s="206" t="s">
        <v>40</v>
      </c>
      <c r="I5" s="206" t="s">
        <v>41</v>
      </c>
      <c r="J5" s="206" t="s">
        <v>42</v>
      </c>
      <c r="K5" s="206"/>
      <c r="L5" s="206"/>
      <c r="M5" s="207"/>
      <c r="O5" s="205" t="s">
        <v>38</v>
      </c>
      <c r="P5" s="206"/>
      <c r="Q5" s="206" t="s">
        <v>38</v>
      </c>
      <c r="R5" s="206"/>
      <c r="S5" s="206" t="s">
        <v>39</v>
      </c>
      <c r="T5" s="206"/>
      <c r="U5" s="206" t="s">
        <v>40</v>
      </c>
      <c r="V5" s="206" t="s">
        <v>41</v>
      </c>
      <c r="W5" s="206" t="s">
        <v>42</v>
      </c>
      <c r="X5" s="206"/>
      <c r="Y5" s="206"/>
      <c r="Z5" s="207"/>
    </row>
    <row r="6" spans="2:26" ht="13" x14ac:dyDescent="0.3">
      <c r="B6" s="208"/>
      <c r="C6" s="209"/>
      <c r="D6" s="209"/>
      <c r="E6" s="209"/>
      <c r="F6" s="209"/>
      <c r="G6" s="209"/>
      <c r="H6" s="209"/>
      <c r="I6" s="209"/>
      <c r="J6" s="209"/>
      <c r="K6" s="209"/>
      <c r="L6" s="209"/>
      <c r="M6" s="210"/>
      <c r="O6" s="208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10"/>
    </row>
    <row r="7" spans="2:26" x14ac:dyDescent="0.25">
      <c r="B7" s="68">
        <v>10</v>
      </c>
      <c r="C7" s="69" t="s">
        <v>595</v>
      </c>
      <c r="D7" s="69">
        <v>0</v>
      </c>
      <c r="E7" s="69"/>
      <c r="F7" s="69"/>
      <c r="G7" s="69">
        <v>0</v>
      </c>
      <c r="H7" s="69">
        <v>0</v>
      </c>
      <c r="I7" s="69"/>
      <c r="J7" s="69">
        <v>0</v>
      </c>
      <c r="K7" s="69">
        <v>0</v>
      </c>
      <c r="L7" s="69">
        <v>0</v>
      </c>
      <c r="M7" s="70">
        <v>0</v>
      </c>
      <c r="O7" s="68">
        <v>10</v>
      </c>
      <c r="P7" s="69" t="s">
        <v>595</v>
      </c>
      <c r="Q7" s="69">
        <v>0</v>
      </c>
      <c r="R7" s="69"/>
      <c r="S7" s="69"/>
      <c r="T7" s="69">
        <v>0</v>
      </c>
      <c r="U7" s="69">
        <v>0</v>
      </c>
      <c r="V7" s="69"/>
      <c r="W7" s="69">
        <v>0</v>
      </c>
      <c r="X7" s="69">
        <v>0</v>
      </c>
      <c r="Y7" s="69">
        <v>0</v>
      </c>
      <c r="Z7" s="70">
        <v>0</v>
      </c>
    </row>
    <row r="8" spans="2:26" x14ac:dyDescent="0.25">
      <c r="B8" s="68">
        <v>20</v>
      </c>
      <c r="C8" s="69" t="s">
        <v>596</v>
      </c>
      <c r="D8" s="116">
        <v>3712709.54</v>
      </c>
      <c r="E8" s="116"/>
      <c r="F8" s="116"/>
      <c r="G8" s="116">
        <v>0</v>
      </c>
      <c r="H8" s="116">
        <v>3712709.54</v>
      </c>
      <c r="I8" s="116"/>
      <c r="J8" s="116">
        <v>0</v>
      </c>
      <c r="K8" s="116">
        <v>-323347.40999999997</v>
      </c>
      <c r="L8" s="116">
        <v>3712709.54</v>
      </c>
      <c r="M8" s="117">
        <v>4036056.95</v>
      </c>
      <c r="O8" s="68">
        <v>20</v>
      </c>
      <c r="P8" s="69" t="s">
        <v>596</v>
      </c>
      <c r="Q8" s="116">
        <v>103789.42</v>
      </c>
      <c r="R8" s="116"/>
      <c r="S8" s="116"/>
      <c r="T8" s="116">
        <v>0</v>
      </c>
      <c r="U8" s="116">
        <v>103789.42</v>
      </c>
      <c r="V8" s="116"/>
      <c r="W8" s="116">
        <v>0</v>
      </c>
      <c r="X8" s="116">
        <v>-727621.19</v>
      </c>
      <c r="Y8" s="116">
        <v>103789.42</v>
      </c>
      <c r="Z8" s="117">
        <v>831410.61</v>
      </c>
    </row>
    <row r="9" spans="2:26" x14ac:dyDescent="0.25">
      <c r="B9" s="68">
        <v>30</v>
      </c>
      <c r="C9" s="69" t="s">
        <v>597</v>
      </c>
      <c r="D9" s="116">
        <v>0</v>
      </c>
      <c r="E9" s="116"/>
      <c r="F9" s="116"/>
      <c r="G9" s="116">
        <v>0</v>
      </c>
      <c r="H9" s="116">
        <v>0</v>
      </c>
      <c r="I9" s="116"/>
      <c r="J9" s="116">
        <v>0</v>
      </c>
      <c r="K9" s="116">
        <v>0</v>
      </c>
      <c r="L9" s="116">
        <v>0</v>
      </c>
      <c r="M9" s="117">
        <v>0</v>
      </c>
      <c r="O9" s="68">
        <v>30</v>
      </c>
      <c r="P9" s="69" t="s">
        <v>597</v>
      </c>
      <c r="Q9" s="116">
        <v>0</v>
      </c>
      <c r="R9" s="116"/>
      <c r="S9" s="116"/>
      <c r="T9" s="116">
        <v>0</v>
      </c>
      <c r="U9" s="116">
        <v>0</v>
      </c>
      <c r="V9" s="116"/>
      <c r="W9" s="116">
        <v>0</v>
      </c>
      <c r="X9" s="116">
        <v>0</v>
      </c>
      <c r="Y9" s="116">
        <v>0</v>
      </c>
      <c r="Z9" s="117">
        <v>0</v>
      </c>
    </row>
    <row r="10" spans="2:26" x14ac:dyDescent="0.25">
      <c r="B10" s="68">
        <v>40</v>
      </c>
      <c r="C10" s="69" t="s">
        <v>43</v>
      </c>
      <c r="D10" s="116">
        <v>130064015.3</v>
      </c>
      <c r="E10" s="116"/>
      <c r="F10" s="116"/>
      <c r="G10" s="116">
        <v>0</v>
      </c>
      <c r="H10" s="116">
        <v>130064015.3</v>
      </c>
      <c r="I10" s="116"/>
      <c r="J10" s="116">
        <v>0</v>
      </c>
      <c r="K10" s="116">
        <v>9070159.7100000009</v>
      </c>
      <c r="L10" s="116">
        <v>130064015.3</v>
      </c>
      <c r="M10" s="117">
        <v>120993855.59</v>
      </c>
      <c r="O10" s="68">
        <v>40</v>
      </c>
      <c r="P10" s="69" t="s">
        <v>43</v>
      </c>
      <c r="Q10" s="116">
        <v>8402243.8699999992</v>
      </c>
      <c r="R10" s="116"/>
      <c r="S10" s="116"/>
      <c r="T10" s="116">
        <v>0</v>
      </c>
      <c r="U10" s="116">
        <v>8402243.8699999992</v>
      </c>
      <c r="V10" s="116"/>
      <c r="W10" s="116">
        <v>0</v>
      </c>
      <c r="X10" s="116">
        <v>-262896.5</v>
      </c>
      <c r="Y10" s="116">
        <v>8402243.8699999992</v>
      </c>
      <c r="Z10" s="117">
        <v>8665140.3699999992</v>
      </c>
    </row>
    <row r="11" spans="2:26" x14ac:dyDescent="0.25">
      <c r="B11" s="68">
        <v>50</v>
      </c>
      <c r="C11" s="69" t="s">
        <v>44</v>
      </c>
      <c r="D11" s="116">
        <v>26836664.960000001</v>
      </c>
      <c r="E11" s="116"/>
      <c r="F11" s="116"/>
      <c r="G11" s="116">
        <v>0</v>
      </c>
      <c r="H11" s="116">
        <v>26836664.960000001</v>
      </c>
      <c r="I11" s="116"/>
      <c r="J11" s="116">
        <v>0</v>
      </c>
      <c r="K11" s="116">
        <v>4440063.0999999996</v>
      </c>
      <c r="L11" s="116">
        <v>26836664.960000001</v>
      </c>
      <c r="M11" s="117">
        <v>22396601.859999999</v>
      </c>
      <c r="O11" s="68">
        <v>50</v>
      </c>
      <c r="P11" s="69" t="s">
        <v>44</v>
      </c>
      <c r="Q11" s="116">
        <v>6850977.5499999998</v>
      </c>
      <c r="R11" s="116"/>
      <c r="S11" s="116"/>
      <c r="T11" s="116">
        <v>0</v>
      </c>
      <c r="U11" s="116">
        <v>6850977.5499999998</v>
      </c>
      <c r="V11" s="116"/>
      <c r="W11" s="116">
        <v>0</v>
      </c>
      <c r="X11" s="116">
        <v>-3776747</v>
      </c>
      <c r="Y11" s="116">
        <v>6850977.5499999998</v>
      </c>
      <c r="Z11" s="117">
        <v>10627724.550000001</v>
      </c>
    </row>
    <row r="12" spans="2:26" x14ac:dyDescent="0.25">
      <c r="B12" s="68">
        <v>60</v>
      </c>
      <c r="C12" s="69" t="s">
        <v>45</v>
      </c>
      <c r="D12" s="116">
        <v>159251158.62</v>
      </c>
      <c r="E12" s="116"/>
      <c r="F12" s="116"/>
      <c r="G12" s="116">
        <v>0</v>
      </c>
      <c r="H12" s="116">
        <v>159251158.62</v>
      </c>
      <c r="I12" s="116"/>
      <c r="J12" s="116">
        <v>0</v>
      </c>
      <c r="K12" s="116">
        <v>-4810140.4000000004</v>
      </c>
      <c r="L12" s="116">
        <v>159251158.62</v>
      </c>
      <c r="M12" s="117">
        <v>164061299.02000001</v>
      </c>
      <c r="O12" s="68">
        <v>60</v>
      </c>
      <c r="P12" s="69" t="s">
        <v>45</v>
      </c>
      <c r="Q12" s="116">
        <v>0</v>
      </c>
      <c r="R12" s="116"/>
      <c r="S12" s="116"/>
      <c r="T12" s="116">
        <v>0</v>
      </c>
      <c r="U12" s="116">
        <v>0</v>
      </c>
      <c r="V12" s="116"/>
      <c r="W12" s="116">
        <v>0</v>
      </c>
      <c r="X12" s="116">
        <v>0</v>
      </c>
      <c r="Y12" s="116">
        <v>0</v>
      </c>
      <c r="Z12" s="117">
        <v>0</v>
      </c>
    </row>
    <row r="13" spans="2:26" x14ac:dyDescent="0.25">
      <c r="B13" s="68">
        <v>70</v>
      </c>
      <c r="C13" s="69" t="s">
        <v>46</v>
      </c>
      <c r="D13" s="116">
        <v>4829962.43</v>
      </c>
      <c r="E13" s="116"/>
      <c r="F13" s="116"/>
      <c r="G13" s="116">
        <v>0</v>
      </c>
      <c r="H13" s="116">
        <v>4829962.43</v>
      </c>
      <c r="I13" s="116"/>
      <c r="J13" s="116">
        <v>0</v>
      </c>
      <c r="K13" s="116">
        <v>2191387</v>
      </c>
      <c r="L13" s="116">
        <v>4829962.43</v>
      </c>
      <c r="M13" s="117">
        <v>2638575.4300000002</v>
      </c>
      <c r="O13" s="68">
        <v>70</v>
      </c>
      <c r="P13" s="69" t="s">
        <v>46</v>
      </c>
      <c r="Q13" s="116">
        <v>-277287.65999999997</v>
      </c>
      <c r="R13" s="116"/>
      <c r="S13" s="116"/>
      <c r="T13" s="116">
        <v>0</v>
      </c>
      <c r="U13" s="116">
        <v>-277287.65999999997</v>
      </c>
      <c r="V13" s="116"/>
      <c r="W13" s="116">
        <v>0</v>
      </c>
      <c r="X13" s="116">
        <v>-84107.29</v>
      </c>
      <c r="Y13" s="116">
        <v>-277287.65999999997</v>
      </c>
      <c r="Z13" s="117">
        <v>-193180.37</v>
      </c>
    </row>
    <row r="14" spans="2:26" x14ac:dyDescent="0.25">
      <c r="B14" s="68">
        <v>80</v>
      </c>
      <c r="C14" s="69" t="s">
        <v>598</v>
      </c>
      <c r="D14" s="116">
        <v>0</v>
      </c>
      <c r="E14" s="116"/>
      <c r="F14" s="116"/>
      <c r="G14" s="116">
        <v>0</v>
      </c>
      <c r="H14" s="116">
        <v>0</v>
      </c>
      <c r="I14" s="116"/>
      <c r="J14" s="116">
        <v>0</v>
      </c>
      <c r="K14" s="116">
        <v>0</v>
      </c>
      <c r="L14" s="116">
        <v>0</v>
      </c>
      <c r="M14" s="117">
        <v>0</v>
      </c>
      <c r="O14" s="68">
        <v>80</v>
      </c>
      <c r="P14" s="69" t="s">
        <v>598</v>
      </c>
      <c r="Q14" s="116">
        <v>601122.01</v>
      </c>
      <c r="R14" s="116"/>
      <c r="S14" s="116"/>
      <c r="T14" s="116">
        <v>0</v>
      </c>
      <c r="U14" s="116">
        <v>601122.01</v>
      </c>
      <c r="V14" s="116"/>
      <c r="W14" s="116">
        <v>0</v>
      </c>
      <c r="X14" s="116">
        <v>379739.58</v>
      </c>
      <c r="Y14" s="116">
        <v>601122.01</v>
      </c>
      <c r="Z14" s="117">
        <v>221382.43</v>
      </c>
    </row>
    <row r="15" spans="2:26" x14ac:dyDescent="0.25">
      <c r="B15" s="68">
        <v>100</v>
      </c>
      <c r="C15" s="69" t="s">
        <v>599</v>
      </c>
      <c r="D15" s="116">
        <v>324694510.85000002</v>
      </c>
      <c r="E15" s="116"/>
      <c r="F15" s="116"/>
      <c r="G15" s="116">
        <v>0</v>
      </c>
      <c r="H15" s="116">
        <v>324694510.85000002</v>
      </c>
      <c r="I15" s="116"/>
      <c r="J15" s="116">
        <v>0</v>
      </c>
      <c r="K15" s="116">
        <v>10568122</v>
      </c>
      <c r="L15" s="116">
        <v>324694510.85000002</v>
      </c>
      <c r="M15" s="117">
        <v>314126388.85000002</v>
      </c>
      <c r="O15" s="68">
        <v>100</v>
      </c>
      <c r="P15" s="69" t="s">
        <v>599</v>
      </c>
      <c r="Q15" s="116">
        <v>15680845.189999999</v>
      </c>
      <c r="R15" s="116"/>
      <c r="S15" s="116"/>
      <c r="T15" s="116">
        <v>0</v>
      </c>
      <c r="U15" s="116">
        <v>15680845.189999999</v>
      </c>
      <c r="V15" s="116"/>
      <c r="W15" s="116">
        <v>0</v>
      </c>
      <c r="X15" s="116">
        <v>-4471632.4000000004</v>
      </c>
      <c r="Y15" s="116">
        <v>15680845.189999999</v>
      </c>
      <c r="Z15" s="117">
        <v>20152477.59</v>
      </c>
    </row>
    <row r="16" spans="2:26" x14ac:dyDescent="0.25">
      <c r="B16" s="68">
        <v>110</v>
      </c>
      <c r="C16" s="69" t="s">
        <v>600</v>
      </c>
      <c r="D16" s="116">
        <v>0</v>
      </c>
      <c r="E16" s="116"/>
      <c r="F16" s="116"/>
      <c r="G16" s="116">
        <v>0</v>
      </c>
      <c r="H16" s="116">
        <v>0</v>
      </c>
      <c r="I16" s="116"/>
      <c r="J16" s="116">
        <v>0</v>
      </c>
      <c r="K16" s="116">
        <v>0</v>
      </c>
      <c r="L16" s="116">
        <v>0</v>
      </c>
      <c r="M16" s="117">
        <v>0</v>
      </c>
      <c r="O16" s="68">
        <v>110</v>
      </c>
      <c r="P16" s="69" t="s">
        <v>600</v>
      </c>
      <c r="Q16" s="116">
        <v>0</v>
      </c>
      <c r="R16" s="116"/>
      <c r="S16" s="116"/>
      <c r="T16" s="116">
        <v>0</v>
      </c>
      <c r="U16" s="116">
        <v>0</v>
      </c>
      <c r="V16" s="116"/>
      <c r="W16" s="116">
        <v>0</v>
      </c>
      <c r="X16" s="116">
        <v>0</v>
      </c>
      <c r="Y16" s="116">
        <v>0</v>
      </c>
      <c r="Z16" s="117">
        <v>0</v>
      </c>
    </row>
    <row r="17" spans="2:26" x14ac:dyDescent="0.25">
      <c r="B17" s="68">
        <v>120</v>
      </c>
      <c r="C17" s="69" t="s">
        <v>47</v>
      </c>
      <c r="D17" s="116">
        <v>0</v>
      </c>
      <c r="E17" s="116"/>
      <c r="F17" s="116"/>
      <c r="G17" s="116">
        <v>0</v>
      </c>
      <c r="H17" s="116">
        <v>0</v>
      </c>
      <c r="I17" s="116"/>
      <c r="J17" s="116">
        <v>0</v>
      </c>
      <c r="K17" s="116">
        <v>0</v>
      </c>
      <c r="L17" s="116">
        <v>0</v>
      </c>
      <c r="M17" s="117">
        <v>0</v>
      </c>
      <c r="O17" s="68">
        <v>120</v>
      </c>
      <c r="P17" s="69" t="s">
        <v>47</v>
      </c>
      <c r="Q17" s="116">
        <v>9566747.9499999993</v>
      </c>
      <c r="R17" s="116"/>
      <c r="S17" s="116"/>
      <c r="T17" s="116">
        <v>0</v>
      </c>
      <c r="U17" s="116">
        <v>9566747.9499999993</v>
      </c>
      <c r="V17" s="116"/>
      <c r="W17" s="116">
        <v>0</v>
      </c>
      <c r="X17" s="116">
        <v>0</v>
      </c>
      <c r="Y17" s="116">
        <v>9566747.9499999993</v>
      </c>
      <c r="Z17" s="117">
        <v>9566747.9499999993</v>
      </c>
    </row>
    <row r="18" spans="2:26" x14ac:dyDescent="0.25">
      <c r="B18" s="68">
        <v>130</v>
      </c>
      <c r="C18" s="69" t="s">
        <v>48</v>
      </c>
      <c r="D18" s="116">
        <v>0</v>
      </c>
      <c r="E18" s="116"/>
      <c r="F18" s="116"/>
      <c r="G18" s="116">
        <v>0</v>
      </c>
      <c r="H18" s="116">
        <v>0</v>
      </c>
      <c r="I18" s="116"/>
      <c r="J18" s="116">
        <v>0</v>
      </c>
      <c r="K18" s="116">
        <v>0</v>
      </c>
      <c r="L18" s="116">
        <v>0</v>
      </c>
      <c r="M18" s="117">
        <v>0</v>
      </c>
      <c r="O18" s="68">
        <v>130</v>
      </c>
      <c r="P18" s="69" t="s">
        <v>48</v>
      </c>
      <c r="Q18" s="116">
        <v>5283681.1100000003</v>
      </c>
      <c r="R18" s="116"/>
      <c r="S18" s="116"/>
      <c r="T18" s="116">
        <v>0</v>
      </c>
      <c r="U18" s="116">
        <v>5283681.1100000003</v>
      </c>
      <c r="V18" s="116"/>
      <c r="W18" s="116">
        <v>0</v>
      </c>
      <c r="X18" s="116">
        <v>0</v>
      </c>
      <c r="Y18" s="116">
        <v>5283681.1100000003</v>
      </c>
      <c r="Z18" s="117">
        <v>5283681.1100000003</v>
      </c>
    </row>
    <row r="19" spans="2:26" x14ac:dyDescent="0.25">
      <c r="B19" s="68">
        <v>140</v>
      </c>
      <c r="C19" s="69" t="s">
        <v>601</v>
      </c>
      <c r="D19" s="116">
        <v>13947.86</v>
      </c>
      <c r="E19" s="116"/>
      <c r="F19" s="116"/>
      <c r="G19" s="116">
        <v>0</v>
      </c>
      <c r="H19" s="116">
        <v>13947.86</v>
      </c>
      <c r="I19" s="116"/>
      <c r="J19" s="116">
        <v>0</v>
      </c>
      <c r="K19" s="116">
        <v>0</v>
      </c>
      <c r="L19" s="116">
        <v>13947.86</v>
      </c>
      <c r="M19" s="117">
        <v>13947.86</v>
      </c>
      <c r="O19" s="68">
        <v>140</v>
      </c>
      <c r="P19" s="69" t="s">
        <v>601</v>
      </c>
      <c r="Q19" s="116">
        <v>209605.68</v>
      </c>
      <c r="R19" s="116"/>
      <c r="S19" s="116"/>
      <c r="T19" s="116">
        <v>0</v>
      </c>
      <c r="U19" s="116">
        <v>209605.68</v>
      </c>
      <c r="V19" s="116"/>
      <c r="W19" s="116">
        <v>0</v>
      </c>
      <c r="X19" s="116">
        <v>0</v>
      </c>
      <c r="Y19" s="116">
        <v>209605.68</v>
      </c>
      <c r="Z19" s="117">
        <v>209605.68</v>
      </c>
    </row>
    <row r="20" spans="2:26" x14ac:dyDescent="0.25">
      <c r="B20" s="68">
        <v>150</v>
      </c>
      <c r="C20" s="69" t="s">
        <v>49</v>
      </c>
      <c r="D20" s="116">
        <v>89467.43</v>
      </c>
      <c r="E20" s="116"/>
      <c r="F20" s="116"/>
      <c r="G20" s="116">
        <v>0</v>
      </c>
      <c r="H20" s="116">
        <v>89467.43</v>
      </c>
      <c r="I20" s="116"/>
      <c r="J20" s="116">
        <v>0</v>
      </c>
      <c r="K20" s="116">
        <v>19176.13</v>
      </c>
      <c r="L20" s="116">
        <v>89467.43</v>
      </c>
      <c r="M20" s="117">
        <v>70291.3</v>
      </c>
      <c r="O20" s="68">
        <v>150</v>
      </c>
      <c r="P20" s="69" t="s">
        <v>49</v>
      </c>
      <c r="Q20" s="116">
        <v>228783.83</v>
      </c>
      <c r="R20" s="116"/>
      <c r="S20" s="116"/>
      <c r="T20" s="116">
        <v>0</v>
      </c>
      <c r="U20" s="116">
        <v>228783.83</v>
      </c>
      <c r="V20" s="116"/>
      <c r="W20" s="116">
        <v>0</v>
      </c>
      <c r="X20" s="116">
        <v>0</v>
      </c>
      <c r="Y20" s="116">
        <v>228783.83</v>
      </c>
      <c r="Z20" s="117">
        <v>228783.83</v>
      </c>
    </row>
    <row r="21" spans="2:26" x14ac:dyDescent="0.25">
      <c r="B21" s="68">
        <v>160</v>
      </c>
      <c r="C21" s="69" t="s">
        <v>50</v>
      </c>
      <c r="D21" s="116">
        <v>695471.89</v>
      </c>
      <c r="E21" s="116"/>
      <c r="F21" s="116"/>
      <c r="G21" s="116">
        <v>0</v>
      </c>
      <c r="H21" s="116">
        <v>695471.89</v>
      </c>
      <c r="I21" s="116"/>
      <c r="J21" s="116">
        <v>0</v>
      </c>
      <c r="K21" s="116">
        <v>344047</v>
      </c>
      <c r="L21" s="116">
        <v>695471.89</v>
      </c>
      <c r="M21" s="117">
        <v>351424.89</v>
      </c>
      <c r="O21" s="68">
        <v>160</v>
      </c>
      <c r="P21" s="69" t="s">
        <v>50</v>
      </c>
      <c r="Q21" s="116">
        <v>672623.82</v>
      </c>
      <c r="R21" s="116"/>
      <c r="S21" s="116"/>
      <c r="T21" s="116">
        <v>0</v>
      </c>
      <c r="U21" s="116">
        <v>672623.82</v>
      </c>
      <c r="V21" s="116"/>
      <c r="W21" s="116">
        <v>0</v>
      </c>
      <c r="X21" s="116">
        <v>0</v>
      </c>
      <c r="Y21" s="116">
        <v>672623.82</v>
      </c>
      <c r="Z21" s="117">
        <v>672623.82</v>
      </c>
    </row>
    <row r="22" spans="2:26" x14ac:dyDescent="0.25">
      <c r="B22" s="68">
        <v>170</v>
      </c>
      <c r="C22" s="69" t="s">
        <v>51</v>
      </c>
      <c r="D22" s="116">
        <v>146104.93</v>
      </c>
      <c r="E22" s="116"/>
      <c r="F22" s="116"/>
      <c r="G22" s="116">
        <v>0</v>
      </c>
      <c r="H22" s="116">
        <v>146104.93</v>
      </c>
      <c r="I22" s="116"/>
      <c r="J22" s="116">
        <v>0</v>
      </c>
      <c r="K22" s="116">
        <v>35000</v>
      </c>
      <c r="L22" s="116">
        <v>146104.93</v>
      </c>
      <c r="M22" s="117">
        <v>111104.93</v>
      </c>
      <c r="O22" s="68">
        <v>170</v>
      </c>
      <c r="P22" s="69" t="s">
        <v>51</v>
      </c>
      <c r="Q22" s="116">
        <v>2028790.71</v>
      </c>
      <c r="R22" s="116"/>
      <c r="S22" s="116"/>
      <c r="T22" s="116">
        <v>0</v>
      </c>
      <c r="U22" s="116">
        <v>2028790.71</v>
      </c>
      <c r="V22" s="116"/>
      <c r="W22" s="116">
        <v>0</v>
      </c>
      <c r="X22" s="116">
        <v>0</v>
      </c>
      <c r="Y22" s="116">
        <v>2028790.71</v>
      </c>
      <c r="Z22" s="117">
        <v>2028790.71</v>
      </c>
    </row>
    <row r="23" spans="2:26" x14ac:dyDescent="0.25">
      <c r="B23" s="68">
        <v>180</v>
      </c>
      <c r="C23" s="69" t="s">
        <v>602</v>
      </c>
      <c r="D23" s="116">
        <v>0</v>
      </c>
      <c r="E23" s="116"/>
      <c r="F23" s="116"/>
      <c r="G23" s="116">
        <v>0</v>
      </c>
      <c r="H23" s="116">
        <v>0</v>
      </c>
      <c r="I23" s="116"/>
      <c r="J23" s="116">
        <v>0</v>
      </c>
      <c r="K23" s="116">
        <v>0</v>
      </c>
      <c r="L23" s="116">
        <v>0</v>
      </c>
      <c r="M23" s="117">
        <v>0</v>
      </c>
      <c r="O23" s="68">
        <v>180</v>
      </c>
      <c r="P23" s="69" t="s">
        <v>602</v>
      </c>
      <c r="Q23" s="116">
        <v>0</v>
      </c>
      <c r="R23" s="116"/>
      <c r="S23" s="116"/>
      <c r="T23" s="116">
        <v>0</v>
      </c>
      <c r="U23" s="116">
        <v>0</v>
      </c>
      <c r="V23" s="116"/>
      <c r="W23" s="116">
        <v>0</v>
      </c>
      <c r="X23" s="116">
        <v>0</v>
      </c>
      <c r="Y23" s="116">
        <v>0</v>
      </c>
      <c r="Z23" s="117">
        <v>0</v>
      </c>
    </row>
    <row r="24" spans="2:26" x14ac:dyDescent="0.25">
      <c r="B24" s="68">
        <v>190</v>
      </c>
      <c r="C24" s="69" t="s">
        <v>603</v>
      </c>
      <c r="D24" s="116">
        <v>-427373.39</v>
      </c>
      <c r="E24" s="116"/>
      <c r="F24" s="116"/>
      <c r="G24" s="116">
        <v>0</v>
      </c>
      <c r="H24" s="116">
        <v>-427373.39</v>
      </c>
      <c r="I24" s="116"/>
      <c r="J24" s="116">
        <v>0</v>
      </c>
      <c r="K24" s="116">
        <v>-12012.68</v>
      </c>
      <c r="L24" s="116">
        <v>-427373.39</v>
      </c>
      <c r="M24" s="117">
        <v>-415360.71</v>
      </c>
      <c r="O24" s="68">
        <v>190</v>
      </c>
      <c r="P24" s="69" t="s">
        <v>603</v>
      </c>
      <c r="Q24" s="116">
        <v>-2282832.12</v>
      </c>
      <c r="R24" s="116"/>
      <c r="S24" s="116"/>
      <c r="T24" s="116">
        <v>0</v>
      </c>
      <c r="U24" s="116">
        <v>-2282832.12</v>
      </c>
      <c r="V24" s="116"/>
      <c r="W24" s="116">
        <v>0</v>
      </c>
      <c r="X24" s="116">
        <v>-170495.96</v>
      </c>
      <c r="Y24" s="116">
        <v>-2282832.12</v>
      </c>
      <c r="Z24" s="117">
        <v>-2112336.16</v>
      </c>
    </row>
    <row r="25" spans="2:26" x14ac:dyDescent="0.25">
      <c r="B25" s="68">
        <v>200</v>
      </c>
      <c r="C25" s="69" t="s">
        <v>604</v>
      </c>
      <c r="D25" s="116">
        <v>517618.72</v>
      </c>
      <c r="E25" s="116"/>
      <c r="F25" s="116"/>
      <c r="G25" s="116">
        <v>0</v>
      </c>
      <c r="H25" s="116">
        <v>517618.72</v>
      </c>
      <c r="I25" s="116"/>
      <c r="J25" s="116">
        <v>0</v>
      </c>
      <c r="K25" s="116">
        <v>386210.45</v>
      </c>
      <c r="L25" s="116">
        <v>517618.72</v>
      </c>
      <c r="M25" s="117">
        <v>131408.26999999999</v>
      </c>
      <c r="O25" s="68">
        <v>200</v>
      </c>
      <c r="P25" s="69" t="s">
        <v>604</v>
      </c>
      <c r="Q25" s="116">
        <v>15707400.98</v>
      </c>
      <c r="R25" s="116"/>
      <c r="S25" s="116"/>
      <c r="T25" s="116">
        <v>0</v>
      </c>
      <c r="U25" s="116">
        <v>15707400.98</v>
      </c>
      <c r="V25" s="116"/>
      <c r="W25" s="116">
        <v>0</v>
      </c>
      <c r="X25" s="116">
        <v>-170495.96</v>
      </c>
      <c r="Y25" s="116">
        <v>15707400.98</v>
      </c>
      <c r="Z25" s="117">
        <v>15877896.939999999</v>
      </c>
    </row>
    <row r="26" spans="2:26" x14ac:dyDescent="0.25">
      <c r="B26" s="68">
        <v>210</v>
      </c>
      <c r="C26" s="69" t="s">
        <v>605</v>
      </c>
      <c r="D26" s="116">
        <v>0</v>
      </c>
      <c r="E26" s="116"/>
      <c r="F26" s="116"/>
      <c r="G26" s="116">
        <v>0</v>
      </c>
      <c r="H26" s="116">
        <v>0</v>
      </c>
      <c r="I26" s="116"/>
      <c r="J26" s="116">
        <v>0</v>
      </c>
      <c r="K26" s="116">
        <v>0</v>
      </c>
      <c r="L26" s="116">
        <v>0</v>
      </c>
      <c r="M26" s="117">
        <v>0</v>
      </c>
      <c r="O26" s="68">
        <v>210</v>
      </c>
      <c r="P26" s="69" t="s">
        <v>605</v>
      </c>
      <c r="Q26" s="116">
        <v>0</v>
      </c>
      <c r="R26" s="116"/>
      <c r="S26" s="116"/>
      <c r="T26" s="116">
        <v>0</v>
      </c>
      <c r="U26" s="116">
        <v>0</v>
      </c>
      <c r="V26" s="116"/>
      <c r="W26" s="116">
        <v>0</v>
      </c>
      <c r="X26" s="116">
        <v>0</v>
      </c>
      <c r="Y26" s="116">
        <v>0</v>
      </c>
      <c r="Z26" s="117">
        <v>0</v>
      </c>
    </row>
    <row r="27" spans="2:26" x14ac:dyDescent="0.25">
      <c r="B27" s="68">
        <v>220</v>
      </c>
      <c r="C27" s="69" t="s">
        <v>606</v>
      </c>
      <c r="D27" s="116">
        <v>25658.66</v>
      </c>
      <c r="E27" s="116"/>
      <c r="F27" s="116"/>
      <c r="G27" s="116">
        <v>0</v>
      </c>
      <c r="H27" s="116">
        <v>25658.66</v>
      </c>
      <c r="I27" s="116"/>
      <c r="J27" s="116">
        <v>0</v>
      </c>
      <c r="K27" s="116">
        <v>0</v>
      </c>
      <c r="L27" s="116">
        <v>25658.66</v>
      </c>
      <c r="M27" s="117">
        <v>25658.66</v>
      </c>
      <c r="O27" s="68">
        <v>220</v>
      </c>
      <c r="P27" s="69" t="s">
        <v>606</v>
      </c>
      <c r="Q27" s="116">
        <v>0</v>
      </c>
      <c r="R27" s="116"/>
      <c r="S27" s="116"/>
      <c r="T27" s="116">
        <v>0</v>
      </c>
      <c r="U27" s="116">
        <v>0</v>
      </c>
      <c r="V27" s="116"/>
      <c r="W27" s="116">
        <v>0</v>
      </c>
      <c r="X27" s="116">
        <v>0</v>
      </c>
      <c r="Y27" s="116">
        <v>0</v>
      </c>
      <c r="Z27" s="117">
        <v>0</v>
      </c>
    </row>
    <row r="28" spans="2:26" x14ac:dyDescent="0.25">
      <c r="B28" s="68">
        <v>230</v>
      </c>
      <c r="C28" s="69" t="s">
        <v>607</v>
      </c>
      <c r="D28" s="116">
        <v>36684473.259999998</v>
      </c>
      <c r="E28" s="116"/>
      <c r="F28" s="116"/>
      <c r="G28" s="116">
        <v>0</v>
      </c>
      <c r="H28" s="116">
        <v>36684473.259999998</v>
      </c>
      <c r="I28" s="116"/>
      <c r="J28" s="116">
        <v>0</v>
      </c>
      <c r="K28" s="116">
        <v>-766188.33</v>
      </c>
      <c r="L28" s="116">
        <v>36684473.259999998</v>
      </c>
      <c r="M28" s="117">
        <v>37450661.590000004</v>
      </c>
      <c r="O28" s="68">
        <v>230</v>
      </c>
      <c r="P28" s="69" t="s">
        <v>607</v>
      </c>
      <c r="Q28" s="116">
        <v>0</v>
      </c>
      <c r="R28" s="116"/>
      <c r="S28" s="116"/>
      <c r="T28" s="116">
        <v>0</v>
      </c>
      <c r="U28" s="116">
        <v>0</v>
      </c>
      <c r="V28" s="116"/>
      <c r="W28" s="116">
        <v>0</v>
      </c>
      <c r="X28" s="116">
        <v>0</v>
      </c>
      <c r="Y28" s="116">
        <v>0</v>
      </c>
      <c r="Z28" s="117">
        <v>0</v>
      </c>
    </row>
    <row r="29" spans="2:26" x14ac:dyDescent="0.25">
      <c r="B29" s="68">
        <v>240</v>
      </c>
      <c r="C29" s="69" t="s">
        <v>608</v>
      </c>
      <c r="D29" s="116">
        <v>0</v>
      </c>
      <c r="E29" s="116"/>
      <c r="F29" s="116"/>
      <c r="G29" s="116">
        <v>0</v>
      </c>
      <c r="H29" s="116">
        <v>0</v>
      </c>
      <c r="I29" s="116"/>
      <c r="J29" s="116">
        <v>0</v>
      </c>
      <c r="K29" s="116">
        <v>0</v>
      </c>
      <c r="L29" s="116">
        <v>0</v>
      </c>
      <c r="M29" s="117">
        <v>0</v>
      </c>
      <c r="O29" s="68">
        <v>240</v>
      </c>
      <c r="P29" s="69" t="s">
        <v>608</v>
      </c>
      <c r="Q29" s="116">
        <v>0</v>
      </c>
      <c r="R29" s="116"/>
      <c r="S29" s="116"/>
      <c r="T29" s="116">
        <v>0</v>
      </c>
      <c r="U29" s="116">
        <v>0</v>
      </c>
      <c r="V29" s="116"/>
      <c r="W29" s="116">
        <v>0</v>
      </c>
      <c r="X29" s="116">
        <v>0</v>
      </c>
      <c r="Y29" s="116">
        <v>0</v>
      </c>
      <c r="Z29" s="117">
        <v>0</v>
      </c>
    </row>
    <row r="30" spans="2:26" x14ac:dyDescent="0.25">
      <c r="B30" s="68">
        <v>250</v>
      </c>
      <c r="C30" s="69" t="s">
        <v>609</v>
      </c>
      <c r="D30" s="116">
        <v>36710131.920000002</v>
      </c>
      <c r="E30" s="116"/>
      <c r="F30" s="116"/>
      <c r="G30" s="116">
        <v>0</v>
      </c>
      <c r="H30" s="116">
        <v>36710131.920000002</v>
      </c>
      <c r="I30" s="116"/>
      <c r="J30" s="116">
        <v>0</v>
      </c>
      <c r="K30" s="116">
        <v>-766188.33</v>
      </c>
      <c r="L30" s="116">
        <v>36710131.920000002</v>
      </c>
      <c r="M30" s="117">
        <v>37476320.25</v>
      </c>
      <c r="O30" s="68">
        <v>250</v>
      </c>
      <c r="P30" s="69" t="s">
        <v>609</v>
      </c>
      <c r="Q30" s="116">
        <v>0</v>
      </c>
      <c r="R30" s="116"/>
      <c r="S30" s="116"/>
      <c r="T30" s="116">
        <v>0</v>
      </c>
      <c r="U30" s="116">
        <v>0</v>
      </c>
      <c r="V30" s="116"/>
      <c r="W30" s="116">
        <v>0</v>
      </c>
      <c r="X30" s="116">
        <v>0</v>
      </c>
      <c r="Y30" s="116">
        <v>0</v>
      </c>
      <c r="Z30" s="117">
        <v>0</v>
      </c>
    </row>
    <row r="31" spans="2:26" x14ac:dyDescent="0.25">
      <c r="B31" s="68">
        <v>260</v>
      </c>
      <c r="C31" s="69" t="s">
        <v>610</v>
      </c>
      <c r="D31" s="116">
        <v>0</v>
      </c>
      <c r="E31" s="116"/>
      <c r="F31" s="116"/>
      <c r="G31" s="116">
        <v>0</v>
      </c>
      <c r="H31" s="116">
        <v>0</v>
      </c>
      <c r="I31" s="116"/>
      <c r="J31" s="116">
        <v>0</v>
      </c>
      <c r="K31" s="116">
        <v>0</v>
      </c>
      <c r="L31" s="116">
        <v>0</v>
      </c>
      <c r="M31" s="117">
        <v>0</v>
      </c>
      <c r="O31" s="68">
        <v>260</v>
      </c>
      <c r="P31" s="69" t="s">
        <v>610</v>
      </c>
      <c r="Q31" s="116">
        <v>0</v>
      </c>
      <c r="R31" s="116"/>
      <c r="S31" s="116"/>
      <c r="T31" s="116">
        <v>0</v>
      </c>
      <c r="U31" s="116">
        <v>0</v>
      </c>
      <c r="V31" s="116"/>
      <c r="W31" s="116">
        <v>0</v>
      </c>
      <c r="X31" s="116">
        <v>0</v>
      </c>
      <c r="Y31" s="116">
        <v>0</v>
      </c>
      <c r="Z31" s="117">
        <v>0</v>
      </c>
    </row>
    <row r="32" spans="2:26" x14ac:dyDescent="0.25">
      <c r="B32" s="68">
        <v>270</v>
      </c>
      <c r="C32" s="69" t="s">
        <v>611</v>
      </c>
      <c r="D32" s="116">
        <v>0</v>
      </c>
      <c r="E32" s="116"/>
      <c r="F32" s="116"/>
      <c r="G32" s="116">
        <v>0</v>
      </c>
      <c r="H32" s="116">
        <v>0</v>
      </c>
      <c r="I32" s="116"/>
      <c r="J32" s="116">
        <v>0</v>
      </c>
      <c r="K32" s="116">
        <v>0</v>
      </c>
      <c r="L32" s="116">
        <v>0</v>
      </c>
      <c r="M32" s="117">
        <v>0</v>
      </c>
      <c r="O32" s="68">
        <v>270</v>
      </c>
      <c r="P32" s="69" t="s">
        <v>611</v>
      </c>
      <c r="Q32" s="116">
        <v>0</v>
      </c>
      <c r="R32" s="116"/>
      <c r="S32" s="116"/>
      <c r="T32" s="116">
        <v>0</v>
      </c>
      <c r="U32" s="116">
        <v>0</v>
      </c>
      <c r="V32" s="116"/>
      <c r="W32" s="116">
        <v>0</v>
      </c>
      <c r="X32" s="116">
        <v>0</v>
      </c>
      <c r="Y32" s="116">
        <v>0</v>
      </c>
      <c r="Z32" s="117">
        <v>0</v>
      </c>
    </row>
    <row r="33" spans="2:26" x14ac:dyDescent="0.25">
      <c r="B33" s="68">
        <v>280</v>
      </c>
      <c r="C33" s="69" t="s">
        <v>612</v>
      </c>
      <c r="D33" s="116">
        <v>0</v>
      </c>
      <c r="E33" s="116"/>
      <c r="F33" s="116"/>
      <c r="G33" s="116">
        <v>0</v>
      </c>
      <c r="H33" s="116">
        <v>0</v>
      </c>
      <c r="I33" s="116"/>
      <c r="J33" s="116">
        <v>0</v>
      </c>
      <c r="K33" s="116">
        <v>0</v>
      </c>
      <c r="L33" s="116">
        <v>0</v>
      </c>
      <c r="M33" s="117">
        <v>0</v>
      </c>
      <c r="O33" s="68">
        <v>280</v>
      </c>
      <c r="P33" s="69" t="s">
        <v>612</v>
      </c>
      <c r="Q33" s="116">
        <v>0</v>
      </c>
      <c r="R33" s="116"/>
      <c r="S33" s="116"/>
      <c r="T33" s="116">
        <v>0</v>
      </c>
      <c r="U33" s="116">
        <v>0</v>
      </c>
      <c r="V33" s="116"/>
      <c r="W33" s="116">
        <v>0</v>
      </c>
      <c r="X33" s="116">
        <v>0</v>
      </c>
      <c r="Y33" s="116">
        <v>0</v>
      </c>
      <c r="Z33" s="117">
        <v>0</v>
      </c>
    </row>
    <row r="34" spans="2:26" x14ac:dyDescent="0.25">
      <c r="B34" s="68">
        <v>400</v>
      </c>
      <c r="C34" s="69" t="s">
        <v>613</v>
      </c>
      <c r="D34" s="116">
        <v>361922261.49000001</v>
      </c>
      <c r="E34" s="116"/>
      <c r="F34" s="116"/>
      <c r="G34" s="116">
        <v>0</v>
      </c>
      <c r="H34" s="116">
        <v>361922261.49000001</v>
      </c>
      <c r="I34" s="116"/>
      <c r="J34" s="116">
        <v>0</v>
      </c>
      <c r="K34" s="116">
        <v>10188144.119999999</v>
      </c>
      <c r="L34" s="116">
        <v>361922261.49000001</v>
      </c>
      <c r="M34" s="117">
        <v>351734117.37</v>
      </c>
      <c r="O34" s="68">
        <v>400</v>
      </c>
      <c r="P34" s="69" t="s">
        <v>613</v>
      </c>
      <c r="Q34" s="116">
        <v>31388246.170000002</v>
      </c>
      <c r="R34" s="116"/>
      <c r="S34" s="116"/>
      <c r="T34" s="116">
        <v>0</v>
      </c>
      <c r="U34" s="116">
        <v>31388246.170000002</v>
      </c>
      <c r="V34" s="116"/>
      <c r="W34" s="116">
        <v>0</v>
      </c>
      <c r="X34" s="116">
        <v>-4642128.3600000003</v>
      </c>
      <c r="Y34" s="116">
        <v>31388246.170000002</v>
      </c>
      <c r="Z34" s="117">
        <v>36030374.530000001</v>
      </c>
    </row>
    <row r="35" spans="2:26" x14ac:dyDescent="0.25">
      <c r="B35" s="68">
        <v>410</v>
      </c>
      <c r="C35" s="69" t="s">
        <v>614</v>
      </c>
      <c r="D35" s="116">
        <v>0</v>
      </c>
      <c r="E35" s="116"/>
      <c r="F35" s="116"/>
      <c r="G35" s="116">
        <v>0</v>
      </c>
      <c r="H35" s="116">
        <v>0</v>
      </c>
      <c r="I35" s="116"/>
      <c r="J35" s="116">
        <v>0</v>
      </c>
      <c r="K35" s="116">
        <v>0</v>
      </c>
      <c r="L35" s="116">
        <v>0</v>
      </c>
      <c r="M35" s="117">
        <v>0</v>
      </c>
      <c r="O35" s="68">
        <v>410</v>
      </c>
      <c r="P35" s="69" t="s">
        <v>614</v>
      </c>
      <c r="Q35" s="116">
        <v>0</v>
      </c>
      <c r="R35" s="116"/>
      <c r="S35" s="116"/>
      <c r="T35" s="116">
        <v>0</v>
      </c>
      <c r="U35" s="116">
        <v>0</v>
      </c>
      <c r="V35" s="116"/>
      <c r="W35" s="116">
        <v>0</v>
      </c>
      <c r="X35" s="116">
        <v>0</v>
      </c>
      <c r="Y35" s="116">
        <v>0</v>
      </c>
      <c r="Z35" s="117">
        <v>0</v>
      </c>
    </row>
    <row r="36" spans="2:26" x14ac:dyDescent="0.25">
      <c r="B36" s="68">
        <v>420</v>
      </c>
      <c r="C36" s="69" t="s">
        <v>52</v>
      </c>
      <c r="D36" s="116">
        <v>0</v>
      </c>
      <c r="E36" s="116"/>
      <c r="F36" s="116"/>
      <c r="G36" s="116">
        <v>0</v>
      </c>
      <c r="H36" s="116">
        <v>0</v>
      </c>
      <c r="I36" s="116"/>
      <c r="J36" s="116">
        <v>0</v>
      </c>
      <c r="K36" s="116">
        <v>0</v>
      </c>
      <c r="L36" s="116">
        <v>0</v>
      </c>
      <c r="M36" s="117">
        <v>0</v>
      </c>
      <c r="O36" s="68">
        <v>420</v>
      </c>
      <c r="P36" s="69" t="s">
        <v>52</v>
      </c>
      <c r="Q36" s="116">
        <v>7238.41</v>
      </c>
      <c r="R36" s="116"/>
      <c r="S36" s="116"/>
      <c r="T36" s="116">
        <v>0</v>
      </c>
      <c r="U36" s="116">
        <v>7238.41</v>
      </c>
      <c r="V36" s="116"/>
      <c r="W36" s="116">
        <v>0</v>
      </c>
      <c r="X36" s="116">
        <v>-299999.99</v>
      </c>
      <c r="Y36" s="116">
        <v>7238.41</v>
      </c>
      <c r="Z36" s="117">
        <v>307238.40000000002</v>
      </c>
    </row>
    <row r="37" spans="2:26" x14ac:dyDescent="0.25">
      <c r="B37" s="68">
        <v>430</v>
      </c>
      <c r="C37" s="69" t="s">
        <v>615</v>
      </c>
      <c r="D37" s="116">
        <v>7185958.0599999996</v>
      </c>
      <c r="E37" s="116"/>
      <c r="F37" s="116"/>
      <c r="G37" s="116">
        <v>0</v>
      </c>
      <c r="H37" s="116">
        <v>7185958.0599999996</v>
      </c>
      <c r="I37" s="116"/>
      <c r="J37" s="116">
        <v>0</v>
      </c>
      <c r="K37" s="116">
        <v>-331538.76</v>
      </c>
      <c r="L37" s="116">
        <v>7185958.0599999996</v>
      </c>
      <c r="M37" s="117">
        <v>7517496.8200000003</v>
      </c>
      <c r="O37" s="68">
        <v>430</v>
      </c>
      <c r="P37" s="69" t="s">
        <v>615</v>
      </c>
      <c r="Q37" s="116">
        <v>2333681.34</v>
      </c>
      <c r="R37" s="116"/>
      <c r="S37" s="116"/>
      <c r="T37" s="116">
        <v>0</v>
      </c>
      <c r="U37" s="116">
        <v>2333681.34</v>
      </c>
      <c r="V37" s="116"/>
      <c r="W37" s="116">
        <v>0</v>
      </c>
      <c r="X37" s="116">
        <v>84353.68</v>
      </c>
      <c r="Y37" s="116">
        <v>2333681.34</v>
      </c>
      <c r="Z37" s="117">
        <v>2249327.66</v>
      </c>
    </row>
    <row r="38" spans="2:26" x14ac:dyDescent="0.25">
      <c r="B38" s="68">
        <v>440</v>
      </c>
      <c r="C38" s="69" t="s">
        <v>616</v>
      </c>
      <c r="D38" s="116">
        <v>0</v>
      </c>
      <c r="E38" s="116"/>
      <c r="F38" s="116"/>
      <c r="G38" s="116">
        <v>0</v>
      </c>
      <c r="H38" s="116">
        <v>0</v>
      </c>
      <c r="I38" s="116"/>
      <c r="J38" s="116">
        <v>0</v>
      </c>
      <c r="K38" s="116">
        <v>0</v>
      </c>
      <c r="L38" s="116">
        <v>0</v>
      </c>
      <c r="M38" s="117">
        <v>0</v>
      </c>
      <c r="O38" s="68">
        <v>440</v>
      </c>
      <c r="P38" s="69" t="s">
        <v>616</v>
      </c>
      <c r="Q38" s="116">
        <v>0</v>
      </c>
      <c r="R38" s="116"/>
      <c r="S38" s="116"/>
      <c r="T38" s="116">
        <v>0</v>
      </c>
      <c r="U38" s="116">
        <v>0</v>
      </c>
      <c r="V38" s="116"/>
      <c r="W38" s="116">
        <v>0</v>
      </c>
      <c r="X38" s="116">
        <v>0</v>
      </c>
      <c r="Y38" s="116">
        <v>0</v>
      </c>
      <c r="Z38" s="117">
        <v>0</v>
      </c>
    </row>
    <row r="39" spans="2:26" x14ac:dyDescent="0.25">
      <c r="B39" s="68">
        <v>450</v>
      </c>
      <c r="C39" s="69" t="s">
        <v>617</v>
      </c>
      <c r="D39" s="116">
        <v>2828820.01</v>
      </c>
      <c r="E39" s="116"/>
      <c r="F39" s="116"/>
      <c r="G39" s="116">
        <v>0</v>
      </c>
      <c r="H39" s="116">
        <v>2828820.01</v>
      </c>
      <c r="I39" s="116"/>
      <c r="J39" s="116">
        <v>0</v>
      </c>
      <c r="K39" s="116">
        <v>-57835.68</v>
      </c>
      <c r="L39" s="116">
        <v>2828820.01</v>
      </c>
      <c r="M39" s="117">
        <v>2886655.69</v>
      </c>
      <c r="O39" s="68">
        <v>450</v>
      </c>
      <c r="P39" s="69" t="s">
        <v>617</v>
      </c>
      <c r="Q39" s="116">
        <v>746650.35</v>
      </c>
      <c r="R39" s="116"/>
      <c r="S39" s="116"/>
      <c r="T39" s="116">
        <v>0</v>
      </c>
      <c r="U39" s="116">
        <v>746650.35</v>
      </c>
      <c r="V39" s="116"/>
      <c r="W39" s="116">
        <v>0</v>
      </c>
      <c r="X39" s="116">
        <v>-131235.21</v>
      </c>
      <c r="Y39" s="116">
        <v>746650.35</v>
      </c>
      <c r="Z39" s="117">
        <v>877885.56</v>
      </c>
    </row>
    <row r="40" spans="2:26" x14ac:dyDescent="0.25">
      <c r="B40" s="68">
        <v>460</v>
      </c>
      <c r="C40" s="69" t="s">
        <v>618</v>
      </c>
      <c r="D40" s="116">
        <v>0</v>
      </c>
      <c r="E40" s="116"/>
      <c r="F40" s="116"/>
      <c r="G40" s="116">
        <v>0</v>
      </c>
      <c r="H40" s="116">
        <v>0</v>
      </c>
      <c r="I40" s="116"/>
      <c r="J40" s="116">
        <v>0</v>
      </c>
      <c r="K40" s="116">
        <v>0</v>
      </c>
      <c r="L40" s="116">
        <v>0</v>
      </c>
      <c r="M40" s="117">
        <v>0</v>
      </c>
      <c r="O40" s="68">
        <v>460</v>
      </c>
      <c r="P40" s="69" t="s">
        <v>618</v>
      </c>
      <c r="Q40" s="116">
        <v>0</v>
      </c>
      <c r="R40" s="116"/>
      <c r="S40" s="116"/>
      <c r="T40" s="116">
        <v>0</v>
      </c>
      <c r="U40" s="116">
        <v>0</v>
      </c>
      <c r="V40" s="116"/>
      <c r="W40" s="116">
        <v>0</v>
      </c>
      <c r="X40" s="116">
        <v>0</v>
      </c>
      <c r="Y40" s="116">
        <v>0</v>
      </c>
      <c r="Z40" s="117">
        <v>0</v>
      </c>
    </row>
    <row r="41" spans="2:26" x14ac:dyDescent="0.25">
      <c r="B41" s="68">
        <v>500</v>
      </c>
      <c r="C41" s="69" t="s">
        <v>619</v>
      </c>
      <c r="D41" s="116">
        <v>10014778.07</v>
      </c>
      <c r="E41" s="116"/>
      <c r="F41" s="116"/>
      <c r="G41" s="116">
        <v>0</v>
      </c>
      <c r="H41" s="116">
        <v>10014778.07</v>
      </c>
      <c r="I41" s="116"/>
      <c r="J41" s="116">
        <v>0</v>
      </c>
      <c r="K41" s="116">
        <v>-389374.44</v>
      </c>
      <c r="L41" s="116">
        <v>10014778.07</v>
      </c>
      <c r="M41" s="117">
        <v>10404152.51</v>
      </c>
      <c r="O41" s="68">
        <v>500</v>
      </c>
      <c r="P41" s="69" t="s">
        <v>619</v>
      </c>
      <c r="Q41" s="116">
        <v>3087570.1</v>
      </c>
      <c r="R41" s="116"/>
      <c r="S41" s="116"/>
      <c r="T41" s="116">
        <v>0</v>
      </c>
      <c r="U41" s="116">
        <v>3087570.1</v>
      </c>
      <c r="V41" s="116"/>
      <c r="W41" s="116">
        <v>0</v>
      </c>
      <c r="X41" s="116">
        <v>-346881.52</v>
      </c>
      <c r="Y41" s="116">
        <v>3087570.1</v>
      </c>
      <c r="Z41" s="117">
        <v>3434451.62</v>
      </c>
    </row>
    <row r="42" spans="2:26" x14ac:dyDescent="0.25">
      <c r="B42" s="68">
        <v>510</v>
      </c>
      <c r="C42" s="69" t="s">
        <v>620</v>
      </c>
      <c r="D42" s="116">
        <v>0</v>
      </c>
      <c r="E42" s="116"/>
      <c r="F42" s="116"/>
      <c r="G42" s="116">
        <v>0</v>
      </c>
      <c r="H42" s="116">
        <v>0</v>
      </c>
      <c r="I42" s="116"/>
      <c r="J42" s="116">
        <v>0</v>
      </c>
      <c r="K42" s="116">
        <v>0</v>
      </c>
      <c r="L42" s="116">
        <v>0</v>
      </c>
      <c r="M42" s="117">
        <v>0</v>
      </c>
      <c r="O42" s="68">
        <v>510</v>
      </c>
      <c r="P42" s="69" t="s">
        <v>620</v>
      </c>
      <c r="Q42" s="116">
        <v>0</v>
      </c>
      <c r="R42" s="116"/>
      <c r="S42" s="116"/>
      <c r="T42" s="116">
        <v>0</v>
      </c>
      <c r="U42" s="116">
        <v>0</v>
      </c>
      <c r="V42" s="116"/>
      <c r="W42" s="116">
        <v>0</v>
      </c>
      <c r="X42" s="116">
        <v>0</v>
      </c>
      <c r="Y42" s="116">
        <v>0</v>
      </c>
      <c r="Z42" s="117">
        <v>0</v>
      </c>
    </row>
    <row r="43" spans="2:26" x14ac:dyDescent="0.25">
      <c r="B43" s="68">
        <v>520</v>
      </c>
      <c r="C43" s="69" t="s">
        <v>621</v>
      </c>
      <c r="D43" s="116">
        <v>0</v>
      </c>
      <c r="E43" s="116"/>
      <c r="F43" s="116"/>
      <c r="G43" s="116">
        <v>0</v>
      </c>
      <c r="H43" s="116">
        <v>0</v>
      </c>
      <c r="I43" s="116"/>
      <c r="J43" s="116">
        <v>0</v>
      </c>
      <c r="K43" s="116">
        <v>0</v>
      </c>
      <c r="L43" s="116">
        <v>0</v>
      </c>
      <c r="M43" s="117">
        <v>0</v>
      </c>
      <c r="O43" s="68">
        <v>520</v>
      </c>
      <c r="P43" s="69" t="s">
        <v>621</v>
      </c>
      <c r="Q43" s="116">
        <v>0</v>
      </c>
      <c r="R43" s="116"/>
      <c r="S43" s="116"/>
      <c r="T43" s="116">
        <v>0</v>
      </c>
      <c r="U43" s="116">
        <v>0</v>
      </c>
      <c r="V43" s="116"/>
      <c r="W43" s="116">
        <v>0</v>
      </c>
      <c r="X43" s="116">
        <v>0</v>
      </c>
      <c r="Y43" s="116">
        <v>0</v>
      </c>
      <c r="Z43" s="117">
        <v>0</v>
      </c>
    </row>
    <row r="44" spans="2:26" x14ac:dyDescent="0.25">
      <c r="B44" s="68">
        <v>530</v>
      </c>
      <c r="C44" s="69" t="s">
        <v>622</v>
      </c>
      <c r="D44" s="116">
        <v>0</v>
      </c>
      <c r="E44" s="116"/>
      <c r="F44" s="116"/>
      <c r="G44" s="116">
        <v>0</v>
      </c>
      <c r="H44" s="116">
        <v>0</v>
      </c>
      <c r="I44" s="116"/>
      <c r="J44" s="116">
        <v>0</v>
      </c>
      <c r="K44" s="116">
        <v>0</v>
      </c>
      <c r="L44" s="116">
        <v>0</v>
      </c>
      <c r="M44" s="117">
        <v>0</v>
      </c>
      <c r="O44" s="68">
        <v>530</v>
      </c>
      <c r="P44" s="69" t="s">
        <v>622</v>
      </c>
      <c r="Q44" s="116">
        <v>-0.02</v>
      </c>
      <c r="R44" s="116"/>
      <c r="S44" s="116"/>
      <c r="T44" s="116">
        <v>0</v>
      </c>
      <c r="U44" s="116">
        <v>-0.02</v>
      </c>
      <c r="V44" s="116"/>
      <c r="W44" s="116">
        <v>0</v>
      </c>
      <c r="X44" s="116">
        <v>-5406338.1100000003</v>
      </c>
      <c r="Y44" s="116">
        <v>-0.02</v>
      </c>
      <c r="Z44" s="117">
        <v>5406338.0899999999</v>
      </c>
    </row>
    <row r="45" spans="2:26" x14ac:dyDescent="0.25">
      <c r="B45" s="68">
        <v>540</v>
      </c>
      <c r="C45" s="69" t="s">
        <v>623</v>
      </c>
      <c r="D45" s="116">
        <v>0</v>
      </c>
      <c r="E45" s="116"/>
      <c r="F45" s="116"/>
      <c r="G45" s="116">
        <v>0</v>
      </c>
      <c r="H45" s="116">
        <v>0</v>
      </c>
      <c r="I45" s="116"/>
      <c r="J45" s="116">
        <v>0</v>
      </c>
      <c r="K45" s="116">
        <v>0</v>
      </c>
      <c r="L45" s="116">
        <v>0</v>
      </c>
      <c r="M45" s="117">
        <v>0</v>
      </c>
      <c r="O45" s="68">
        <v>540</v>
      </c>
      <c r="P45" s="69" t="s">
        <v>623</v>
      </c>
      <c r="Q45" s="116">
        <v>0</v>
      </c>
      <c r="R45" s="116"/>
      <c r="S45" s="116"/>
      <c r="T45" s="116">
        <v>0</v>
      </c>
      <c r="U45" s="116">
        <v>0</v>
      </c>
      <c r="V45" s="116"/>
      <c r="W45" s="116">
        <v>0</v>
      </c>
      <c r="X45" s="116">
        <v>0</v>
      </c>
      <c r="Y45" s="116">
        <v>0</v>
      </c>
      <c r="Z45" s="117">
        <v>0</v>
      </c>
    </row>
    <row r="46" spans="2:26" x14ac:dyDescent="0.25">
      <c r="B46" s="68">
        <v>600</v>
      </c>
      <c r="C46" s="69" t="s">
        <v>624</v>
      </c>
      <c r="D46" s="116">
        <v>0</v>
      </c>
      <c r="E46" s="116"/>
      <c r="F46" s="116"/>
      <c r="G46" s="116">
        <v>0</v>
      </c>
      <c r="H46" s="116">
        <v>0</v>
      </c>
      <c r="I46" s="116"/>
      <c r="J46" s="116">
        <v>0</v>
      </c>
      <c r="K46" s="116">
        <v>0</v>
      </c>
      <c r="L46" s="116">
        <v>0</v>
      </c>
      <c r="M46" s="117">
        <v>0</v>
      </c>
      <c r="O46" s="68">
        <v>600</v>
      </c>
      <c r="P46" s="69" t="s">
        <v>624</v>
      </c>
      <c r="Q46" s="116">
        <v>-0.02</v>
      </c>
      <c r="R46" s="116"/>
      <c r="S46" s="116"/>
      <c r="T46" s="116">
        <v>0</v>
      </c>
      <c r="U46" s="116">
        <v>-0.02</v>
      </c>
      <c r="V46" s="116"/>
      <c r="W46" s="116">
        <v>0</v>
      </c>
      <c r="X46" s="116">
        <v>-5406338.1100000003</v>
      </c>
      <c r="Y46" s="116">
        <v>-0.02</v>
      </c>
      <c r="Z46" s="117">
        <v>5406338.0899999999</v>
      </c>
    </row>
    <row r="47" spans="2:26" x14ac:dyDescent="0.25">
      <c r="B47" s="68">
        <v>610</v>
      </c>
      <c r="C47" s="69" t="s">
        <v>625</v>
      </c>
      <c r="D47" s="116">
        <v>0</v>
      </c>
      <c r="E47" s="116"/>
      <c r="F47" s="116"/>
      <c r="G47" s="116">
        <v>0</v>
      </c>
      <c r="H47" s="116">
        <v>0</v>
      </c>
      <c r="I47" s="116"/>
      <c r="J47" s="116">
        <v>0</v>
      </c>
      <c r="K47" s="116">
        <v>0</v>
      </c>
      <c r="L47" s="116">
        <v>0</v>
      </c>
      <c r="M47" s="117">
        <v>0</v>
      </c>
      <c r="O47" s="68">
        <v>610</v>
      </c>
      <c r="P47" s="69" t="s">
        <v>625</v>
      </c>
      <c r="Q47" s="116">
        <v>0</v>
      </c>
      <c r="R47" s="116"/>
      <c r="S47" s="116"/>
      <c r="T47" s="116">
        <v>0</v>
      </c>
      <c r="U47" s="116">
        <v>0</v>
      </c>
      <c r="V47" s="116"/>
      <c r="W47" s="116">
        <v>0</v>
      </c>
      <c r="X47" s="116">
        <v>0</v>
      </c>
      <c r="Y47" s="116">
        <v>0</v>
      </c>
      <c r="Z47" s="117">
        <v>0</v>
      </c>
    </row>
    <row r="48" spans="2:26" x14ac:dyDescent="0.25">
      <c r="B48" s="68">
        <v>620</v>
      </c>
      <c r="C48" s="69" t="s">
        <v>626</v>
      </c>
      <c r="D48" s="116">
        <v>57517399.270000003</v>
      </c>
      <c r="E48" s="116"/>
      <c r="F48" s="116"/>
      <c r="G48" s="116">
        <v>0</v>
      </c>
      <c r="H48" s="116">
        <v>57517399.270000003</v>
      </c>
      <c r="I48" s="116"/>
      <c r="J48" s="116">
        <v>0</v>
      </c>
      <c r="K48" s="116">
        <v>-919915.66</v>
      </c>
      <c r="L48" s="116">
        <v>57517399.270000003</v>
      </c>
      <c r="M48" s="117">
        <v>58437314.93</v>
      </c>
      <c r="O48" s="68">
        <v>620</v>
      </c>
      <c r="P48" s="69" t="s">
        <v>626</v>
      </c>
      <c r="Q48" s="116">
        <v>0</v>
      </c>
      <c r="R48" s="116"/>
      <c r="S48" s="116"/>
      <c r="T48" s="116">
        <v>0</v>
      </c>
      <c r="U48" s="116">
        <v>0</v>
      </c>
      <c r="V48" s="116"/>
      <c r="W48" s="116">
        <v>0</v>
      </c>
      <c r="X48" s="116">
        <v>0</v>
      </c>
      <c r="Y48" s="116">
        <v>0</v>
      </c>
      <c r="Z48" s="117">
        <v>0</v>
      </c>
    </row>
    <row r="49" spans="2:26" x14ac:dyDescent="0.25">
      <c r="B49" s="68">
        <v>700</v>
      </c>
      <c r="C49" s="69" t="s">
        <v>627</v>
      </c>
      <c r="D49" s="116">
        <v>57517399.270000003</v>
      </c>
      <c r="E49" s="116"/>
      <c r="F49" s="116"/>
      <c r="G49" s="116">
        <v>0</v>
      </c>
      <c r="H49" s="116">
        <v>57517399.270000003</v>
      </c>
      <c r="I49" s="116"/>
      <c r="J49" s="116">
        <v>0</v>
      </c>
      <c r="K49" s="116">
        <v>-919915.66</v>
      </c>
      <c r="L49" s="116">
        <v>57517399.270000003</v>
      </c>
      <c r="M49" s="117">
        <v>58437314.93</v>
      </c>
      <c r="O49" s="68">
        <v>700</v>
      </c>
      <c r="P49" s="69" t="s">
        <v>627</v>
      </c>
      <c r="Q49" s="116">
        <v>0</v>
      </c>
      <c r="R49" s="116"/>
      <c r="S49" s="116"/>
      <c r="T49" s="116">
        <v>0</v>
      </c>
      <c r="U49" s="116">
        <v>0</v>
      </c>
      <c r="V49" s="116"/>
      <c r="W49" s="116">
        <v>0</v>
      </c>
      <c r="X49" s="116">
        <v>0</v>
      </c>
      <c r="Y49" s="116">
        <v>0</v>
      </c>
      <c r="Z49" s="117">
        <v>0</v>
      </c>
    </row>
    <row r="50" spans="2:26" x14ac:dyDescent="0.25">
      <c r="B50" s="68">
        <v>710</v>
      </c>
      <c r="C50" s="69" t="s">
        <v>628</v>
      </c>
      <c r="D50" s="116">
        <v>0</v>
      </c>
      <c r="E50" s="116"/>
      <c r="F50" s="116"/>
      <c r="G50" s="116">
        <v>0</v>
      </c>
      <c r="H50" s="116">
        <v>0</v>
      </c>
      <c r="I50" s="116"/>
      <c r="J50" s="116">
        <v>0</v>
      </c>
      <c r="K50" s="116">
        <v>0</v>
      </c>
      <c r="L50" s="116">
        <v>0</v>
      </c>
      <c r="M50" s="117">
        <v>0</v>
      </c>
      <c r="O50" s="68">
        <v>710</v>
      </c>
      <c r="P50" s="69" t="s">
        <v>628</v>
      </c>
      <c r="Q50" s="116">
        <v>0</v>
      </c>
      <c r="R50" s="116"/>
      <c r="S50" s="116"/>
      <c r="T50" s="116">
        <v>0</v>
      </c>
      <c r="U50" s="116">
        <v>0</v>
      </c>
      <c r="V50" s="116"/>
      <c r="W50" s="116">
        <v>0</v>
      </c>
      <c r="X50" s="116">
        <v>0</v>
      </c>
      <c r="Y50" s="116">
        <v>0</v>
      </c>
      <c r="Z50" s="117">
        <v>0</v>
      </c>
    </row>
    <row r="51" spans="2:26" x14ac:dyDescent="0.25">
      <c r="B51" s="68">
        <v>720</v>
      </c>
      <c r="C51" s="69" t="s">
        <v>53</v>
      </c>
      <c r="D51" s="116">
        <v>44066631.25</v>
      </c>
      <c r="E51" s="116"/>
      <c r="F51" s="116"/>
      <c r="G51" s="116">
        <v>0</v>
      </c>
      <c r="H51" s="116">
        <v>44066631.25</v>
      </c>
      <c r="I51" s="116"/>
      <c r="J51" s="116">
        <v>0</v>
      </c>
      <c r="K51" s="116">
        <v>0</v>
      </c>
      <c r="L51" s="116">
        <v>44066631.25</v>
      </c>
      <c r="M51" s="117">
        <v>44066631.25</v>
      </c>
      <c r="O51" s="68">
        <v>720</v>
      </c>
      <c r="P51" s="69" t="s">
        <v>53</v>
      </c>
      <c r="Q51" s="116">
        <v>8311752.3300000001</v>
      </c>
      <c r="R51" s="116"/>
      <c r="S51" s="116"/>
      <c r="T51" s="116">
        <v>0</v>
      </c>
      <c r="U51" s="116">
        <v>8311752.3300000001</v>
      </c>
      <c r="V51" s="116"/>
      <c r="W51" s="116">
        <v>0</v>
      </c>
      <c r="X51" s="116">
        <v>0</v>
      </c>
      <c r="Y51" s="116">
        <v>8311752.3300000001</v>
      </c>
      <c r="Z51" s="117">
        <v>8311752.3300000001</v>
      </c>
    </row>
    <row r="52" spans="2:26" x14ac:dyDescent="0.25">
      <c r="B52" s="68">
        <v>730</v>
      </c>
      <c r="C52" s="69" t="s">
        <v>629</v>
      </c>
      <c r="D52" s="116">
        <v>1417746.79</v>
      </c>
      <c r="E52" s="116"/>
      <c r="F52" s="116"/>
      <c r="G52" s="116">
        <v>0</v>
      </c>
      <c r="H52" s="116">
        <v>1417746.79</v>
      </c>
      <c r="I52" s="116"/>
      <c r="J52" s="116">
        <v>0</v>
      </c>
      <c r="K52" s="116">
        <v>0</v>
      </c>
      <c r="L52" s="116">
        <v>1417746.79</v>
      </c>
      <c r="M52" s="117">
        <v>1417746.79</v>
      </c>
      <c r="O52" s="68">
        <v>730</v>
      </c>
      <c r="P52" s="69" t="s">
        <v>629</v>
      </c>
      <c r="Q52" s="116">
        <v>8748.9599999999991</v>
      </c>
      <c r="R52" s="116"/>
      <c r="S52" s="116"/>
      <c r="T52" s="116">
        <v>0</v>
      </c>
      <c r="U52" s="116">
        <v>8748.9599999999991</v>
      </c>
      <c r="V52" s="116"/>
      <c r="W52" s="116">
        <v>0</v>
      </c>
      <c r="X52" s="116">
        <v>0</v>
      </c>
      <c r="Y52" s="116">
        <v>8748.9599999999991</v>
      </c>
      <c r="Z52" s="117">
        <v>8748.9599999999991</v>
      </c>
    </row>
    <row r="53" spans="2:26" x14ac:dyDescent="0.25">
      <c r="B53" s="68">
        <v>740</v>
      </c>
      <c r="C53" s="69" t="s">
        <v>630</v>
      </c>
      <c r="D53" s="116">
        <v>237449364.03</v>
      </c>
      <c r="E53" s="116"/>
      <c r="F53" s="116"/>
      <c r="G53" s="116">
        <v>0</v>
      </c>
      <c r="H53" s="116">
        <v>237449364.03</v>
      </c>
      <c r="I53" s="116"/>
      <c r="J53" s="116">
        <v>0</v>
      </c>
      <c r="K53" s="116">
        <v>0</v>
      </c>
      <c r="L53" s="116">
        <v>237449364.03</v>
      </c>
      <c r="M53" s="117">
        <v>237449364.03</v>
      </c>
      <c r="O53" s="68">
        <v>740</v>
      </c>
      <c r="P53" s="69" t="s">
        <v>630</v>
      </c>
      <c r="Q53" s="116">
        <v>18869083.530000001</v>
      </c>
      <c r="R53" s="116"/>
      <c r="S53" s="116"/>
      <c r="T53" s="116">
        <v>0</v>
      </c>
      <c r="U53" s="116">
        <v>18869083.530000001</v>
      </c>
      <c r="V53" s="116"/>
      <c r="W53" s="116">
        <v>0</v>
      </c>
      <c r="X53" s="116">
        <v>0</v>
      </c>
      <c r="Y53" s="116">
        <v>18869083.530000001</v>
      </c>
      <c r="Z53" s="117">
        <v>18869083.530000001</v>
      </c>
    </row>
    <row r="54" spans="2:26" x14ac:dyDescent="0.25">
      <c r="B54" s="68">
        <v>750</v>
      </c>
      <c r="C54" s="69" t="s">
        <v>631</v>
      </c>
      <c r="D54" s="116">
        <v>11497434.220000001</v>
      </c>
      <c r="E54" s="116"/>
      <c r="F54" s="116"/>
      <c r="G54" s="116">
        <v>9899423</v>
      </c>
      <c r="H54" s="116">
        <v>1598011.22</v>
      </c>
      <c r="I54" s="116"/>
      <c r="J54" s="116">
        <v>0</v>
      </c>
      <c r="K54" s="116">
        <v>11497434.220000001</v>
      </c>
      <c r="L54" s="116">
        <v>11497434.220000001</v>
      </c>
      <c r="M54" s="117">
        <v>0</v>
      </c>
      <c r="O54" s="68">
        <v>750</v>
      </c>
      <c r="P54" s="69" t="s">
        <v>631</v>
      </c>
      <c r="Q54" s="116">
        <v>1111091.27</v>
      </c>
      <c r="R54" s="116"/>
      <c r="S54" s="116"/>
      <c r="T54" s="116">
        <v>2760718</v>
      </c>
      <c r="U54" s="116">
        <v>-1649626.73</v>
      </c>
      <c r="V54" s="116"/>
      <c r="W54" s="116">
        <v>0</v>
      </c>
      <c r="X54" s="116">
        <v>1111091.27</v>
      </c>
      <c r="Y54" s="116">
        <v>1111091.27</v>
      </c>
      <c r="Z54" s="117">
        <v>0</v>
      </c>
    </row>
    <row r="55" spans="2:26" x14ac:dyDescent="0.25">
      <c r="B55" s="68">
        <v>760</v>
      </c>
      <c r="C55" s="69" t="s">
        <v>632</v>
      </c>
      <c r="D55" s="116">
        <v>-41092.14</v>
      </c>
      <c r="E55" s="116"/>
      <c r="F55" s="116"/>
      <c r="G55" s="116">
        <v>0</v>
      </c>
      <c r="H55" s="116">
        <v>-41092.14</v>
      </c>
      <c r="I55" s="116"/>
      <c r="J55" s="116">
        <v>0</v>
      </c>
      <c r="K55" s="116">
        <v>0</v>
      </c>
      <c r="L55" s="116">
        <v>-41092.14</v>
      </c>
      <c r="M55" s="117">
        <v>-41092.14</v>
      </c>
      <c r="O55" s="68">
        <v>760</v>
      </c>
      <c r="P55" s="69" t="s">
        <v>632</v>
      </c>
      <c r="Q55" s="116">
        <v>0</v>
      </c>
      <c r="R55" s="116"/>
      <c r="S55" s="116"/>
      <c r="T55" s="116">
        <v>0</v>
      </c>
      <c r="U55" s="116">
        <v>0</v>
      </c>
      <c r="V55" s="116"/>
      <c r="W55" s="116">
        <v>0</v>
      </c>
      <c r="X55" s="116">
        <v>0</v>
      </c>
      <c r="Y55" s="116">
        <v>0</v>
      </c>
      <c r="Z55" s="117">
        <v>0</v>
      </c>
    </row>
    <row r="56" spans="2:26" x14ac:dyDescent="0.25">
      <c r="B56" s="68">
        <v>770</v>
      </c>
      <c r="C56" s="69" t="s">
        <v>633</v>
      </c>
      <c r="D56" s="116">
        <v>0</v>
      </c>
      <c r="E56" s="116"/>
      <c r="F56" s="116"/>
      <c r="G56" s="116">
        <v>0</v>
      </c>
      <c r="H56" s="116">
        <v>0</v>
      </c>
      <c r="I56" s="116"/>
      <c r="J56" s="116">
        <v>0</v>
      </c>
      <c r="K56" s="116">
        <v>0</v>
      </c>
      <c r="L56" s="116">
        <v>0</v>
      </c>
      <c r="M56" s="117">
        <v>0</v>
      </c>
      <c r="O56" s="68">
        <v>770</v>
      </c>
      <c r="P56" s="69" t="s">
        <v>633</v>
      </c>
      <c r="Q56" s="116">
        <v>0</v>
      </c>
      <c r="R56" s="116"/>
      <c r="S56" s="116"/>
      <c r="T56" s="116">
        <v>0</v>
      </c>
      <c r="U56" s="116">
        <v>0</v>
      </c>
      <c r="V56" s="116"/>
      <c r="W56" s="116">
        <v>0</v>
      </c>
      <c r="X56" s="116">
        <v>0</v>
      </c>
      <c r="Y56" s="116">
        <v>0</v>
      </c>
      <c r="Z56" s="117">
        <v>0</v>
      </c>
    </row>
    <row r="57" spans="2:26" x14ac:dyDescent="0.25">
      <c r="B57" s="68">
        <v>800</v>
      </c>
      <c r="C57" s="69" t="s">
        <v>634</v>
      </c>
      <c r="D57" s="116">
        <v>294390084.14999998</v>
      </c>
      <c r="E57" s="116"/>
      <c r="F57" s="116"/>
      <c r="G57" s="116">
        <v>9899423</v>
      </c>
      <c r="H57" s="116">
        <v>284490661.14999998</v>
      </c>
      <c r="I57" s="116"/>
      <c r="J57" s="116">
        <v>0</v>
      </c>
      <c r="K57" s="116">
        <v>11497434.220000001</v>
      </c>
      <c r="L57" s="116">
        <v>294390084.14999998</v>
      </c>
      <c r="M57" s="117">
        <v>282892649.93000001</v>
      </c>
      <c r="O57" s="68">
        <v>800</v>
      </c>
      <c r="P57" s="69" t="s">
        <v>634</v>
      </c>
      <c r="Q57" s="116">
        <v>28300676.09</v>
      </c>
      <c r="R57" s="116"/>
      <c r="S57" s="116"/>
      <c r="T57" s="116">
        <v>2760718</v>
      </c>
      <c r="U57" s="116">
        <v>25539958.09</v>
      </c>
      <c r="V57" s="116"/>
      <c r="W57" s="116">
        <v>0</v>
      </c>
      <c r="X57" s="116">
        <v>1111091.27</v>
      </c>
      <c r="Y57" s="116">
        <v>28300676.09</v>
      </c>
      <c r="Z57" s="117">
        <v>27189584.82</v>
      </c>
    </row>
    <row r="58" spans="2:26" x14ac:dyDescent="0.25">
      <c r="B58" s="68">
        <v>900</v>
      </c>
      <c r="C58" s="69" t="s">
        <v>635</v>
      </c>
      <c r="D58" s="116">
        <v>361922261.49000001</v>
      </c>
      <c r="E58" s="116"/>
      <c r="F58" s="116"/>
      <c r="G58" s="116">
        <v>9899423</v>
      </c>
      <c r="H58" s="116">
        <v>352022838.49000001</v>
      </c>
      <c r="I58" s="116"/>
      <c r="J58" s="116">
        <v>0</v>
      </c>
      <c r="K58" s="116">
        <v>10188144.119999999</v>
      </c>
      <c r="L58" s="116">
        <v>361922261.49000001</v>
      </c>
      <c r="M58" s="117">
        <v>351734117.37</v>
      </c>
      <c r="O58" s="68">
        <v>900</v>
      </c>
      <c r="P58" s="69" t="s">
        <v>635</v>
      </c>
      <c r="Q58" s="116">
        <v>31388246.170000002</v>
      </c>
      <c r="R58" s="116"/>
      <c r="S58" s="116"/>
      <c r="T58" s="116">
        <v>2760718</v>
      </c>
      <c r="U58" s="116">
        <v>28627528.170000002</v>
      </c>
      <c r="V58" s="116"/>
      <c r="W58" s="116">
        <v>0</v>
      </c>
      <c r="X58" s="116">
        <v>-4642128.3600000003</v>
      </c>
      <c r="Y58" s="116">
        <v>31388246.170000002</v>
      </c>
      <c r="Z58" s="117">
        <v>36030374.530000001</v>
      </c>
    </row>
    <row r="59" spans="2:26" x14ac:dyDescent="0.25">
      <c r="B59" s="72">
        <v>1000</v>
      </c>
      <c r="C59" s="73" t="s">
        <v>636</v>
      </c>
      <c r="D59" s="211">
        <v>0</v>
      </c>
      <c r="E59" s="211"/>
      <c r="F59" s="211"/>
      <c r="G59" s="211">
        <v>-9899423</v>
      </c>
      <c r="H59" s="211">
        <v>9899423</v>
      </c>
      <c r="I59" s="211"/>
      <c r="J59" s="211">
        <v>0</v>
      </c>
      <c r="K59" s="211">
        <v>0</v>
      </c>
      <c r="L59" s="211">
        <v>0</v>
      </c>
      <c r="M59" s="212">
        <v>0</v>
      </c>
      <c r="O59" s="72">
        <v>1000</v>
      </c>
      <c r="P59" s="73" t="s">
        <v>636</v>
      </c>
      <c r="Q59" s="211">
        <v>0</v>
      </c>
      <c r="R59" s="211"/>
      <c r="S59" s="211"/>
      <c r="T59" s="211">
        <v>-2760718</v>
      </c>
      <c r="U59" s="211">
        <v>2760718</v>
      </c>
      <c r="V59" s="211"/>
      <c r="W59" s="211">
        <v>0</v>
      </c>
      <c r="X59" s="211">
        <v>0</v>
      </c>
      <c r="Y59" s="211">
        <v>0</v>
      </c>
      <c r="Z59" s="212">
        <v>0</v>
      </c>
    </row>
    <row r="60" spans="2:26" x14ac:dyDescent="0.25">
      <c r="E60" s="64"/>
      <c r="F60" s="64"/>
      <c r="G60" s="64"/>
    </row>
    <row r="61" spans="2:26" x14ac:dyDescent="0.25">
      <c r="B61" s="182"/>
      <c r="E61" s="64"/>
      <c r="F61" s="64"/>
    </row>
    <row r="62" spans="2:26" x14ac:dyDescent="0.25">
      <c r="D62" s="64"/>
      <c r="E62" s="64"/>
      <c r="F62" s="64"/>
      <c r="G62" s="64"/>
    </row>
    <row r="66" spans="4:11" x14ac:dyDescent="0.25">
      <c r="D66" s="64"/>
      <c r="E66" s="64"/>
      <c r="F66" s="65"/>
      <c r="G66" s="64"/>
      <c r="H66" s="64"/>
      <c r="J66" s="64"/>
      <c r="K66" s="64"/>
    </row>
    <row r="68" spans="4:11" x14ac:dyDescent="0.25">
      <c r="D68" s="64"/>
      <c r="H68" s="64"/>
      <c r="J68" s="64"/>
      <c r="K68" s="64"/>
    </row>
    <row r="69" spans="4:11" x14ac:dyDescent="0.25">
      <c r="D69" s="65"/>
      <c r="E69" s="64"/>
      <c r="F69" s="64"/>
      <c r="G69" s="64"/>
      <c r="H69" s="65"/>
      <c r="J69" s="65"/>
      <c r="K69" s="65"/>
    </row>
    <row r="70" spans="4:11" x14ac:dyDescent="0.25">
      <c r="D70" s="64"/>
      <c r="E70" s="64"/>
      <c r="F70" s="64"/>
      <c r="G70" s="64"/>
      <c r="H70" s="64"/>
      <c r="J70" s="64"/>
      <c r="K70" s="64"/>
    </row>
    <row r="73" spans="4:11" x14ac:dyDescent="0.25">
      <c r="D73" s="64"/>
      <c r="H73" s="64"/>
      <c r="J73" s="64"/>
      <c r="K73" s="64"/>
    </row>
    <row r="79" spans="4:11" x14ac:dyDescent="0.25">
      <c r="D79" s="64"/>
      <c r="H79" s="64"/>
      <c r="J79" s="64"/>
      <c r="K79" s="64"/>
    </row>
    <row r="80" spans="4:11" x14ac:dyDescent="0.25">
      <c r="D80" s="64"/>
      <c r="H80" s="64"/>
      <c r="J80" s="64"/>
      <c r="K80" s="64"/>
    </row>
    <row r="82" spans="4:11" x14ac:dyDescent="0.25">
      <c r="D82" s="64"/>
      <c r="H82" s="64"/>
      <c r="J82" s="64"/>
      <c r="K82" s="64"/>
    </row>
    <row r="83" spans="4:11" x14ac:dyDescent="0.25">
      <c r="D83" s="64"/>
      <c r="H83" s="64"/>
      <c r="J83" s="64"/>
      <c r="K83" s="64"/>
    </row>
    <row r="85" spans="4:11" x14ac:dyDescent="0.25">
      <c r="D85" s="64"/>
      <c r="H85" s="64"/>
      <c r="J85" s="64"/>
      <c r="K85" s="64"/>
    </row>
    <row r="86" spans="4:11" x14ac:dyDescent="0.25">
      <c r="D86" s="64"/>
      <c r="H86" s="64"/>
      <c r="J86" s="64"/>
      <c r="K86" s="64"/>
    </row>
    <row r="88" spans="4:11" x14ac:dyDescent="0.25">
      <c r="D88" s="64"/>
      <c r="H88" s="64"/>
      <c r="J88" s="64"/>
      <c r="K88" s="64"/>
    </row>
    <row r="92" spans="4:11" x14ac:dyDescent="0.25">
      <c r="D92" s="64"/>
      <c r="H92" s="64"/>
      <c r="J92" s="64"/>
      <c r="K92" s="64"/>
    </row>
    <row r="95" spans="4:11" x14ac:dyDescent="0.25">
      <c r="D95" s="64"/>
      <c r="H95" s="64"/>
      <c r="J95" s="64"/>
      <c r="K95" s="64"/>
    </row>
    <row r="97" spans="4:11" x14ac:dyDescent="0.25">
      <c r="D97" s="64"/>
      <c r="H97" s="64"/>
      <c r="J97" s="64"/>
      <c r="K97" s="64"/>
    </row>
    <row r="99" spans="4:11" x14ac:dyDescent="0.25">
      <c r="D99" s="64"/>
      <c r="H99" s="64"/>
      <c r="J99" s="64"/>
      <c r="K99" s="64"/>
    </row>
    <row r="102" spans="4:11" x14ac:dyDescent="0.25">
      <c r="D102" s="64"/>
      <c r="H102" s="64"/>
      <c r="J102" s="64"/>
      <c r="K102" s="64"/>
    </row>
    <row r="104" spans="4:11" x14ac:dyDescent="0.25">
      <c r="D104" s="64"/>
      <c r="H104" s="64"/>
      <c r="J104" s="64"/>
      <c r="K104" s="64"/>
    </row>
    <row r="106" spans="4:11" x14ac:dyDescent="0.25">
      <c r="D106" s="64"/>
      <c r="H106" s="64"/>
      <c r="J106" s="64"/>
      <c r="K106" s="64"/>
    </row>
    <row r="107" spans="4:11" x14ac:dyDescent="0.25">
      <c r="D107" s="64"/>
      <c r="H107" s="64"/>
      <c r="J107" s="64"/>
      <c r="K107" s="64"/>
    </row>
    <row r="109" spans="4:11" x14ac:dyDescent="0.25">
      <c r="D109" s="64"/>
      <c r="H109" s="64"/>
      <c r="J109" s="64"/>
      <c r="K109" s="64"/>
    </row>
    <row r="110" spans="4:11" x14ac:dyDescent="0.25">
      <c r="D110" s="64"/>
      <c r="H110" s="64"/>
      <c r="J110" s="64"/>
      <c r="K110" s="64"/>
    </row>
    <row r="111" spans="4:11" x14ac:dyDescent="0.25">
      <c r="D111" s="64"/>
      <c r="H111" s="64"/>
      <c r="J111" s="64"/>
      <c r="K111" s="64"/>
    </row>
    <row r="113" spans="4:12" x14ac:dyDescent="0.25">
      <c r="D113" s="64"/>
      <c r="H113" s="64"/>
      <c r="J113" s="64"/>
      <c r="K113" s="64"/>
    </row>
    <row r="114" spans="4:12" x14ac:dyDescent="0.25">
      <c r="D114" s="64"/>
      <c r="H114" s="64"/>
      <c r="J114" s="64"/>
      <c r="K114" s="64"/>
    </row>
    <row r="115" spans="4:12" x14ac:dyDescent="0.25">
      <c r="D115" s="64"/>
      <c r="H115" s="64"/>
      <c r="J115" s="64"/>
      <c r="K115" s="64"/>
    </row>
    <row r="116" spans="4:12" x14ac:dyDescent="0.25">
      <c r="D116" s="64"/>
      <c r="H116" s="64"/>
      <c r="J116" s="64"/>
      <c r="K116" s="64"/>
    </row>
    <row r="125" spans="4:12" x14ac:dyDescent="0.25">
      <c r="D125" s="64"/>
      <c r="H125" s="64"/>
      <c r="J125" s="64"/>
      <c r="K125" s="64"/>
      <c r="L125" s="64"/>
    </row>
    <row r="127" spans="4:12" x14ac:dyDescent="0.25">
      <c r="D127" s="64"/>
      <c r="H127" s="64"/>
      <c r="J127" s="64"/>
      <c r="K127" s="64"/>
      <c r="L127" s="64"/>
    </row>
    <row r="128" spans="4:12" x14ac:dyDescent="0.25">
      <c r="D128" s="65"/>
      <c r="H128" s="65"/>
      <c r="K128" s="65"/>
      <c r="L128" s="65"/>
    </row>
    <row r="129" spans="4:12" x14ac:dyDescent="0.25">
      <c r="D129" s="64"/>
      <c r="H129" s="64"/>
      <c r="J129" s="64"/>
      <c r="K129" s="64"/>
      <c r="L129" s="64"/>
    </row>
    <row r="130" spans="4:12" x14ac:dyDescent="0.25">
      <c r="D130" s="64"/>
      <c r="H130" s="64"/>
      <c r="J130" s="65"/>
      <c r="K130" s="64"/>
      <c r="L130" s="64"/>
    </row>
    <row r="131" spans="4:12" x14ac:dyDescent="0.25">
      <c r="D131" s="64"/>
      <c r="H131" s="64"/>
      <c r="J131" s="64"/>
      <c r="K131" s="64"/>
      <c r="L131" s="64"/>
    </row>
    <row r="132" spans="4:12" x14ac:dyDescent="0.25">
      <c r="D132" s="64"/>
      <c r="H132" s="64"/>
      <c r="J132" s="64"/>
      <c r="K132" s="64"/>
      <c r="L132" s="64"/>
    </row>
    <row r="138" spans="4:12" x14ac:dyDescent="0.25">
      <c r="D138" s="64"/>
      <c r="H138" s="64"/>
      <c r="K138" s="64"/>
      <c r="L138" s="64"/>
    </row>
    <row r="139" spans="4:12" x14ac:dyDescent="0.25">
      <c r="D139" s="64"/>
      <c r="H139" s="64"/>
      <c r="K139" s="64"/>
      <c r="L139" s="64"/>
    </row>
    <row r="141" spans="4:12" x14ac:dyDescent="0.25">
      <c r="D141" s="64"/>
      <c r="H141" s="64"/>
      <c r="J141" s="64"/>
      <c r="K141" s="64"/>
      <c r="L141" s="64"/>
    </row>
    <row r="142" spans="4:12" x14ac:dyDescent="0.25">
      <c r="D142" s="64"/>
      <c r="H142" s="64"/>
      <c r="J142" s="64"/>
      <c r="K142" s="64"/>
      <c r="L142" s="64"/>
    </row>
    <row r="144" spans="4:12" x14ac:dyDescent="0.25">
      <c r="D144" s="64"/>
      <c r="H144" s="64"/>
      <c r="K144" s="64"/>
      <c r="L144" s="64"/>
    </row>
    <row r="145" spans="4:12" x14ac:dyDescent="0.25">
      <c r="D145" s="64"/>
      <c r="H145" s="64"/>
      <c r="J145" s="64"/>
      <c r="K145" s="64"/>
      <c r="L145" s="64"/>
    </row>
    <row r="147" spans="4:12" x14ac:dyDescent="0.25">
      <c r="D147" s="64"/>
      <c r="H147" s="64"/>
      <c r="J147" s="64"/>
      <c r="K147" s="64"/>
      <c r="L147" s="64"/>
    </row>
    <row r="151" spans="4:12" x14ac:dyDescent="0.25">
      <c r="D151" s="64"/>
      <c r="H151" s="64"/>
      <c r="J151" s="64"/>
      <c r="K151" s="64"/>
      <c r="L151" s="64"/>
    </row>
    <row r="154" spans="4:12" x14ac:dyDescent="0.25">
      <c r="D154" s="64"/>
      <c r="H154" s="64"/>
      <c r="K154" s="64"/>
      <c r="L154" s="64"/>
    </row>
    <row r="156" spans="4:12" x14ac:dyDescent="0.25">
      <c r="D156" s="64"/>
      <c r="H156" s="64"/>
      <c r="J156" s="65"/>
      <c r="K156" s="64"/>
      <c r="L156" s="64"/>
    </row>
    <row r="158" spans="4:12" x14ac:dyDescent="0.25">
      <c r="D158" s="64"/>
      <c r="H158" s="64"/>
      <c r="J158" s="65"/>
      <c r="K158" s="64"/>
      <c r="L158" s="64"/>
    </row>
    <row r="161" spans="4:12" x14ac:dyDescent="0.25">
      <c r="D161" s="64"/>
      <c r="H161" s="64"/>
      <c r="K161" s="64"/>
      <c r="L161" s="64"/>
    </row>
    <row r="163" spans="4:12" x14ac:dyDescent="0.25">
      <c r="D163" s="64"/>
      <c r="H163" s="64"/>
      <c r="K163" s="64"/>
      <c r="L163" s="64"/>
    </row>
    <row r="165" spans="4:12" x14ac:dyDescent="0.25">
      <c r="D165" s="64"/>
      <c r="H165" s="64"/>
      <c r="J165" s="64"/>
      <c r="K165" s="64"/>
      <c r="L165" s="64"/>
    </row>
    <row r="166" spans="4:12" x14ac:dyDescent="0.25">
      <c r="D166" s="64"/>
      <c r="H166" s="64"/>
      <c r="J166" s="64"/>
      <c r="K166" s="64"/>
      <c r="L166" s="64"/>
    </row>
    <row r="168" spans="4:12" x14ac:dyDescent="0.25">
      <c r="D168" s="64"/>
      <c r="H168" s="64"/>
      <c r="K168" s="64"/>
      <c r="L168" s="64"/>
    </row>
    <row r="169" spans="4:12" x14ac:dyDescent="0.25">
      <c r="D169" s="64"/>
      <c r="H169" s="64"/>
      <c r="K169" s="64"/>
      <c r="L169" s="64"/>
    </row>
    <row r="170" spans="4:12" x14ac:dyDescent="0.25">
      <c r="D170" s="64"/>
      <c r="H170" s="64"/>
      <c r="K170" s="64"/>
      <c r="L170" s="64"/>
    </row>
    <row r="171" spans="4:12" x14ac:dyDescent="0.25">
      <c r="D171" s="64"/>
      <c r="H171" s="64"/>
      <c r="J171" s="64"/>
      <c r="K171" s="64"/>
      <c r="L171" s="64"/>
    </row>
    <row r="172" spans="4:12" x14ac:dyDescent="0.25">
      <c r="D172" s="64"/>
      <c r="H172" s="64"/>
      <c r="J172" s="65"/>
      <c r="K172" s="64"/>
      <c r="L172" s="64"/>
    </row>
    <row r="173" spans="4:12" x14ac:dyDescent="0.25">
      <c r="D173" s="64"/>
      <c r="H173" s="64"/>
      <c r="K173" s="64"/>
      <c r="L173" s="64"/>
    </row>
    <row r="174" spans="4:12" x14ac:dyDescent="0.25">
      <c r="D174" s="64"/>
      <c r="H174" s="64"/>
      <c r="J174" s="64"/>
      <c r="K174" s="64"/>
      <c r="L174" s="64"/>
    </row>
    <row r="175" spans="4:12" x14ac:dyDescent="0.25">
      <c r="D175" s="64"/>
      <c r="H175" s="64"/>
      <c r="J175" s="64"/>
      <c r="K175" s="64"/>
      <c r="L175" s="64"/>
    </row>
  </sheetData>
  <phoneticPr fontId="0" type="noConversion"/>
  <pageMargins left="0.74803149606299213" right="0.74803149606299213" top="0.76" bottom="0.42" header="0.51181102362204722" footer="0.31"/>
  <pageSetup scale="71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pto_Proy">
    <tabColor rgb="FF0070C0"/>
  </sheetPr>
  <dimension ref="B9:AA95"/>
  <sheetViews>
    <sheetView showGridLines="0" zoomScale="19" zoomScaleNormal="69" workbookViewId="0">
      <selection activeCell="B75" sqref="B75:AA95"/>
    </sheetView>
  </sheetViews>
  <sheetFormatPr baseColWidth="10" defaultRowHeight="12.5" x14ac:dyDescent="0.25"/>
  <cols>
    <col min="3" max="3" width="31.81640625" bestFit="1" customWidth="1"/>
    <col min="4" max="4" width="10.81640625" style="197"/>
    <col min="5" max="5" width="7.1796875" style="199" bestFit="1" customWidth="1"/>
    <col min="6" max="6" width="10.81640625" style="197"/>
    <col min="7" max="7" width="7.1796875" style="199" bestFit="1" customWidth="1"/>
    <col min="8" max="8" width="10.81640625" style="197"/>
    <col min="9" max="9" width="7.1796875" style="199" bestFit="1" customWidth="1"/>
    <col min="10" max="10" width="10.81640625" style="197"/>
    <col min="11" max="11" width="7.1796875" style="199" bestFit="1" customWidth="1"/>
    <col min="12" max="12" width="10.81640625" style="197"/>
    <col min="13" max="13" width="7.1796875" style="199" bestFit="1" customWidth="1"/>
    <col min="14" max="14" width="10.81640625" style="197"/>
    <col min="15" max="15" width="7.1796875" style="199" bestFit="1" customWidth="1"/>
    <col min="16" max="16" width="10.81640625" style="197"/>
    <col min="17" max="17" width="7.1796875" style="199" bestFit="1" customWidth="1"/>
    <col min="18" max="18" width="10.81640625" style="197"/>
    <col min="19" max="19" width="7" style="199" bestFit="1" customWidth="1"/>
    <col min="20" max="20" width="10.81640625" style="197"/>
    <col min="21" max="21" width="7" style="199" bestFit="1" customWidth="1"/>
    <col min="22" max="22" width="10.81640625" style="197"/>
    <col min="23" max="23" width="7" style="199" bestFit="1" customWidth="1"/>
    <col min="24" max="24" width="10.81640625" style="197"/>
    <col min="25" max="25" width="7" style="199" bestFit="1" customWidth="1"/>
    <col min="26" max="26" width="10.81640625" style="197"/>
    <col min="27" max="27" width="7" style="199" bestFit="1" customWidth="1"/>
  </cols>
  <sheetData>
    <row r="9" spans="2:27" ht="13" x14ac:dyDescent="0.3">
      <c r="B9" s="151" t="s">
        <v>249</v>
      </c>
      <c r="D9" s="198">
        <v>601</v>
      </c>
    </row>
    <row r="10" spans="2:27" ht="13" x14ac:dyDescent="0.3">
      <c r="B10" s="202" t="s">
        <v>0</v>
      </c>
      <c r="C10" s="203" t="s">
        <v>1</v>
      </c>
      <c r="D10" s="216" t="s">
        <v>171</v>
      </c>
      <c r="E10" s="217" t="s">
        <v>33</v>
      </c>
      <c r="F10" s="216" t="s">
        <v>172</v>
      </c>
      <c r="G10" s="217" t="s">
        <v>33</v>
      </c>
      <c r="H10" s="216" t="s">
        <v>173</v>
      </c>
      <c r="I10" s="217" t="s">
        <v>33</v>
      </c>
      <c r="J10" s="216" t="s">
        <v>174</v>
      </c>
      <c r="K10" s="217" t="s">
        <v>33</v>
      </c>
      <c r="L10" s="216" t="s">
        <v>175</v>
      </c>
      <c r="M10" s="217" t="s">
        <v>33</v>
      </c>
      <c r="N10" s="216" t="s">
        <v>176</v>
      </c>
      <c r="O10" s="217" t="s">
        <v>33</v>
      </c>
      <c r="P10" s="216" t="s">
        <v>177</v>
      </c>
      <c r="Q10" s="217" t="s">
        <v>33</v>
      </c>
      <c r="R10" s="216" t="s">
        <v>178</v>
      </c>
      <c r="S10" s="217" t="s">
        <v>33</v>
      </c>
      <c r="T10" s="216" t="s">
        <v>179</v>
      </c>
      <c r="U10" s="217" t="s">
        <v>33</v>
      </c>
      <c r="V10" s="216" t="s">
        <v>180</v>
      </c>
      <c r="W10" s="217" t="s">
        <v>33</v>
      </c>
      <c r="X10" s="216" t="s">
        <v>181</v>
      </c>
      <c r="Y10" s="217" t="s">
        <v>33</v>
      </c>
      <c r="Z10" s="216" t="s">
        <v>182</v>
      </c>
      <c r="AA10" s="218" t="s">
        <v>33</v>
      </c>
    </row>
    <row r="11" spans="2:27" x14ac:dyDescent="0.25">
      <c r="B11" s="191" t="s">
        <v>251</v>
      </c>
      <c r="C11" s="192" t="s">
        <v>251</v>
      </c>
      <c r="D11" s="219"/>
      <c r="E11" s="220"/>
      <c r="F11" s="219"/>
      <c r="G11" s="220"/>
      <c r="H11" s="219"/>
      <c r="I11" s="220"/>
      <c r="J11" s="219"/>
      <c r="K11" s="220"/>
      <c r="L11" s="219"/>
      <c r="M11" s="220"/>
      <c r="N11" s="219"/>
      <c r="O11" s="220"/>
      <c r="P11" s="219"/>
      <c r="Q11" s="220"/>
      <c r="R11" s="219"/>
      <c r="S11" s="220"/>
      <c r="T11" s="219"/>
      <c r="U11" s="220"/>
      <c r="V11" s="219"/>
      <c r="W11" s="220"/>
      <c r="X11" s="219"/>
      <c r="Y11" s="220"/>
      <c r="Z11" s="219"/>
      <c r="AA11" s="221"/>
    </row>
    <row r="12" spans="2:27" x14ac:dyDescent="0.25">
      <c r="B12" s="213"/>
      <c r="C12" s="214"/>
      <c r="D12" s="222"/>
      <c r="E12" s="223"/>
      <c r="F12" s="222"/>
      <c r="G12" s="223"/>
      <c r="H12" s="222"/>
      <c r="I12" s="223"/>
      <c r="J12" s="222"/>
      <c r="K12" s="223"/>
      <c r="L12" s="222"/>
      <c r="M12" s="223"/>
      <c r="N12" s="222"/>
      <c r="O12" s="223"/>
      <c r="P12" s="222"/>
      <c r="Q12" s="223"/>
      <c r="R12" s="222"/>
      <c r="S12" s="223"/>
      <c r="T12" s="222"/>
      <c r="U12" s="223"/>
      <c r="V12" s="222"/>
      <c r="W12" s="223"/>
      <c r="X12" s="222"/>
      <c r="Y12" s="223"/>
      <c r="Z12" s="222"/>
      <c r="AA12" s="224"/>
    </row>
    <row r="13" spans="2:27" x14ac:dyDescent="0.25">
      <c r="B13" s="66">
        <v>30</v>
      </c>
      <c r="C13" s="67" t="s">
        <v>16</v>
      </c>
      <c r="D13" s="231">
        <f>+D43+D75</f>
        <v>4148654</v>
      </c>
      <c r="E13" s="324">
        <f>+D13/D$13</f>
        <v>1</v>
      </c>
      <c r="F13" s="231">
        <f>+F43+F75</f>
        <v>4570252</v>
      </c>
      <c r="G13" s="324">
        <f>+F13/F$13</f>
        <v>1</v>
      </c>
      <c r="H13" s="231">
        <f>+H43+H75</f>
        <v>3954029</v>
      </c>
      <c r="I13" s="324">
        <f>+H13/H$13</f>
        <v>1</v>
      </c>
      <c r="J13" s="231">
        <f>+J43+J75</f>
        <v>6160031</v>
      </c>
      <c r="K13" s="324">
        <f>+J13/J$13</f>
        <v>1</v>
      </c>
      <c r="L13" s="231">
        <f>+L43+L75</f>
        <v>5488030</v>
      </c>
      <c r="M13" s="324">
        <f>+L13/L$13</f>
        <v>1</v>
      </c>
      <c r="N13" s="231">
        <f>+N43+N75</f>
        <v>3995262</v>
      </c>
      <c r="O13" s="324">
        <f>+N13/N$13</f>
        <v>1</v>
      </c>
      <c r="P13" s="231">
        <f>+P43+P75</f>
        <v>1975424</v>
      </c>
      <c r="Q13" s="324">
        <f>+P13/P$13</f>
        <v>1</v>
      </c>
      <c r="R13" s="231">
        <f>+R43+R75</f>
        <v>4542247</v>
      </c>
      <c r="S13" s="324">
        <f>+R13/R$13</f>
        <v>1</v>
      </c>
      <c r="T13" s="231">
        <f>+T43+T75</f>
        <v>3066142</v>
      </c>
      <c r="U13" s="324">
        <f>+T13/T$13</f>
        <v>1</v>
      </c>
      <c r="V13" s="231">
        <f>+V43+V75</f>
        <v>1781894</v>
      </c>
      <c r="W13" s="324">
        <f>+V13/V$13</f>
        <v>1</v>
      </c>
      <c r="X13" s="231">
        <f>+X43+X75</f>
        <v>2999318</v>
      </c>
      <c r="Y13" s="324">
        <f>+X13/X$13</f>
        <v>1</v>
      </c>
      <c r="Z13" s="231">
        <f>+Z43+Z75</f>
        <v>2724482</v>
      </c>
      <c r="AA13" s="327">
        <f>+Z13/Z$13</f>
        <v>1</v>
      </c>
    </row>
    <row r="14" spans="2:27" x14ac:dyDescent="0.25">
      <c r="B14" s="68">
        <v>40</v>
      </c>
      <c r="C14" s="69" t="s">
        <v>252</v>
      </c>
      <c r="D14" s="225">
        <f t="shared" ref="D14:F33" si="0">+D44+D76</f>
        <v>0</v>
      </c>
      <c r="E14" s="325">
        <f t="shared" ref="E14:G33" si="1">+D14/D$13</f>
        <v>0</v>
      </c>
      <c r="F14" s="225">
        <f t="shared" si="0"/>
        <v>0</v>
      </c>
      <c r="G14" s="325">
        <f t="shared" si="1"/>
        <v>0</v>
      </c>
      <c r="H14" s="225">
        <f t="shared" ref="H14" si="2">+H44+H76</f>
        <v>0</v>
      </c>
      <c r="I14" s="325">
        <f t="shared" ref="I14" si="3">+H14/H$13</f>
        <v>0</v>
      </c>
      <c r="J14" s="225">
        <f t="shared" ref="J14" si="4">+J44+J76</f>
        <v>0</v>
      </c>
      <c r="K14" s="325">
        <f t="shared" ref="K14" si="5">+J14/J$13</f>
        <v>0</v>
      </c>
      <c r="L14" s="225">
        <f t="shared" ref="L14" si="6">+L44+L76</f>
        <v>0</v>
      </c>
      <c r="M14" s="325">
        <f t="shared" ref="M14" si="7">+L14/L$13</f>
        <v>0</v>
      </c>
      <c r="N14" s="225">
        <f t="shared" ref="N14" si="8">+N44+N76</f>
        <v>0</v>
      </c>
      <c r="O14" s="325">
        <f t="shared" ref="O14" si="9">+N14/N$13</f>
        <v>0</v>
      </c>
      <c r="P14" s="225">
        <f t="shared" ref="P14" si="10">+P44+P76</f>
        <v>0</v>
      </c>
      <c r="Q14" s="325">
        <f t="shared" ref="Q14" si="11">+P14/P$13</f>
        <v>0</v>
      </c>
      <c r="R14" s="225">
        <f t="shared" ref="R14" si="12">+R44+R76</f>
        <v>0</v>
      </c>
      <c r="S14" s="325">
        <f t="shared" ref="S14" si="13">+R14/R$13</f>
        <v>0</v>
      </c>
      <c r="T14" s="225">
        <f t="shared" ref="T14" si="14">+T44+T76</f>
        <v>0</v>
      </c>
      <c r="U14" s="325">
        <f t="shared" ref="U14" si="15">+T14/T$13</f>
        <v>0</v>
      </c>
      <c r="V14" s="225">
        <f t="shared" ref="V14" si="16">+V44+V76</f>
        <v>0</v>
      </c>
      <c r="W14" s="325">
        <f t="shared" ref="W14" si="17">+V14/V$13</f>
        <v>0</v>
      </c>
      <c r="X14" s="225">
        <f t="shared" ref="X14" si="18">+X44+X76</f>
        <v>0</v>
      </c>
      <c r="Y14" s="325">
        <f t="shared" ref="Y14" si="19">+X14/X$13</f>
        <v>0</v>
      </c>
      <c r="Z14" s="225">
        <f t="shared" ref="Z14" si="20">+Z44+Z76</f>
        <v>0</v>
      </c>
      <c r="AA14" s="328">
        <f t="shared" ref="AA14" si="21">+Z14/Z$13</f>
        <v>0</v>
      </c>
    </row>
    <row r="15" spans="2:27" x14ac:dyDescent="0.25">
      <c r="B15" s="68">
        <v>50</v>
      </c>
      <c r="C15" s="69" t="s">
        <v>17</v>
      </c>
      <c r="D15" s="225">
        <f t="shared" si="0"/>
        <v>4148654</v>
      </c>
      <c r="E15" s="325">
        <f t="shared" si="1"/>
        <v>1</v>
      </c>
      <c r="F15" s="225">
        <f t="shared" si="0"/>
        <v>4570252</v>
      </c>
      <c r="G15" s="325">
        <f t="shared" si="1"/>
        <v>1</v>
      </c>
      <c r="H15" s="225">
        <f t="shared" ref="H15" si="22">+H45+H77</f>
        <v>3954029</v>
      </c>
      <c r="I15" s="325">
        <f t="shared" ref="I15" si="23">+H15/H$13</f>
        <v>1</v>
      </c>
      <c r="J15" s="225">
        <f t="shared" ref="J15" si="24">+J45+J77</f>
        <v>6160031</v>
      </c>
      <c r="K15" s="325">
        <f t="shared" ref="K15" si="25">+J15/J$13</f>
        <v>1</v>
      </c>
      <c r="L15" s="225">
        <f t="shared" ref="L15" si="26">+L45+L77</f>
        <v>5488030</v>
      </c>
      <c r="M15" s="325">
        <f t="shared" ref="M15" si="27">+L15/L$13</f>
        <v>1</v>
      </c>
      <c r="N15" s="225">
        <f t="shared" ref="N15" si="28">+N45+N77</f>
        <v>3995262</v>
      </c>
      <c r="O15" s="325">
        <f t="shared" ref="O15" si="29">+N15/N$13</f>
        <v>1</v>
      </c>
      <c r="P15" s="225">
        <f t="shared" ref="P15" si="30">+P45+P77</f>
        <v>1975424</v>
      </c>
      <c r="Q15" s="325">
        <f t="shared" ref="Q15" si="31">+P15/P$13</f>
        <v>1</v>
      </c>
      <c r="R15" s="225">
        <f t="shared" ref="R15" si="32">+R45+R77</f>
        <v>4542247</v>
      </c>
      <c r="S15" s="325">
        <f t="shared" ref="S15" si="33">+R15/R$13</f>
        <v>1</v>
      </c>
      <c r="T15" s="225">
        <f t="shared" ref="T15" si="34">+T45+T77</f>
        <v>3066142</v>
      </c>
      <c r="U15" s="325">
        <f t="shared" ref="U15" si="35">+T15/T$13</f>
        <v>1</v>
      </c>
      <c r="V15" s="225">
        <f t="shared" ref="V15" si="36">+V45+V77</f>
        <v>1781894</v>
      </c>
      <c r="W15" s="325">
        <f t="shared" ref="W15" si="37">+V15/V$13</f>
        <v>1</v>
      </c>
      <c r="X15" s="225">
        <f t="shared" ref="X15" si="38">+X45+X77</f>
        <v>2999318</v>
      </c>
      <c r="Y15" s="325">
        <f t="shared" ref="Y15" si="39">+X15/X$13</f>
        <v>1</v>
      </c>
      <c r="Z15" s="225">
        <f t="shared" ref="Z15" si="40">+Z45+Z77</f>
        <v>2724482</v>
      </c>
      <c r="AA15" s="328">
        <f t="shared" ref="AA15" si="41">+Z15/Z$13</f>
        <v>1</v>
      </c>
    </row>
    <row r="16" spans="2:27" x14ac:dyDescent="0.25">
      <c r="B16" s="68">
        <v>60</v>
      </c>
      <c r="C16" s="69" t="s">
        <v>18</v>
      </c>
      <c r="D16" s="225">
        <f t="shared" si="0"/>
        <v>2599501</v>
      </c>
      <c r="E16" s="325">
        <f t="shared" si="1"/>
        <v>0.62658900935098472</v>
      </c>
      <c r="F16" s="225">
        <f t="shared" si="0"/>
        <v>2971985</v>
      </c>
      <c r="G16" s="325">
        <f t="shared" si="1"/>
        <v>0.65028908690374188</v>
      </c>
      <c r="H16" s="225">
        <f t="shared" ref="H16" si="42">+H46+H78</f>
        <v>2399548</v>
      </c>
      <c r="I16" s="325">
        <f t="shared" ref="I16" si="43">+H16/H$13</f>
        <v>0.6068615075913707</v>
      </c>
      <c r="J16" s="225">
        <f t="shared" ref="J16" si="44">+J46+J78</f>
        <v>3507366</v>
      </c>
      <c r="K16" s="325">
        <f t="shared" ref="K16" si="45">+J16/J$13</f>
        <v>0.56937473204274458</v>
      </c>
      <c r="L16" s="225">
        <f t="shared" ref="L16" si="46">+L46+L78</f>
        <v>3317875</v>
      </c>
      <c r="M16" s="325">
        <f t="shared" ref="M16" si="47">+L16/L$13</f>
        <v>0.60456575492480913</v>
      </c>
      <c r="N16" s="225">
        <f t="shared" ref="N16" si="48">+N46+N78</f>
        <v>2350738</v>
      </c>
      <c r="O16" s="325">
        <f t="shared" ref="O16" si="49">+N16/N$13</f>
        <v>0.5883814378130896</v>
      </c>
      <c r="P16" s="225">
        <f t="shared" ref="P16" si="50">+P46+P78</f>
        <v>1502125</v>
      </c>
      <c r="Q16" s="325">
        <f t="shared" ref="Q16" si="51">+P16/P$13</f>
        <v>0.76040637351778662</v>
      </c>
      <c r="R16" s="225">
        <f t="shared" ref="R16" si="52">+R46+R78</f>
        <v>2421354</v>
      </c>
      <c r="S16" s="325">
        <f t="shared" ref="S16" si="53">+R16/R$13</f>
        <v>0.53307404903344091</v>
      </c>
      <c r="T16" s="225">
        <f t="shared" ref="T16" si="54">+T46+T78</f>
        <v>1597611</v>
      </c>
      <c r="U16" s="325">
        <f t="shared" ref="U16" si="55">+T16/T$13</f>
        <v>0.5210492534266189</v>
      </c>
      <c r="V16" s="225">
        <f t="shared" ref="V16" si="56">+V46+V78</f>
        <v>990688</v>
      </c>
      <c r="W16" s="325">
        <f t="shared" ref="W16" si="57">+V16/V$13</f>
        <v>0.55597471005570476</v>
      </c>
      <c r="X16" s="225">
        <f t="shared" ref="X16" si="58">+X46+X78</f>
        <v>1615625</v>
      </c>
      <c r="Y16" s="325">
        <f t="shared" ref="Y16" si="59">+X16/X$13</f>
        <v>0.53866412297729016</v>
      </c>
      <c r="Z16" s="225">
        <f t="shared" ref="Z16" si="60">+Z46+Z78</f>
        <v>1431688</v>
      </c>
      <c r="AA16" s="328">
        <f t="shared" ref="AA16" si="61">+Z16/Z$13</f>
        <v>0.52548998304998895</v>
      </c>
    </row>
    <row r="17" spans="2:27" x14ac:dyDescent="0.25">
      <c r="B17" s="68">
        <v>70</v>
      </c>
      <c r="C17" s="69" t="s">
        <v>19</v>
      </c>
      <c r="D17" s="225">
        <f t="shared" si="0"/>
        <v>1549153</v>
      </c>
      <c r="E17" s="325">
        <f t="shared" si="1"/>
        <v>0.37341099064901534</v>
      </c>
      <c r="F17" s="225">
        <f t="shared" si="0"/>
        <v>1598267</v>
      </c>
      <c r="G17" s="325">
        <f t="shared" si="1"/>
        <v>0.34971091309625812</v>
      </c>
      <c r="H17" s="225">
        <f t="shared" ref="H17" si="62">+H47+H79</f>
        <v>1554481</v>
      </c>
      <c r="I17" s="325">
        <f t="shared" ref="I17" si="63">+H17/H$13</f>
        <v>0.39313849240862925</v>
      </c>
      <c r="J17" s="225">
        <f t="shared" ref="J17" si="64">+J47+J79</f>
        <v>2652665</v>
      </c>
      <c r="K17" s="325">
        <f t="shared" ref="K17" si="65">+J17/J$13</f>
        <v>0.43062526795725542</v>
      </c>
      <c r="L17" s="225">
        <f t="shared" ref="L17" si="66">+L47+L79</f>
        <v>2170155</v>
      </c>
      <c r="M17" s="325">
        <f t="shared" ref="M17" si="67">+L17/L$13</f>
        <v>0.39543424507519093</v>
      </c>
      <c r="N17" s="225">
        <f t="shared" ref="N17" si="68">+N47+N79</f>
        <v>1644524</v>
      </c>
      <c r="O17" s="325">
        <f t="shared" ref="O17" si="69">+N17/N$13</f>
        <v>0.4116185621869104</v>
      </c>
      <c r="P17" s="225">
        <f t="shared" ref="P17" si="70">+P47+P79</f>
        <v>473299</v>
      </c>
      <c r="Q17" s="325">
        <f t="shared" ref="Q17" si="71">+P17/P$13</f>
        <v>0.23959362648221344</v>
      </c>
      <c r="R17" s="225">
        <f t="shared" ref="R17" si="72">+R47+R79</f>
        <v>2120893</v>
      </c>
      <c r="S17" s="325">
        <f t="shared" ref="S17" si="73">+R17/R$13</f>
        <v>0.46692595096655909</v>
      </c>
      <c r="T17" s="225">
        <f t="shared" ref="T17" si="74">+T47+T79</f>
        <v>1468531</v>
      </c>
      <c r="U17" s="325">
        <f t="shared" ref="U17" si="75">+T17/T$13</f>
        <v>0.47895074657338116</v>
      </c>
      <c r="V17" s="225">
        <f t="shared" ref="V17" si="76">+V47+V79</f>
        <v>791206</v>
      </c>
      <c r="W17" s="325">
        <f t="shared" ref="W17" si="77">+V17/V$13</f>
        <v>0.44402528994429524</v>
      </c>
      <c r="X17" s="225">
        <f t="shared" ref="X17" si="78">+X47+X79</f>
        <v>1383693</v>
      </c>
      <c r="Y17" s="325">
        <f t="shared" ref="Y17" si="79">+X17/X$13</f>
        <v>0.46133587702270984</v>
      </c>
      <c r="Z17" s="225">
        <f t="shared" ref="Z17" si="80">+Z47+Z79</f>
        <v>1292794</v>
      </c>
      <c r="AA17" s="328">
        <f t="shared" ref="AA17" si="81">+Z17/Z$13</f>
        <v>0.47451001695001105</v>
      </c>
    </row>
    <row r="18" spans="2:27" x14ac:dyDescent="0.25">
      <c r="B18" s="68">
        <v>80</v>
      </c>
      <c r="C18" s="69" t="s">
        <v>20</v>
      </c>
      <c r="D18" s="225">
        <f t="shared" si="0"/>
        <v>105958</v>
      </c>
      <c r="E18" s="325">
        <f t="shared" si="1"/>
        <v>2.5540331876314583E-2</v>
      </c>
      <c r="F18" s="225">
        <f t="shared" si="0"/>
        <v>101801</v>
      </c>
      <c r="G18" s="325">
        <f t="shared" si="1"/>
        <v>2.2274701701350385E-2</v>
      </c>
      <c r="H18" s="225">
        <f t="shared" ref="H18" si="82">+H48+H80</f>
        <v>109521</v>
      </c>
      <c r="I18" s="325">
        <f t="shared" ref="I18" si="83">+H18/H$13</f>
        <v>2.7698582888491714E-2</v>
      </c>
      <c r="J18" s="225">
        <f t="shared" ref="J18" si="84">+J48+J80</f>
        <v>171155</v>
      </c>
      <c r="K18" s="325">
        <f t="shared" ref="K18" si="85">+J18/J$13</f>
        <v>2.7784762771486053E-2</v>
      </c>
      <c r="L18" s="225">
        <f t="shared" ref="L18" si="86">+L48+L80</f>
        <v>153111</v>
      </c>
      <c r="M18" s="325">
        <f t="shared" ref="M18" si="87">+L18/L$13</f>
        <v>2.7899082184317504E-2</v>
      </c>
      <c r="N18" s="225">
        <f t="shared" ref="N18" si="88">+N48+N80</f>
        <v>106114</v>
      </c>
      <c r="O18" s="325">
        <f t="shared" ref="O18" si="89">+N18/N$13</f>
        <v>2.65599602729433E-2</v>
      </c>
      <c r="P18" s="225">
        <f t="shared" ref="P18" si="90">+P48+P80</f>
        <v>62814</v>
      </c>
      <c r="Q18" s="325">
        <f t="shared" ref="Q18" si="91">+P18/P$13</f>
        <v>3.1797730512538071E-2</v>
      </c>
      <c r="R18" s="225">
        <f t="shared" ref="R18" si="92">+R48+R80</f>
        <v>152447</v>
      </c>
      <c r="S18" s="325">
        <f t="shared" ref="S18" si="93">+R18/R$13</f>
        <v>3.3562023377416511E-2</v>
      </c>
      <c r="T18" s="225">
        <f t="shared" ref="T18" si="94">+T48+T80</f>
        <v>99845</v>
      </c>
      <c r="U18" s="325">
        <f t="shared" ref="U18" si="95">+T18/T$13</f>
        <v>3.256372340224295E-2</v>
      </c>
      <c r="V18" s="225">
        <f t="shared" ref="V18" si="96">+V48+V80</f>
        <v>62814</v>
      </c>
      <c r="W18" s="325">
        <f t="shared" ref="W18" si="97">+V18/V$13</f>
        <v>3.5251255125164575E-2</v>
      </c>
      <c r="X18" s="225">
        <f t="shared" ref="X18" si="98">+X48+X80</f>
        <v>98221</v>
      </c>
      <c r="Y18" s="325">
        <f t="shared" ref="Y18" si="99">+X18/X$13</f>
        <v>3.2747777994864169E-2</v>
      </c>
      <c r="Z18" s="225">
        <f t="shared" ref="Z18" si="100">+Z48+Z80</f>
        <v>97429</v>
      </c>
      <c r="AA18" s="328">
        <f t="shared" ref="AA18" si="101">+Z18/Z$13</f>
        <v>3.5760559254933599E-2</v>
      </c>
    </row>
    <row r="19" spans="2:27" x14ac:dyDescent="0.25">
      <c r="B19" s="68">
        <v>90</v>
      </c>
      <c r="C19" s="69" t="s">
        <v>21</v>
      </c>
      <c r="D19" s="225">
        <f t="shared" si="0"/>
        <v>279050</v>
      </c>
      <c r="E19" s="325">
        <f t="shared" si="1"/>
        <v>6.7262779687098512E-2</v>
      </c>
      <c r="F19" s="225">
        <f t="shared" si="0"/>
        <v>258050</v>
      </c>
      <c r="G19" s="325">
        <f t="shared" si="1"/>
        <v>5.6462969656815423E-2</v>
      </c>
      <c r="H19" s="225">
        <f t="shared" ref="H19" si="102">+H49+H81</f>
        <v>315550</v>
      </c>
      <c r="I19" s="325">
        <f t="shared" ref="I19" si="103">+H19/H$13</f>
        <v>7.9804675180682794E-2</v>
      </c>
      <c r="J19" s="225">
        <f t="shared" ref="J19" si="104">+J49+J81</f>
        <v>254550</v>
      </c>
      <c r="K19" s="325">
        <f t="shared" ref="K19" si="105">+J19/J$13</f>
        <v>4.132284399218121E-2</v>
      </c>
      <c r="L19" s="225">
        <f t="shared" ref="L19" si="106">+L49+L81</f>
        <v>254550</v>
      </c>
      <c r="M19" s="325">
        <f t="shared" ref="M19" si="107">+L19/L$13</f>
        <v>4.6382763942616929E-2</v>
      </c>
      <c r="N19" s="225">
        <f t="shared" ref="N19" si="108">+N49+N81</f>
        <v>319550</v>
      </c>
      <c r="O19" s="325">
        <f t="shared" ref="O19" si="109">+N19/N$13</f>
        <v>7.9982238962050548E-2</v>
      </c>
      <c r="P19" s="225">
        <f t="shared" ref="P19" si="110">+P49+P81</f>
        <v>249550</v>
      </c>
      <c r="Q19" s="325">
        <f t="shared" ref="Q19" si="111">+P19/P$13</f>
        <v>0.12632730998509686</v>
      </c>
      <c r="R19" s="225">
        <f t="shared" ref="R19" si="112">+R49+R81</f>
        <v>291550</v>
      </c>
      <c r="S19" s="325">
        <f t="shared" ref="S19" si="113">+R19/R$13</f>
        <v>6.4186293700012345E-2</v>
      </c>
      <c r="T19" s="225">
        <f t="shared" ref="T19" si="114">+T49+T81</f>
        <v>282550</v>
      </c>
      <c r="U19" s="325">
        <f t="shared" ref="U19" si="115">+T19/T$13</f>
        <v>9.2151635508074967E-2</v>
      </c>
      <c r="V19" s="225">
        <f t="shared" ref="V19" si="116">+V49+V81</f>
        <v>253550</v>
      </c>
      <c r="W19" s="325">
        <f t="shared" ref="W19" si="117">+V19/V$13</f>
        <v>0.14229241470031326</v>
      </c>
      <c r="X19" s="225">
        <f t="shared" ref="X19" si="118">+X49+X81</f>
        <v>253550</v>
      </c>
      <c r="Y19" s="325">
        <f t="shared" ref="Y19" si="119">+X19/X$13</f>
        <v>8.4535884491074298E-2</v>
      </c>
      <c r="Z19" s="225">
        <f t="shared" ref="Z19" si="120">+Z49+Z81</f>
        <v>303550</v>
      </c>
      <c r="AA19" s="328">
        <f t="shared" ref="AA19" si="121">+Z19/Z$13</f>
        <v>0.11141567461264196</v>
      </c>
    </row>
    <row r="20" spans="2:27" x14ac:dyDescent="0.25">
      <c r="B20" s="68">
        <v>100</v>
      </c>
      <c r="C20" s="69" t="s">
        <v>22</v>
      </c>
      <c r="D20" s="225">
        <f t="shared" si="0"/>
        <v>27925</v>
      </c>
      <c r="E20" s="325">
        <f t="shared" si="1"/>
        <v>6.7310988093969753E-3</v>
      </c>
      <c r="F20" s="225">
        <f t="shared" si="0"/>
        <v>27925</v>
      </c>
      <c r="G20" s="325">
        <f t="shared" si="1"/>
        <v>6.1101663540653779E-3</v>
      </c>
      <c r="H20" s="225">
        <f t="shared" ref="H20" si="122">+H50+H82</f>
        <v>27925</v>
      </c>
      <c r="I20" s="325">
        <f t="shared" ref="I20" si="123">+H20/H$13</f>
        <v>7.0624165882445479E-3</v>
      </c>
      <c r="J20" s="225">
        <f t="shared" ref="J20" si="124">+J50+J82</f>
        <v>27925</v>
      </c>
      <c r="K20" s="325">
        <f t="shared" ref="K20" si="125">+J20/J$13</f>
        <v>4.5332564073135347E-3</v>
      </c>
      <c r="L20" s="225">
        <f t="shared" ref="L20" si="126">+L50+L82</f>
        <v>27925</v>
      </c>
      <c r="M20" s="325">
        <f t="shared" ref="M20" si="127">+L20/L$13</f>
        <v>5.0883468202615511E-3</v>
      </c>
      <c r="N20" s="225">
        <f t="shared" ref="N20" si="128">+N50+N82</f>
        <v>27925</v>
      </c>
      <c r="O20" s="325">
        <f t="shared" ref="O20" si="129">+N20/N$13</f>
        <v>6.9895290972156517E-3</v>
      </c>
      <c r="P20" s="225">
        <f t="shared" ref="P20" si="130">+P50+P82</f>
        <v>27925</v>
      </c>
      <c r="Q20" s="325">
        <f t="shared" ref="Q20" si="131">+P20/P$13</f>
        <v>1.4136205695587378E-2</v>
      </c>
      <c r="R20" s="225">
        <f t="shared" ref="R20" si="132">+R50+R82</f>
        <v>27925</v>
      </c>
      <c r="S20" s="325">
        <f t="shared" ref="S20" si="133">+R20/R$13</f>
        <v>6.1478382835631791E-3</v>
      </c>
      <c r="T20" s="225">
        <f t="shared" ref="T20" si="134">+T50+T82</f>
        <v>27925</v>
      </c>
      <c r="U20" s="325">
        <f t="shared" ref="U20" si="135">+T20/T$13</f>
        <v>9.1075364415607631E-3</v>
      </c>
      <c r="V20" s="225">
        <f t="shared" ref="V20" si="136">+V50+V82</f>
        <v>27925</v>
      </c>
      <c r="W20" s="325">
        <f t="shared" ref="W20" si="137">+V20/V$13</f>
        <v>1.5671527038084197E-2</v>
      </c>
      <c r="X20" s="225">
        <f t="shared" ref="X20" si="138">+X50+X82</f>
        <v>27925</v>
      </c>
      <c r="Y20" s="325">
        <f t="shared" ref="Y20" si="139">+X20/X$13</f>
        <v>9.3104499089459673E-3</v>
      </c>
      <c r="Z20" s="225">
        <f t="shared" ref="Z20" si="140">+Z50+Z82</f>
        <v>27925</v>
      </c>
      <c r="AA20" s="328">
        <f t="shared" ref="AA20" si="141">+Z20/Z$13</f>
        <v>1.0249654796765036E-2</v>
      </c>
    </row>
    <row r="21" spans="2:27" x14ac:dyDescent="0.25">
      <c r="B21" s="68">
        <v>110</v>
      </c>
      <c r="C21" s="69" t="s">
        <v>23</v>
      </c>
      <c r="D21" s="225">
        <f t="shared" si="0"/>
        <v>412933</v>
      </c>
      <c r="E21" s="325">
        <f t="shared" si="1"/>
        <v>9.9534210372810072E-2</v>
      </c>
      <c r="F21" s="225">
        <f t="shared" si="0"/>
        <v>387776</v>
      </c>
      <c r="G21" s="325">
        <f t="shared" si="1"/>
        <v>8.4847837712231186E-2</v>
      </c>
      <c r="H21" s="225">
        <f t="shared" ref="H21" si="142">+H51+H83</f>
        <v>452996</v>
      </c>
      <c r="I21" s="325">
        <f t="shared" ref="I21" si="143">+H21/H$13</f>
        <v>0.11456567465741906</v>
      </c>
      <c r="J21" s="225">
        <f t="shared" ref="J21" si="144">+J51+J83</f>
        <v>453630</v>
      </c>
      <c r="K21" s="325">
        <f t="shared" ref="K21" si="145">+J21/J$13</f>
        <v>7.36408631709808E-2</v>
      </c>
      <c r="L21" s="225">
        <f t="shared" ref="L21" si="146">+L51+L83</f>
        <v>435586</v>
      </c>
      <c r="M21" s="325">
        <f t="shared" ref="M21" si="147">+L21/L$13</f>
        <v>7.9370192947195994E-2</v>
      </c>
      <c r="N21" s="225">
        <f t="shared" ref="N21" si="148">+N51+N83</f>
        <v>453589</v>
      </c>
      <c r="O21" s="325">
        <f t="shared" ref="O21" si="149">+N21/N$13</f>
        <v>0.11353172833220951</v>
      </c>
      <c r="P21" s="225">
        <f t="shared" ref="P21" si="150">+P51+P83</f>
        <v>340289</v>
      </c>
      <c r="Q21" s="325">
        <f t="shared" ref="Q21" si="151">+P21/P$13</f>
        <v>0.17226124619322231</v>
      </c>
      <c r="R21" s="225">
        <f t="shared" ref="R21" si="152">+R51+R83</f>
        <v>471922</v>
      </c>
      <c r="S21" s="325">
        <f t="shared" ref="S21" si="153">+R21/R$13</f>
        <v>0.10389615536099203</v>
      </c>
      <c r="T21" s="225">
        <f t="shared" ref="T21" si="154">+T51+T83</f>
        <v>410320</v>
      </c>
      <c r="U21" s="325">
        <f t="shared" ref="U21" si="155">+T21/T$13</f>
        <v>0.13382289535187869</v>
      </c>
      <c r="V21" s="225">
        <f t="shared" ref="V21" si="156">+V51+V83</f>
        <v>344289</v>
      </c>
      <c r="W21" s="325">
        <f t="shared" ref="W21" si="157">+V21/V$13</f>
        <v>0.19321519686356203</v>
      </c>
      <c r="X21" s="225">
        <f t="shared" ref="X21" si="158">+X51+X83</f>
        <v>379696</v>
      </c>
      <c r="Y21" s="325">
        <f t="shared" ref="Y21" si="159">+X21/X$13</f>
        <v>0.12659411239488444</v>
      </c>
      <c r="Z21" s="225">
        <f t="shared" ref="Z21" si="160">+Z51+Z83</f>
        <v>428904</v>
      </c>
      <c r="AA21" s="328">
        <f t="shared" ref="AA21" si="161">+Z21/Z$13</f>
        <v>0.1574258886643406</v>
      </c>
    </row>
    <row r="22" spans="2:27" x14ac:dyDescent="0.25">
      <c r="B22" s="68">
        <v>120</v>
      </c>
      <c r="C22" s="69" t="s">
        <v>24</v>
      </c>
      <c r="D22" s="225">
        <f t="shared" si="0"/>
        <v>1136220</v>
      </c>
      <c r="E22" s="325">
        <f t="shared" si="1"/>
        <v>0.27387678027620527</v>
      </c>
      <c r="F22" s="225">
        <f t="shared" si="0"/>
        <v>1210491</v>
      </c>
      <c r="G22" s="325">
        <f t="shared" si="1"/>
        <v>0.26486307538402698</v>
      </c>
      <c r="H22" s="225">
        <f t="shared" ref="H22" si="162">+H52+H84</f>
        <v>1101485</v>
      </c>
      <c r="I22" s="325">
        <f t="shared" ref="I22" si="163">+H22/H$13</f>
        <v>0.27857281775121023</v>
      </c>
      <c r="J22" s="225">
        <f t="shared" ref="J22" si="164">+J52+J84</f>
        <v>2199035</v>
      </c>
      <c r="K22" s="325">
        <f t="shared" ref="K22" si="165">+J22/J$13</f>
        <v>0.35698440478627463</v>
      </c>
      <c r="L22" s="225">
        <f t="shared" ref="L22" si="166">+L52+L84</f>
        <v>1734569</v>
      </c>
      <c r="M22" s="325">
        <f t="shared" ref="M22" si="167">+L22/L$13</f>
        <v>0.31606405212799493</v>
      </c>
      <c r="N22" s="225">
        <f t="shared" ref="N22" si="168">+N52+N84</f>
        <v>1190935</v>
      </c>
      <c r="O22" s="325">
        <f t="shared" ref="O22" si="169">+N22/N$13</f>
        <v>0.29808683385470092</v>
      </c>
      <c r="P22" s="225">
        <f t="shared" ref="P22" si="170">+P52+P84</f>
        <v>133010</v>
      </c>
      <c r="Q22" s="325">
        <f t="shared" ref="Q22" si="171">+P22/P$13</f>
        <v>6.733238028899112E-2</v>
      </c>
      <c r="R22" s="225">
        <f t="shared" ref="R22" si="172">+R52+R84</f>
        <v>1648971</v>
      </c>
      <c r="S22" s="325">
        <f t="shared" ref="S22" si="173">+R22/R$13</f>
        <v>0.36302979560556703</v>
      </c>
      <c r="T22" s="225">
        <f t="shared" ref="T22" si="174">+T52+T84</f>
        <v>1058211</v>
      </c>
      <c r="U22" s="325">
        <f t="shared" ref="U22" si="175">+T22/T$13</f>
        <v>0.34512785122150247</v>
      </c>
      <c r="V22" s="225">
        <f t="shared" ref="V22" si="176">+V52+V84</f>
        <v>446917</v>
      </c>
      <c r="W22" s="325">
        <f t="shared" ref="W22" si="177">+V22/V$13</f>
        <v>0.25081009308073321</v>
      </c>
      <c r="X22" s="225">
        <f t="shared" ref="X22" si="178">+X52+X84</f>
        <v>1003997</v>
      </c>
      <c r="Y22" s="325">
        <f t="shared" ref="Y22" si="179">+X22/X$13</f>
        <v>0.3347417646278254</v>
      </c>
      <c r="Z22" s="225">
        <f t="shared" ref="Z22" si="180">+Z52+Z84</f>
        <v>863890</v>
      </c>
      <c r="AA22" s="328">
        <f t="shared" ref="AA22" si="181">+Z22/Z$13</f>
        <v>0.31708412828567045</v>
      </c>
    </row>
    <row r="23" spans="2:27" x14ac:dyDescent="0.25">
      <c r="B23" s="68">
        <v>130</v>
      </c>
      <c r="C23" s="69" t="s">
        <v>25</v>
      </c>
      <c r="D23" s="225">
        <f t="shared" si="0"/>
        <v>-215640</v>
      </c>
      <c r="E23" s="325">
        <f t="shared" si="1"/>
        <v>-5.197830428857167E-2</v>
      </c>
      <c r="F23" s="225">
        <f t="shared" si="0"/>
        <v>-76120</v>
      </c>
      <c r="G23" s="325">
        <f t="shared" si="1"/>
        <v>-1.6655536718762992E-2</v>
      </c>
      <c r="H23" s="225">
        <f t="shared" ref="H23" si="182">+H53+H85</f>
        <v>-54430</v>
      </c>
      <c r="I23" s="325">
        <f t="shared" ref="I23" si="183">+H23/H$13</f>
        <v>-1.3765705815511217E-2</v>
      </c>
      <c r="J23" s="225">
        <f t="shared" ref="J23" si="184">+J53+J85</f>
        <v>-163220</v>
      </c>
      <c r="K23" s="325">
        <f t="shared" ref="K23" si="185">+J23/J$13</f>
        <v>-2.6496619903373864E-2</v>
      </c>
      <c r="L23" s="225">
        <f t="shared" ref="L23" si="186">+L53+L85</f>
        <v>17349</v>
      </c>
      <c r="M23" s="325">
        <f t="shared" ref="M23" si="187">+L23/L$13</f>
        <v>3.1612436520937386E-3</v>
      </c>
      <c r="N23" s="225">
        <f t="shared" ref="N23" si="188">+N53+N85</f>
        <v>-163043</v>
      </c>
      <c r="O23" s="325">
        <f t="shared" ref="O23" si="189">+N23/N$13</f>
        <v>-4.0809088365168542E-2</v>
      </c>
      <c r="P23" s="225">
        <f t="shared" ref="P23" si="190">+P53+P85</f>
        <v>-128688</v>
      </c>
      <c r="Q23" s="325">
        <f t="shared" ref="Q23" si="191">+P23/P$13</f>
        <v>-6.5144495561459209E-2</v>
      </c>
      <c r="R23" s="225">
        <f t="shared" ref="R23" si="192">+R53+R85</f>
        <v>-76700</v>
      </c>
      <c r="S23" s="325">
        <f t="shared" ref="S23" si="193">+R23/R$13</f>
        <v>-1.6885915715283646E-2</v>
      </c>
      <c r="T23" s="225">
        <f t="shared" ref="T23" si="194">+T53+T85</f>
        <v>-93000</v>
      </c>
      <c r="U23" s="325">
        <f t="shared" ref="U23" si="195">+T23/T$13</f>
        <v>-3.0331276242261448E-2</v>
      </c>
      <c r="V23" s="225">
        <f t="shared" ref="V23" si="196">+V53+V85</f>
        <v>-78300</v>
      </c>
      <c r="W23" s="325">
        <f t="shared" ref="W23" si="197">+V23/V$13</f>
        <v>-4.3942007773750853E-2</v>
      </c>
      <c r="X23" s="225">
        <f t="shared" ref="X23" si="198">+X53+X85</f>
        <v>-79100</v>
      </c>
      <c r="Y23" s="325">
        <f t="shared" ref="Y23" si="199">+X23/X$13</f>
        <v>-2.6372662051839784E-2</v>
      </c>
      <c r="Z23" s="225">
        <f t="shared" ref="Z23" si="200">+Z53+Z85</f>
        <v>-66800</v>
      </c>
      <c r="AA23" s="328">
        <f t="shared" ref="AA23" si="201">+Z23/Z$13</f>
        <v>-2.4518422217507767E-2</v>
      </c>
    </row>
    <row r="24" spans="2:27" x14ac:dyDescent="0.25">
      <c r="B24" s="68">
        <v>135</v>
      </c>
      <c r="C24" s="69" t="s">
        <v>26</v>
      </c>
      <c r="D24" s="225">
        <f t="shared" si="0"/>
        <v>-170878</v>
      </c>
      <c r="E24" s="325">
        <f t="shared" si="1"/>
        <v>-4.1188780746719299E-2</v>
      </c>
      <c r="F24" s="225">
        <f t="shared" si="0"/>
        <v>34698</v>
      </c>
      <c r="G24" s="325">
        <f t="shared" si="1"/>
        <v>7.5921415274256216E-3</v>
      </c>
      <c r="H24" s="225">
        <f t="shared" ref="H24" si="202">+H54+H86</f>
        <v>55187</v>
      </c>
      <c r="I24" s="325">
        <f t="shared" ref="I24" si="203">+H24/H$13</f>
        <v>1.3957156105835339E-2</v>
      </c>
      <c r="J24" s="225">
        <f t="shared" ref="J24" si="204">+J54+J86</f>
        <v>-47440</v>
      </c>
      <c r="K24" s="325">
        <f t="shared" ref="K24" si="205">+J24/J$13</f>
        <v>-7.7012599449580695E-3</v>
      </c>
      <c r="L24" s="225">
        <f t="shared" ref="L24" si="206">+L54+L86</f>
        <v>134146</v>
      </c>
      <c r="M24" s="325">
        <f t="shared" ref="M24" si="207">+L24/L$13</f>
        <v>2.4443379500476491E-2</v>
      </c>
      <c r="N24" s="225">
        <f t="shared" ref="N24" si="208">+N54+N86</f>
        <v>-44634</v>
      </c>
      <c r="O24" s="325">
        <f t="shared" ref="O24" si="209">+N24/N$13</f>
        <v>-1.1171732917640946E-2</v>
      </c>
      <c r="P24" s="225">
        <f t="shared" ref="P24" si="210">+P54+P86</f>
        <v>-12921</v>
      </c>
      <c r="Q24" s="325">
        <f t="shared" ref="Q24" si="211">+P24/P$13</f>
        <v>-6.5408742629430444E-3</v>
      </c>
      <c r="R24" s="225">
        <f t="shared" ref="R24" si="212">+R54+R86</f>
        <v>40184</v>
      </c>
      <c r="S24" s="325">
        <f t="shared" ref="S24" si="213">+R24/R$13</f>
        <v>8.8467227783958022E-3</v>
      </c>
      <c r="T24" s="225">
        <f t="shared" ref="T24" si="214">+T54+T86</f>
        <v>23919</v>
      </c>
      <c r="U24" s="325">
        <f t="shared" ref="U24" si="215">+T24/T$13</f>
        <v>7.8010085638564684E-3</v>
      </c>
      <c r="V24" s="225">
        <f t="shared" ref="V24" si="216">+V54+V86</f>
        <v>38588</v>
      </c>
      <c r="W24" s="325">
        <f t="shared" ref="W24" si="217">+V24/V$13</f>
        <v>2.1655609143978263E-2</v>
      </c>
      <c r="X24" s="225">
        <f t="shared" ref="X24" si="218">+X54+X86</f>
        <v>34150</v>
      </c>
      <c r="Y24" s="325">
        <f t="shared" ref="Y24" si="219">+X24/X$13</f>
        <v>1.1385921732873941E-2</v>
      </c>
      <c r="Z24" s="225">
        <f t="shared" ref="Z24" si="220">+Z54+Z86</f>
        <v>42466</v>
      </c>
      <c r="AA24" s="328">
        <f t="shared" ref="AA24" si="221">+Z24/Z$13</f>
        <v>1.5586816136058158E-2</v>
      </c>
    </row>
    <row r="25" spans="2:27" x14ac:dyDescent="0.25">
      <c r="B25" s="68">
        <v>140</v>
      </c>
      <c r="C25" s="69" t="s">
        <v>27</v>
      </c>
      <c r="D25" s="225">
        <f t="shared" si="0"/>
        <v>-167878</v>
      </c>
      <c r="E25" s="325">
        <f t="shared" si="1"/>
        <v>-4.0465654643650685E-2</v>
      </c>
      <c r="F25" s="225">
        <f t="shared" si="0"/>
        <v>37698</v>
      </c>
      <c r="G25" s="325">
        <f t="shared" si="1"/>
        <v>8.2485604732518026E-3</v>
      </c>
      <c r="H25" s="225">
        <f t="shared" ref="H25" si="222">+H55+H87</f>
        <v>58187</v>
      </c>
      <c r="I25" s="325">
        <f t="shared" ref="I25" si="223">+H25/H$13</f>
        <v>1.4715875882549167E-2</v>
      </c>
      <c r="J25" s="225">
        <f t="shared" ref="J25" si="224">+J55+J87</f>
        <v>-44440</v>
      </c>
      <c r="K25" s="325">
        <f t="shared" ref="K25" si="225">+J25/J$13</f>
        <v>-7.2142494088097931E-3</v>
      </c>
      <c r="L25" s="225">
        <f t="shared" ref="L25" si="226">+L55+L87</f>
        <v>137146</v>
      </c>
      <c r="M25" s="325">
        <f t="shared" ref="M25" si="227">+L25/L$13</f>
        <v>2.4990023742581583E-2</v>
      </c>
      <c r="N25" s="225">
        <f t="shared" ref="N25" si="228">+N55+N87</f>
        <v>-41634</v>
      </c>
      <c r="O25" s="325">
        <f t="shared" ref="O25" si="229">+N25/N$13</f>
        <v>-1.0420843489112853E-2</v>
      </c>
      <c r="P25" s="225">
        <f t="shared" ref="P25" si="230">+P55+P87</f>
        <v>-9921</v>
      </c>
      <c r="Q25" s="325">
        <f t="shared" ref="Q25" si="231">+P25/P$13</f>
        <v>-5.0222129527635589E-3</v>
      </c>
      <c r="R25" s="225">
        <f t="shared" ref="R25" si="232">+R55+R87</f>
        <v>43184</v>
      </c>
      <c r="S25" s="325">
        <f t="shared" ref="S25" si="233">+R25/R$13</f>
        <v>9.5071888428788654E-3</v>
      </c>
      <c r="T25" s="225">
        <f t="shared" ref="T25" si="234">+T55+T87</f>
        <v>26919</v>
      </c>
      <c r="U25" s="325">
        <f t="shared" ref="U25" si="235">+T25/T$13</f>
        <v>8.7794368297358701E-3</v>
      </c>
      <c r="V25" s="225">
        <f t="shared" ref="V25" si="236">+V55+V87</f>
        <v>41588</v>
      </c>
      <c r="W25" s="325">
        <f t="shared" ref="W25" si="237">+V25/V$13</f>
        <v>2.3339210974390172E-2</v>
      </c>
      <c r="X25" s="225">
        <f t="shared" ref="X25" si="238">+X55+X87</f>
        <v>37150</v>
      </c>
      <c r="Y25" s="325">
        <f t="shared" ref="Y25" si="239">+X25/X$13</f>
        <v>1.2386149117899469E-2</v>
      </c>
      <c r="Z25" s="225">
        <f t="shared" ref="Z25" si="240">+Z55+Z87</f>
        <v>45466</v>
      </c>
      <c r="AA25" s="328">
        <f t="shared" ref="AA25" si="241">+Z25/Z$13</f>
        <v>1.6687942882353417E-2</v>
      </c>
    </row>
    <row r="26" spans="2:27" x14ac:dyDescent="0.25">
      <c r="B26" s="68">
        <v>150</v>
      </c>
      <c r="C26" s="69" t="s">
        <v>28</v>
      </c>
      <c r="D26" s="225">
        <f t="shared" si="0"/>
        <v>250000</v>
      </c>
      <c r="E26" s="325">
        <f t="shared" si="1"/>
        <v>6.0260508589050812E-2</v>
      </c>
      <c r="F26" s="225">
        <f t="shared" si="0"/>
        <v>250000</v>
      </c>
      <c r="G26" s="325">
        <f t="shared" si="1"/>
        <v>5.4701578818848504E-2</v>
      </c>
      <c r="H26" s="225">
        <f t="shared" ref="H26" si="242">+H56+H88</f>
        <v>250297</v>
      </c>
      <c r="I26" s="325">
        <f t="shared" ref="I26" si="243">+H26/H$13</f>
        <v>6.3301761317380328E-2</v>
      </c>
      <c r="J26" s="225">
        <f t="shared" ref="J26" si="244">+J56+J88</f>
        <v>254382</v>
      </c>
      <c r="K26" s="325">
        <f t="shared" ref="K26" si="245">+J26/J$13</f>
        <v>4.1295571402156908E-2</v>
      </c>
      <c r="L26" s="225">
        <f t="shared" ref="L26" si="246">+L56+L88</f>
        <v>258399</v>
      </c>
      <c r="M26" s="325">
        <f t="shared" ref="M26" si="247">+L26/L$13</f>
        <v>4.7084108505237761E-2</v>
      </c>
      <c r="N26" s="225">
        <f t="shared" ref="N26" si="248">+N56+N88</f>
        <v>260600</v>
      </c>
      <c r="O26" s="325">
        <f t="shared" ref="O26" si="249">+N26/N$13</f>
        <v>6.5227261691473554E-2</v>
      </c>
      <c r="P26" s="225">
        <f t="shared" ref="P26" si="250">+P56+P88</f>
        <v>264035</v>
      </c>
      <c r="Q26" s="325">
        <f t="shared" ref="Q26" si="251">+P26/P$13</f>
        <v>0.13365991301108016</v>
      </c>
      <c r="R26" s="225">
        <f t="shared" ref="R26" si="252">+R56+R88</f>
        <v>268047</v>
      </c>
      <c r="S26" s="325">
        <f t="shared" ref="S26" si="253">+R26/R$13</f>
        <v>5.9011982395497209E-2</v>
      </c>
      <c r="T26" s="225">
        <f t="shared" ref="T26" si="254">+T56+T88</f>
        <v>267731</v>
      </c>
      <c r="U26" s="325">
        <f t="shared" ref="U26" si="255">+T26/T$13</f>
        <v>8.7318526017386017E-2</v>
      </c>
      <c r="V26" s="225">
        <f t="shared" ref="V26" si="256">+V56+V88</f>
        <v>272258</v>
      </c>
      <c r="W26" s="325">
        <f t="shared" ref="W26" si="257">+V26/V$13</f>
        <v>0.15279135571476193</v>
      </c>
      <c r="X26" s="225">
        <f t="shared" ref="X26" si="258">+X56+X88</f>
        <v>273480</v>
      </c>
      <c r="Y26" s="325">
        <f t="shared" ref="Y26" si="259">+X26/X$13</f>
        <v>9.1180728418927243E-2</v>
      </c>
      <c r="Z26" s="225">
        <f t="shared" ref="Z26" si="260">+Z56+Z88</f>
        <v>274168</v>
      </c>
      <c r="AA26" s="328">
        <f t="shared" ref="AA26" si="261">+Z26/Z$13</f>
        <v>0.1006312392594262</v>
      </c>
    </row>
    <row r="27" spans="2:27" x14ac:dyDescent="0.25">
      <c r="B27" s="68">
        <v>155</v>
      </c>
      <c r="C27" s="69" t="s">
        <v>399</v>
      </c>
      <c r="D27" s="225">
        <f t="shared" si="0"/>
        <v>0</v>
      </c>
      <c r="E27" s="325">
        <f t="shared" si="1"/>
        <v>0</v>
      </c>
      <c r="F27" s="225">
        <f t="shared" si="0"/>
        <v>0</v>
      </c>
      <c r="G27" s="325">
        <f t="shared" si="1"/>
        <v>0</v>
      </c>
      <c r="H27" s="225">
        <f t="shared" ref="H27" si="262">+H57+H89</f>
        <v>0</v>
      </c>
      <c r="I27" s="325">
        <f t="shared" ref="I27" si="263">+H27/H$13</f>
        <v>0</v>
      </c>
      <c r="J27" s="225">
        <f t="shared" ref="J27" si="264">+J57+J89</f>
        <v>0</v>
      </c>
      <c r="K27" s="325">
        <f t="shared" ref="K27" si="265">+J27/J$13</f>
        <v>0</v>
      </c>
      <c r="L27" s="225">
        <f t="shared" ref="L27" si="266">+L57+L89</f>
        <v>0</v>
      </c>
      <c r="M27" s="325">
        <f t="shared" ref="M27" si="267">+L27/L$13</f>
        <v>0</v>
      </c>
      <c r="N27" s="225">
        <f t="shared" ref="N27" si="268">+N57+N89</f>
        <v>0</v>
      </c>
      <c r="O27" s="325">
        <f t="shared" ref="O27" si="269">+N27/N$13</f>
        <v>0</v>
      </c>
      <c r="P27" s="225">
        <f t="shared" ref="P27" si="270">+P57+P89</f>
        <v>0</v>
      </c>
      <c r="Q27" s="325">
        <f t="shared" ref="Q27" si="271">+P27/P$13</f>
        <v>0</v>
      </c>
      <c r="R27" s="225">
        <f t="shared" ref="R27" si="272">+R57+R89</f>
        <v>0</v>
      </c>
      <c r="S27" s="325">
        <f t="shared" ref="S27" si="273">+R27/R$13</f>
        <v>0</v>
      </c>
      <c r="T27" s="225">
        <f t="shared" ref="T27" si="274">+T57+T89</f>
        <v>0</v>
      </c>
      <c r="U27" s="325">
        <f t="shared" ref="U27" si="275">+T27/T$13</f>
        <v>0</v>
      </c>
      <c r="V27" s="225">
        <f t="shared" ref="V27" si="276">+V57+V89</f>
        <v>0</v>
      </c>
      <c r="W27" s="325">
        <f t="shared" ref="W27" si="277">+V27/V$13</f>
        <v>0</v>
      </c>
      <c r="X27" s="225">
        <f t="shared" ref="X27" si="278">+X57+X89</f>
        <v>0</v>
      </c>
      <c r="Y27" s="325">
        <f t="shared" ref="Y27" si="279">+X27/X$13</f>
        <v>0</v>
      </c>
      <c r="Z27" s="225">
        <f t="shared" ref="Z27" si="280">+Z57+Z89</f>
        <v>0</v>
      </c>
      <c r="AA27" s="328">
        <f t="shared" ref="AA27" si="281">+Z27/Z$13</f>
        <v>0</v>
      </c>
    </row>
    <row r="28" spans="2:27" x14ac:dyDescent="0.25">
      <c r="B28" s="68">
        <v>160</v>
      </c>
      <c r="C28" s="69" t="s">
        <v>394</v>
      </c>
      <c r="D28" s="225">
        <f t="shared" si="0"/>
        <v>-804396</v>
      </c>
      <c r="E28" s="325">
        <f t="shared" si="1"/>
        <v>-0.19389324826799245</v>
      </c>
      <c r="F28" s="225">
        <f t="shared" si="0"/>
        <v>-253724</v>
      </c>
      <c r="G28" s="325">
        <f t="shared" si="1"/>
        <v>-5.5516413536934067E-2</v>
      </c>
      <c r="H28" s="225">
        <f t="shared" ref="H28" si="282">+H58+H90</f>
        <v>-191353</v>
      </c>
      <c r="I28" s="325">
        <f t="shared" ref="I28" si="283">+H28/H$13</f>
        <v>-4.8394435144507031E-2</v>
      </c>
      <c r="J28" s="225">
        <f t="shared" ref="J28" si="284">+J58+J90</f>
        <v>-509482</v>
      </c>
      <c r="K28" s="325">
        <f t="shared" ref="K28" si="285">+J28/J$13</f>
        <v>-8.2707700659298625E-2</v>
      </c>
      <c r="L28" s="225">
        <f t="shared" ref="L28" si="286">+L58+L90</f>
        <v>30242</v>
      </c>
      <c r="M28" s="325">
        <f t="shared" ref="M28" si="287">+L28/L$13</f>
        <v>5.5105383899140496E-3</v>
      </c>
      <c r="N28" s="225">
        <f t="shared" ref="N28" si="288">+N58+N90</f>
        <v>-509911</v>
      </c>
      <c r="O28" s="325">
        <f t="shared" ref="O28" si="289">+N28/N$13</f>
        <v>-0.12762892646339588</v>
      </c>
      <c r="P28" s="225">
        <f t="shared" ref="P28" si="290">+P58+P90</f>
        <v>-415565</v>
      </c>
      <c r="Q28" s="325">
        <f t="shared" ref="Q28" si="291">+P28/P$13</f>
        <v>-0.21036749578824596</v>
      </c>
      <c r="R28" s="225">
        <f t="shared" ref="R28" si="292">+R58+R90</f>
        <v>-261379</v>
      </c>
      <c r="S28" s="325">
        <f t="shared" ref="S28" si="293">+R28/R$13</f>
        <v>-5.7543986489506184E-2</v>
      </c>
      <c r="T28" s="225">
        <f t="shared" ref="T28" si="294">+T58+T90</f>
        <v>-309893</v>
      </c>
      <c r="U28" s="325">
        <f t="shared" ref="U28" si="295">+T28/T$13</f>
        <v>-0.10106935686605513</v>
      </c>
      <c r="V28" s="225">
        <f t="shared" ref="V28" si="296">+V58+V90</f>
        <v>-270382</v>
      </c>
      <c r="W28" s="325">
        <f t="shared" ref="W28" si="297">+V28/V$13</f>
        <v>-0.15173854337014436</v>
      </c>
      <c r="X28" s="225">
        <f t="shared" ref="X28" si="298">+X58+X90</f>
        <v>-281280</v>
      </c>
      <c r="Y28" s="325">
        <f t="shared" ref="Y28" si="299">+X28/X$13</f>
        <v>-9.3781319619993614E-2</v>
      </c>
      <c r="Z28" s="225">
        <f t="shared" ref="Z28" si="300">+Z58+Z90</f>
        <v>-253036</v>
      </c>
      <c r="AA28" s="328">
        <f t="shared" ref="AA28" si="301">+Z28/Z$13</f>
        <v>-9.2874902458522396E-2</v>
      </c>
    </row>
    <row r="29" spans="2:27" x14ac:dyDescent="0.25">
      <c r="B29" s="68">
        <v>170</v>
      </c>
      <c r="C29" s="69" t="s">
        <v>29</v>
      </c>
      <c r="D29" s="225">
        <f t="shared" si="0"/>
        <v>1940616</v>
      </c>
      <c r="E29" s="325">
        <f t="shared" si="1"/>
        <v>0.46777002854419769</v>
      </c>
      <c r="F29" s="225">
        <f t="shared" si="0"/>
        <v>1464215</v>
      </c>
      <c r="G29" s="325">
        <f t="shared" si="1"/>
        <v>0.32037948892096102</v>
      </c>
      <c r="H29" s="225">
        <f t="shared" ref="H29" si="302">+H59+H91</f>
        <v>1292838</v>
      </c>
      <c r="I29" s="325">
        <f t="shared" ref="I29" si="303">+H29/H$13</f>
        <v>0.32696725289571726</v>
      </c>
      <c r="J29" s="225">
        <f t="shared" ref="J29" si="304">+J59+J91</f>
        <v>2708517</v>
      </c>
      <c r="K29" s="325">
        <f t="shared" ref="K29" si="305">+J29/J$13</f>
        <v>0.43969210544557324</v>
      </c>
      <c r="L29" s="225">
        <f t="shared" ref="L29" si="306">+L59+L91</f>
        <v>1704327</v>
      </c>
      <c r="M29" s="325">
        <f t="shared" ref="M29" si="307">+L29/L$13</f>
        <v>0.31055351373808088</v>
      </c>
      <c r="N29" s="225">
        <f t="shared" ref="N29" si="308">+N59+N91</f>
        <v>1700846</v>
      </c>
      <c r="O29" s="325">
        <f t="shared" ref="O29" si="309">+N29/N$13</f>
        <v>0.42571576031809677</v>
      </c>
      <c r="P29" s="225">
        <f t="shared" ref="P29" si="310">+P59+P91</f>
        <v>548575</v>
      </c>
      <c r="Q29" s="325">
        <f t="shared" ref="Q29" si="311">+P29/P$13</f>
        <v>0.27769987607723706</v>
      </c>
      <c r="R29" s="225">
        <f t="shared" ref="R29" si="312">+R59+R91</f>
        <v>1910350</v>
      </c>
      <c r="S29" s="325">
        <f t="shared" ref="S29" si="313">+R29/R$13</f>
        <v>0.42057378209507323</v>
      </c>
      <c r="T29" s="225">
        <f t="shared" ref="T29" si="314">+T59+T91</f>
        <v>1368104</v>
      </c>
      <c r="U29" s="325">
        <f t="shared" ref="U29" si="315">+T29/T$13</f>
        <v>0.44619720808755758</v>
      </c>
      <c r="V29" s="225">
        <f t="shared" ref="V29" si="316">+V59+V91</f>
        <v>717299</v>
      </c>
      <c r="W29" s="325">
        <f t="shared" ref="W29" si="317">+V29/V$13</f>
        <v>0.40254863645087757</v>
      </c>
      <c r="X29" s="225">
        <f t="shared" ref="X29" si="318">+X59+X91</f>
        <v>1285277</v>
      </c>
      <c r="Y29" s="325">
        <f t="shared" ref="Y29" si="319">+X29/X$13</f>
        <v>0.42852308424781899</v>
      </c>
      <c r="Z29" s="225">
        <f t="shared" ref="Z29" si="320">+Z59+Z91</f>
        <v>1116926</v>
      </c>
      <c r="AA29" s="328">
        <f t="shared" ref="AA29" si="321">+Z29/Z$13</f>
        <v>0.40995903074419282</v>
      </c>
    </row>
    <row r="30" spans="2:27" x14ac:dyDescent="0.25">
      <c r="B30" s="68">
        <v>180</v>
      </c>
      <c r="C30" s="69" t="s">
        <v>398</v>
      </c>
      <c r="D30" s="225">
        <f t="shared" si="0"/>
        <v>65185</v>
      </c>
      <c r="E30" s="325">
        <f t="shared" si="1"/>
        <v>1.5712325009509108E-2</v>
      </c>
      <c r="F30" s="225">
        <f t="shared" si="0"/>
        <v>62948</v>
      </c>
      <c r="G30" s="325">
        <f t="shared" si="1"/>
        <v>1.3773419933955502E-2</v>
      </c>
      <c r="H30" s="225">
        <f t="shared" ref="H30" si="322">+H60+H92</f>
        <v>67435</v>
      </c>
      <c r="I30" s="325">
        <f t="shared" ref="I30" si="323">+H30/H$13</f>
        <v>1.7054756047565661E-2</v>
      </c>
      <c r="J30" s="225">
        <f t="shared" ref="J30" si="324">+J60+J92</f>
        <v>117502</v>
      </c>
      <c r="K30" s="325">
        <f t="shared" ref="K30" si="325">+J30/J$13</f>
        <v>1.9074904006164906E-2</v>
      </c>
      <c r="L30" s="225">
        <f t="shared" ref="L30" si="326">+L60+L92</f>
        <v>102792</v>
      </c>
      <c r="M30" s="325">
        <f t="shared" ref="M30" si="327">+L30/L$13</f>
        <v>1.8730218311488821E-2</v>
      </c>
      <c r="N30" s="225">
        <f t="shared" ref="N30" si="328">+N60+N92</f>
        <v>64994</v>
      </c>
      <c r="O30" s="325">
        <f t="shared" ref="O30" si="329">+N30/N$13</f>
        <v>1.6267769172584927E-2</v>
      </c>
      <c r="P30" s="225">
        <f t="shared" ref="P30" si="330">+P60+P92</f>
        <v>28879</v>
      </c>
      <c r="Q30" s="325">
        <f t="shared" ref="Q30" si="331">+P30/P$13</f>
        <v>1.4619139992224453E-2</v>
      </c>
      <c r="R30" s="225">
        <f t="shared" ref="R30" si="332">+R60+R92</f>
        <v>100408</v>
      </c>
      <c r="S30" s="325">
        <f t="shared" ref="S30" si="333">+R30/R$13</f>
        <v>2.2105358867538467E-2</v>
      </c>
      <c r="T30" s="225">
        <f t="shared" ref="T30" si="334">+T60+T92</f>
        <v>58491</v>
      </c>
      <c r="U30" s="325">
        <f t="shared" ref="U30" si="335">+T30/T$13</f>
        <v>1.9076415899850693E-2</v>
      </c>
      <c r="V30" s="225">
        <f t="shared" ref="V30" si="336">+V60+V92</f>
        <v>28492</v>
      </c>
      <c r="W30" s="325">
        <f t="shared" ref="W30" si="337">+V30/V$13</f>
        <v>1.5989727784032046E-2</v>
      </c>
      <c r="X30" s="225">
        <f t="shared" ref="X30" si="338">+X60+X92</f>
        <v>57155</v>
      </c>
      <c r="Y30" s="325">
        <f t="shared" ref="Y30" si="339">+X30/X$13</f>
        <v>1.905599873037804E-2</v>
      </c>
      <c r="Z30" s="225">
        <f t="shared" ref="Z30" si="340">+Z60+Z92</f>
        <v>56019</v>
      </c>
      <c r="AA30" s="328">
        <f t="shared" ref="AA30" si="341">+Z30/Z$13</f>
        <v>2.0561339733571372E-2</v>
      </c>
    </row>
    <row r="31" spans="2:27" x14ac:dyDescent="0.25">
      <c r="B31" s="68">
        <v>190</v>
      </c>
      <c r="C31" s="69" t="s">
        <v>396</v>
      </c>
      <c r="D31" s="225">
        <f t="shared" si="0"/>
        <v>0</v>
      </c>
      <c r="E31" s="325">
        <f t="shared" si="1"/>
        <v>0</v>
      </c>
      <c r="F31" s="225">
        <f t="shared" si="0"/>
        <v>0</v>
      </c>
      <c r="G31" s="325">
        <f t="shared" si="1"/>
        <v>0</v>
      </c>
      <c r="H31" s="225">
        <f t="shared" ref="H31" si="342">+H61+H93</f>
        <v>0</v>
      </c>
      <c r="I31" s="325">
        <f t="shared" ref="I31" si="343">+H31/H$13</f>
        <v>0</v>
      </c>
      <c r="J31" s="225">
        <f t="shared" ref="J31" si="344">+J61+J93</f>
        <v>0</v>
      </c>
      <c r="K31" s="325">
        <f t="shared" ref="K31" si="345">+J31/J$13</f>
        <v>0</v>
      </c>
      <c r="L31" s="225">
        <f t="shared" ref="L31" si="346">+L61+L93</f>
        <v>0</v>
      </c>
      <c r="M31" s="325">
        <f t="shared" ref="M31" si="347">+L31/L$13</f>
        <v>0</v>
      </c>
      <c r="N31" s="225">
        <f t="shared" ref="N31" si="348">+N61+N93</f>
        <v>0</v>
      </c>
      <c r="O31" s="325">
        <f t="shared" ref="O31" si="349">+N31/N$13</f>
        <v>0</v>
      </c>
      <c r="P31" s="225">
        <f t="shared" ref="P31" si="350">+P61+P93</f>
        <v>0</v>
      </c>
      <c r="Q31" s="325">
        <f t="shared" ref="Q31" si="351">+P31/P$13</f>
        <v>0</v>
      </c>
      <c r="R31" s="225">
        <f t="shared" ref="R31" si="352">+R61+R93</f>
        <v>0</v>
      </c>
      <c r="S31" s="325">
        <f t="shared" ref="S31" si="353">+R31/R$13</f>
        <v>0</v>
      </c>
      <c r="T31" s="225">
        <f t="shared" ref="T31" si="354">+T61+T93</f>
        <v>0</v>
      </c>
      <c r="U31" s="325">
        <f t="shared" ref="U31" si="355">+T31/T$13</f>
        <v>0</v>
      </c>
      <c r="V31" s="225">
        <f t="shared" ref="V31" si="356">+V61+V93</f>
        <v>0</v>
      </c>
      <c r="W31" s="325">
        <f t="shared" ref="W31" si="357">+V31/V$13</f>
        <v>0</v>
      </c>
      <c r="X31" s="225">
        <f t="shared" ref="X31" si="358">+X61+X93</f>
        <v>0</v>
      </c>
      <c r="Y31" s="325">
        <f t="shared" ref="Y31" si="359">+X31/X$13</f>
        <v>0</v>
      </c>
      <c r="Z31" s="225">
        <f t="shared" ref="Z31" si="360">+Z61+Z93</f>
        <v>0</v>
      </c>
      <c r="AA31" s="328">
        <f t="shared" ref="AA31" si="361">+Z31/Z$13</f>
        <v>0</v>
      </c>
    </row>
    <row r="32" spans="2:27" x14ac:dyDescent="0.25">
      <c r="B32" s="68">
        <v>200</v>
      </c>
      <c r="C32" s="69" t="s">
        <v>30</v>
      </c>
      <c r="D32" s="225">
        <f t="shared" si="0"/>
        <v>1875431</v>
      </c>
      <c r="E32" s="325">
        <f t="shared" si="1"/>
        <v>0.4520577035346886</v>
      </c>
      <c r="F32" s="225">
        <f t="shared" si="0"/>
        <v>1401267</v>
      </c>
      <c r="G32" s="325">
        <f t="shared" si="1"/>
        <v>0.30660606898700554</v>
      </c>
      <c r="H32" s="225">
        <f t="shared" ref="H32" si="362">+H62+H94</f>
        <v>1225403</v>
      </c>
      <c r="I32" s="325">
        <f t="shared" ref="I32" si="363">+H32/H$13</f>
        <v>0.30991249684815159</v>
      </c>
      <c r="J32" s="225">
        <f t="shared" ref="J32" si="364">+J62+J94</f>
        <v>2591015</v>
      </c>
      <c r="K32" s="325">
        <f t="shared" ref="K32" si="365">+J32/J$13</f>
        <v>0.42061720143940834</v>
      </c>
      <c r="L32" s="225">
        <f t="shared" ref="L32" si="366">+L62+L94</f>
        <v>1601535</v>
      </c>
      <c r="M32" s="325">
        <f t="shared" ref="M32" si="367">+L32/L$13</f>
        <v>0.29182329542659208</v>
      </c>
      <c r="N32" s="225">
        <f t="shared" ref="N32" si="368">+N62+N94</f>
        <v>1635852</v>
      </c>
      <c r="O32" s="325">
        <f t="shared" ref="O32" si="369">+N32/N$13</f>
        <v>0.40944799114551184</v>
      </c>
      <c r="P32" s="225">
        <f t="shared" ref="P32" si="370">+P62+P94</f>
        <v>519696</v>
      </c>
      <c r="Q32" s="325">
        <f t="shared" ref="Q32" si="371">+P32/P$13</f>
        <v>0.26308073608501265</v>
      </c>
      <c r="R32" s="225">
        <f t="shared" ref="R32" si="372">+R62+R94</f>
        <v>1809942</v>
      </c>
      <c r="S32" s="325">
        <f t="shared" ref="S32" si="373">+R32/R$13</f>
        <v>0.39846842322753473</v>
      </c>
      <c r="T32" s="225">
        <f t="shared" ref="T32" si="374">+T62+T94</f>
        <v>1309613</v>
      </c>
      <c r="U32" s="325">
        <f t="shared" ref="U32" si="375">+T32/T$13</f>
        <v>0.42712079218770688</v>
      </c>
      <c r="V32" s="225">
        <f t="shared" ref="V32" si="376">+V62+V94</f>
        <v>688807</v>
      </c>
      <c r="W32" s="325">
        <f t="shared" ref="W32" si="377">+V32/V$13</f>
        <v>0.3865589086668455</v>
      </c>
      <c r="X32" s="225">
        <f t="shared" ref="X32" si="378">+X62+X94</f>
        <v>1228122</v>
      </c>
      <c r="Y32" s="325">
        <f t="shared" ref="Y32" si="379">+X32/X$13</f>
        <v>0.40946708551744099</v>
      </c>
      <c r="Z32" s="225">
        <f t="shared" ref="Z32" si="380">+Z62+Z94</f>
        <v>1060907</v>
      </c>
      <c r="AA32" s="328">
        <f t="shared" ref="AA32" si="381">+Z32/Z$13</f>
        <v>0.38939769101062149</v>
      </c>
    </row>
    <row r="33" spans="2:27" x14ac:dyDescent="0.25">
      <c r="B33" s="72">
        <v>210</v>
      </c>
      <c r="C33" s="73" t="s">
        <v>31</v>
      </c>
      <c r="D33" s="228">
        <f t="shared" si="0"/>
        <v>1164145</v>
      </c>
      <c r="E33" s="326">
        <f t="shared" si="1"/>
        <v>0.2806078790856022</v>
      </c>
      <c r="F33" s="228">
        <f t="shared" si="0"/>
        <v>1238416</v>
      </c>
      <c r="G33" s="326">
        <f t="shared" si="1"/>
        <v>0.27097324173809234</v>
      </c>
      <c r="H33" s="228">
        <f t="shared" ref="H33" si="382">+H63+H95</f>
        <v>1129410</v>
      </c>
      <c r="I33" s="326">
        <f t="shared" ref="I33" si="383">+H33/H$13</f>
        <v>0.28563523433945476</v>
      </c>
      <c r="J33" s="228">
        <f t="shared" ref="J33" si="384">+J63+J95</f>
        <v>2226960</v>
      </c>
      <c r="K33" s="326">
        <f t="shared" ref="K33" si="385">+J33/J$13</f>
        <v>0.36151766119358814</v>
      </c>
      <c r="L33" s="228">
        <f t="shared" ref="L33" si="386">+L63+L95</f>
        <v>1762494</v>
      </c>
      <c r="M33" s="326">
        <f t="shared" ref="M33" si="387">+L33/L$13</f>
        <v>0.32115239894825648</v>
      </c>
      <c r="N33" s="228">
        <f t="shared" ref="N33" si="388">+N63+N95</f>
        <v>1218860</v>
      </c>
      <c r="O33" s="326">
        <f t="shared" ref="O33" si="389">+N33/N$13</f>
        <v>0.30507636295191654</v>
      </c>
      <c r="P33" s="228">
        <f t="shared" ref="P33" si="390">+P63+P95</f>
        <v>160935</v>
      </c>
      <c r="Q33" s="326">
        <f t="shared" ref="Q33" si="391">+P33/P$13</f>
        <v>8.1468585984578498E-2</v>
      </c>
      <c r="R33" s="228">
        <f t="shared" ref="R33" si="392">+R63+R95</f>
        <v>1676896</v>
      </c>
      <c r="S33" s="326">
        <f t="shared" ref="S33" si="393">+R33/R$13</f>
        <v>0.36917763388913022</v>
      </c>
      <c r="T33" s="228">
        <f t="shared" ref="T33" si="394">+T63+T95</f>
        <v>1086136</v>
      </c>
      <c r="U33" s="326">
        <f t="shared" ref="U33" si="395">+T33/T$13</f>
        <v>0.35423538766306323</v>
      </c>
      <c r="V33" s="228">
        <f t="shared" ref="V33" si="396">+V63+V95</f>
        <v>474842</v>
      </c>
      <c r="W33" s="326">
        <f t="shared" ref="W33" si="397">+V33/V$13</f>
        <v>0.26648162011881737</v>
      </c>
      <c r="X33" s="228">
        <f t="shared" ref="X33" si="398">+X63+X95</f>
        <v>1031922</v>
      </c>
      <c r="Y33" s="326">
        <f t="shared" ref="Y33" si="399">+X33/X$13</f>
        <v>0.34405221453677137</v>
      </c>
      <c r="Z33" s="228">
        <f t="shared" ref="Z33" si="400">+Z63+Z95</f>
        <v>891815</v>
      </c>
      <c r="AA33" s="329">
        <f t="shared" ref="AA33" si="401">+Z33/Z$13</f>
        <v>0.32733378308243549</v>
      </c>
    </row>
    <row r="39" spans="2:27" ht="13" x14ac:dyDescent="0.3">
      <c r="B39" s="196" t="s">
        <v>169</v>
      </c>
      <c r="D39" s="198">
        <v>601</v>
      </c>
    </row>
    <row r="40" spans="2:27" ht="13" x14ac:dyDescent="0.3">
      <c r="B40" s="202" t="s">
        <v>0</v>
      </c>
      <c r="C40" s="203" t="s">
        <v>1</v>
      </c>
      <c r="D40" s="216" t="s">
        <v>171</v>
      </c>
      <c r="E40" s="217" t="s">
        <v>33</v>
      </c>
      <c r="F40" s="216" t="s">
        <v>172</v>
      </c>
      <c r="G40" s="217" t="s">
        <v>33</v>
      </c>
      <c r="H40" s="216" t="s">
        <v>173</v>
      </c>
      <c r="I40" s="217" t="s">
        <v>33</v>
      </c>
      <c r="J40" s="216" t="s">
        <v>174</v>
      </c>
      <c r="K40" s="217" t="s">
        <v>33</v>
      </c>
      <c r="L40" s="216" t="s">
        <v>175</v>
      </c>
      <c r="M40" s="217" t="s">
        <v>33</v>
      </c>
      <c r="N40" s="216" t="s">
        <v>176</v>
      </c>
      <c r="O40" s="217" t="s">
        <v>33</v>
      </c>
      <c r="P40" s="216" t="s">
        <v>177</v>
      </c>
      <c r="Q40" s="217" t="s">
        <v>33</v>
      </c>
      <c r="R40" s="216" t="s">
        <v>178</v>
      </c>
      <c r="S40" s="217" t="s">
        <v>33</v>
      </c>
      <c r="T40" s="216" t="s">
        <v>179</v>
      </c>
      <c r="U40" s="217" t="s">
        <v>33</v>
      </c>
      <c r="V40" s="216" t="s">
        <v>180</v>
      </c>
      <c r="W40" s="217" t="s">
        <v>33</v>
      </c>
      <c r="X40" s="216" t="s">
        <v>181</v>
      </c>
      <c r="Y40" s="217" t="s">
        <v>33</v>
      </c>
      <c r="Z40" s="216" t="s">
        <v>182</v>
      </c>
      <c r="AA40" s="218" t="s">
        <v>33</v>
      </c>
    </row>
    <row r="41" spans="2:27" x14ac:dyDescent="0.25">
      <c r="B41" s="191" t="s">
        <v>251</v>
      </c>
      <c r="C41" s="192" t="s">
        <v>251</v>
      </c>
      <c r="D41" s="219"/>
      <c r="E41" s="220"/>
      <c r="F41" s="219"/>
      <c r="G41" s="220"/>
      <c r="H41" s="219"/>
      <c r="I41" s="220"/>
      <c r="J41" s="219"/>
      <c r="K41" s="220"/>
      <c r="L41" s="219"/>
      <c r="M41" s="220"/>
      <c r="N41" s="219"/>
      <c r="O41" s="220"/>
      <c r="P41" s="219"/>
      <c r="Q41" s="220"/>
      <c r="R41" s="219"/>
      <c r="S41" s="220"/>
      <c r="T41" s="219"/>
      <c r="U41" s="220"/>
      <c r="V41" s="219"/>
      <c r="W41" s="220"/>
      <c r="X41" s="219"/>
      <c r="Y41" s="220"/>
      <c r="Z41" s="219"/>
      <c r="AA41" s="221"/>
    </row>
    <row r="42" spans="2:27" x14ac:dyDescent="0.25">
      <c r="B42" s="213"/>
      <c r="C42" s="214"/>
      <c r="D42" s="222"/>
      <c r="E42" s="223"/>
      <c r="F42" s="222"/>
      <c r="G42" s="223"/>
      <c r="H42" s="222"/>
      <c r="I42" s="223"/>
      <c r="J42" s="222"/>
      <c r="K42" s="223"/>
      <c r="L42" s="222"/>
      <c r="M42" s="223"/>
      <c r="N42" s="222"/>
      <c r="O42" s="223"/>
      <c r="P42" s="222"/>
      <c r="Q42" s="223"/>
      <c r="R42" s="222"/>
      <c r="S42" s="223"/>
      <c r="T42" s="222"/>
      <c r="U42" s="223"/>
      <c r="V42" s="222"/>
      <c r="W42" s="223"/>
      <c r="X42" s="222"/>
      <c r="Y42" s="223"/>
      <c r="Z42" s="222"/>
      <c r="AA42" s="224"/>
    </row>
    <row r="43" spans="2:27" x14ac:dyDescent="0.25">
      <c r="B43" s="66">
        <v>30</v>
      </c>
      <c r="C43" s="67" t="s">
        <v>16</v>
      </c>
      <c r="D43" s="231">
        <v>2031692</v>
      </c>
      <c r="E43" s="232"/>
      <c r="F43" s="231">
        <v>1921712</v>
      </c>
      <c r="G43" s="232"/>
      <c r="H43" s="231">
        <v>2125964</v>
      </c>
      <c r="I43" s="232"/>
      <c r="J43" s="231">
        <v>3756493</v>
      </c>
      <c r="K43" s="232"/>
      <c r="L43" s="231">
        <v>3279125</v>
      </c>
      <c r="M43" s="232"/>
      <c r="N43" s="231">
        <v>2035832</v>
      </c>
      <c r="O43" s="232"/>
      <c r="P43" s="231">
        <v>890312</v>
      </c>
      <c r="Q43" s="232"/>
      <c r="R43" s="231">
        <v>3261557</v>
      </c>
      <c r="S43" s="232"/>
      <c r="T43" s="231">
        <v>1869980</v>
      </c>
      <c r="U43" s="232"/>
      <c r="V43" s="231">
        <v>890312</v>
      </c>
      <c r="W43" s="232"/>
      <c r="X43" s="231">
        <v>1827000</v>
      </c>
      <c r="Y43" s="232"/>
      <c r="Z43" s="231">
        <v>1806062</v>
      </c>
      <c r="AA43" s="233">
        <v>0</v>
      </c>
    </row>
    <row r="44" spans="2:27" x14ac:dyDescent="0.25">
      <c r="B44" s="68">
        <v>40</v>
      </c>
      <c r="C44" s="69" t="s">
        <v>252</v>
      </c>
      <c r="D44" s="225">
        <v>0</v>
      </c>
      <c r="E44" s="226"/>
      <c r="F44" s="225">
        <v>0</v>
      </c>
      <c r="G44" s="226"/>
      <c r="H44" s="225">
        <v>0</v>
      </c>
      <c r="I44" s="226"/>
      <c r="J44" s="225">
        <v>0</v>
      </c>
      <c r="K44" s="226"/>
      <c r="L44" s="225">
        <v>0</v>
      </c>
      <c r="M44" s="226"/>
      <c r="N44" s="225">
        <v>0</v>
      </c>
      <c r="O44" s="226"/>
      <c r="P44" s="225">
        <v>0</v>
      </c>
      <c r="Q44" s="226"/>
      <c r="R44" s="225">
        <v>0</v>
      </c>
      <c r="S44" s="226"/>
      <c r="T44" s="225">
        <v>0</v>
      </c>
      <c r="U44" s="226"/>
      <c r="V44" s="225">
        <v>0</v>
      </c>
      <c r="W44" s="226"/>
      <c r="X44" s="225">
        <v>0</v>
      </c>
      <c r="Y44" s="226"/>
      <c r="Z44" s="225">
        <v>0</v>
      </c>
      <c r="AA44" s="227">
        <v>0</v>
      </c>
    </row>
    <row r="45" spans="2:27" x14ac:dyDescent="0.25">
      <c r="B45" s="68">
        <v>50</v>
      </c>
      <c r="C45" s="69" t="s">
        <v>17</v>
      </c>
      <c r="D45" s="225">
        <v>2031692</v>
      </c>
      <c r="E45" s="226"/>
      <c r="F45" s="225">
        <v>1921712</v>
      </c>
      <c r="G45" s="226"/>
      <c r="H45" s="225">
        <v>2125964</v>
      </c>
      <c r="I45" s="226"/>
      <c r="J45" s="225">
        <v>3756493</v>
      </c>
      <c r="K45" s="226"/>
      <c r="L45" s="225">
        <v>3279125</v>
      </c>
      <c r="M45" s="226"/>
      <c r="N45" s="225">
        <v>2035832</v>
      </c>
      <c r="O45" s="226"/>
      <c r="P45" s="225">
        <v>890312</v>
      </c>
      <c r="Q45" s="226"/>
      <c r="R45" s="225">
        <v>3261557</v>
      </c>
      <c r="S45" s="226"/>
      <c r="T45" s="225">
        <v>1869980</v>
      </c>
      <c r="U45" s="226"/>
      <c r="V45" s="225">
        <v>890312</v>
      </c>
      <c r="W45" s="226"/>
      <c r="X45" s="225">
        <v>1827000</v>
      </c>
      <c r="Y45" s="226"/>
      <c r="Z45" s="225">
        <v>1806062</v>
      </c>
      <c r="AA45" s="227">
        <v>0</v>
      </c>
    </row>
    <row r="46" spans="2:27" x14ac:dyDescent="0.25">
      <c r="B46" s="68">
        <v>60</v>
      </c>
      <c r="C46" s="69" t="s">
        <v>18</v>
      </c>
      <c r="D46" s="225">
        <v>881451</v>
      </c>
      <c r="E46" s="226"/>
      <c r="F46" s="225">
        <v>873505</v>
      </c>
      <c r="G46" s="226"/>
      <c r="H46" s="225">
        <v>1021848</v>
      </c>
      <c r="I46" s="226"/>
      <c r="J46" s="225">
        <v>1647166</v>
      </c>
      <c r="K46" s="226"/>
      <c r="L46" s="225">
        <v>1641875</v>
      </c>
      <c r="M46" s="226"/>
      <c r="N46" s="225">
        <v>881988</v>
      </c>
      <c r="O46" s="226"/>
      <c r="P46" s="225">
        <v>809375</v>
      </c>
      <c r="Q46" s="226"/>
      <c r="R46" s="225">
        <v>1555054</v>
      </c>
      <c r="S46" s="226"/>
      <c r="T46" s="225">
        <v>818061</v>
      </c>
      <c r="U46" s="226"/>
      <c r="V46" s="225">
        <v>404688</v>
      </c>
      <c r="W46" s="226"/>
      <c r="X46" s="225">
        <v>763125</v>
      </c>
      <c r="Y46" s="226"/>
      <c r="Z46" s="225">
        <v>820938</v>
      </c>
      <c r="AA46" s="227">
        <v>0</v>
      </c>
    </row>
    <row r="47" spans="2:27" x14ac:dyDescent="0.25">
      <c r="B47" s="68">
        <v>70</v>
      </c>
      <c r="C47" s="69" t="s">
        <v>584</v>
      </c>
      <c r="D47" s="225">
        <v>1150241</v>
      </c>
      <c r="E47" s="226"/>
      <c r="F47" s="225">
        <v>1048207</v>
      </c>
      <c r="G47" s="226"/>
      <c r="H47" s="225">
        <v>1104116</v>
      </c>
      <c r="I47" s="226"/>
      <c r="J47" s="225">
        <v>2109327</v>
      </c>
      <c r="K47" s="226"/>
      <c r="L47" s="225">
        <v>1637250</v>
      </c>
      <c r="M47" s="226"/>
      <c r="N47" s="225">
        <v>1153844</v>
      </c>
      <c r="O47" s="226"/>
      <c r="P47" s="225">
        <v>80937</v>
      </c>
      <c r="Q47" s="226"/>
      <c r="R47" s="225">
        <v>1706503</v>
      </c>
      <c r="S47" s="226"/>
      <c r="T47" s="225">
        <v>1051919</v>
      </c>
      <c r="U47" s="226"/>
      <c r="V47" s="225">
        <v>485624</v>
      </c>
      <c r="W47" s="226"/>
      <c r="X47" s="225">
        <v>1063875</v>
      </c>
      <c r="Y47" s="226"/>
      <c r="Z47" s="225">
        <v>985124</v>
      </c>
      <c r="AA47" s="227">
        <v>0</v>
      </c>
    </row>
    <row r="48" spans="2:27" x14ac:dyDescent="0.25">
      <c r="B48" s="68">
        <v>80</v>
      </c>
      <c r="C48" s="69" t="s">
        <v>20</v>
      </c>
      <c r="D48" s="225">
        <v>105958</v>
      </c>
      <c r="E48" s="226"/>
      <c r="F48" s="225">
        <v>101801</v>
      </c>
      <c r="G48" s="226"/>
      <c r="H48" s="225">
        <v>109521</v>
      </c>
      <c r="I48" s="226"/>
      <c r="J48" s="225">
        <v>171155</v>
      </c>
      <c r="K48" s="226"/>
      <c r="L48" s="225">
        <v>153111</v>
      </c>
      <c r="M48" s="226"/>
      <c r="N48" s="225">
        <v>106114</v>
      </c>
      <c r="O48" s="226"/>
      <c r="P48" s="225">
        <v>62814</v>
      </c>
      <c r="Q48" s="226"/>
      <c r="R48" s="225">
        <v>152447</v>
      </c>
      <c r="S48" s="226"/>
      <c r="T48" s="225">
        <v>99845</v>
      </c>
      <c r="U48" s="226"/>
      <c r="V48" s="225">
        <v>62814</v>
      </c>
      <c r="W48" s="226"/>
      <c r="X48" s="225">
        <v>98221</v>
      </c>
      <c r="Y48" s="226"/>
      <c r="Z48" s="225">
        <v>97429</v>
      </c>
      <c r="AA48" s="227">
        <v>0</v>
      </c>
    </row>
    <row r="49" spans="2:27" x14ac:dyDescent="0.25">
      <c r="B49" s="68">
        <v>90</v>
      </c>
      <c r="C49" s="69" t="s">
        <v>64</v>
      </c>
      <c r="D49" s="225">
        <v>165000</v>
      </c>
      <c r="E49" s="226"/>
      <c r="F49" s="225">
        <v>140000</v>
      </c>
      <c r="G49" s="226"/>
      <c r="H49" s="225">
        <v>184000</v>
      </c>
      <c r="I49" s="226"/>
      <c r="J49" s="225">
        <v>135000</v>
      </c>
      <c r="K49" s="226"/>
      <c r="L49" s="225">
        <v>140000</v>
      </c>
      <c r="M49" s="226"/>
      <c r="N49" s="225">
        <v>184000</v>
      </c>
      <c r="O49" s="226"/>
      <c r="P49" s="225">
        <v>135000</v>
      </c>
      <c r="Q49" s="226"/>
      <c r="R49" s="225">
        <v>157000</v>
      </c>
      <c r="S49" s="226"/>
      <c r="T49" s="225">
        <v>167000</v>
      </c>
      <c r="U49" s="226"/>
      <c r="V49" s="225">
        <v>135000</v>
      </c>
      <c r="W49" s="226"/>
      <c r="X49" s="225">
        <v>139000</v>
      </c>
      <c r="Y49" s="226"/>
      <c r="Z49" s="225">
        <v>167000</v>
      </c>
      <c r="AA49" s="227">
        <v>0</v>
      </c>
    </row>
    <row r="50" spans="2:27" x14ac:dyDescent="0.25">
      <c r="B50" s="68">
        <v>100</v>
      </c>
      <c r="C50" s="69" t="s">
        <v>585</v>
      </c>
      <c r="D50" s="225">
        <v>3625</v>
      </c>
      <c r="E50" s="226"/>
      <c r="F50" s="225">
        <v>3625</v>
      </c>
      <c r="G50" s="226"/>
      <c r="H50" s="225">
        <v>3625</v>
      </c>
      <c r="I50" s="226"/>
      <c r="J50" s="225">
        <v>3625</v>
      </c>
      <c r="K50" s="226"/>
      <c r="L50" s="225">
        <v>3625</v>
      </c>
      <c r="M50" s="226"/>
      <c r="N50" s="225">
        <v>3625</v>
      </c>
      <c r="O50" s="226"/>
      <c r="P50" s="225">
        <v>3625</v>
      </c>
      <c r="Q50" s="226"/>
      <c r="R50" s="225">
        <v>3625</v>
      </c>
      <c r="S50" s="226"/>
      <c r="T50" s="225">
        <v>3625</v>
      </c>
      <c r="U50" s="226"/>
      <c r="V50" s="225">
        <v>3625</v>
      </c>
      <c r="W50" s="226"/>
      <c r="X50" s="225">
        <v>3625</v>
      </c>
      <c r="Y50" s="226"/>
      <c r="Z50" s="225">
        <v>3625</v>
      </c>
      <c r="AA50" s="227">
        <v>0</v>
      </c>
    </row>
    <row r="51" spans="2:27" x14ac:dyDescent="0.25">
      <c r="B51" s="68">
        <v>110</v>
      </c>
      <c r="C51" s="69" t="s">
        <v>23</v>
      </c>
      <c r="D51" s="225">
        <v>274583</v>
      </c>
      <c r="E51" s="226"/>
      <c r="F51" s="225">
        <v>245426</v>
      </c>
      <c r="G51" s="226"/>
      <c r="H51" s="225">
        <v>297146</v>
      </c>
      <c r="I51" s="226"/>
      <c r="J51" s="225">
        <v>309780</v>
      </c>
      <c r="K51" s="226"/>
      <c r="L51" s="225">
        <v>296736</v>
      </c>
      <c r="M51" s="226"/>
      <c r="N51" s="225">
        <v>293739</v>
      </c>
      <c r="O51" s="226"/>
      <c r="P51" s="225">
        <v>201439</v>
      </c>
      <c r="Q51" s="226"/>
      <c r="R51" s="225">
        <v>313072</v>
      </c>
      <c r="S51" s="226"/>
      <c r="T51" s="225">
        <v>270470</v>
      </c>
      <c r="U51" s="226"/>
      <c r="V51" s="225">
        <v>201439</v>
      </c>
      <c r="W51" s="226"/>
      <c r="X51" s="225">
        <v>240846</v>
      </c>
      <c r="Y51" s="226"/>
      <c r="Z51" s="225">
        <v>268054</v>
      </c>
      <c r="AA51" s="227">
        <v>0</v>
      </c>
    </row>
    <row r="52" spans="2:27" x14ac:dyDescent="0.25">
      <c r="B52" s="68">
        <v>120</v>
      </c>
      <c r="C52" s="69" t="s">
        <v>24</v>
      </c>
      <c r="D52" s="225">
        <v>875658</v>
      </c>
      <c r="E52" s="226"/>
      <c r="F52" s="225">
        <v>802781</v>
      </c>
      <c r="G52" s="226"/>
      <c r="H52" s="225">
        <v>806970</v>
      </c>
      <c r="I52" s="226"/>
      <c r="J52" s="225">
        <v>1799547</v>
      </c>
      <c r="K52" s="226"/>
      <c r="L52" s="225">
        <v>1340514</v>
      </c>
      <c r="M52" s="226"/>
      <c r="N52" s="225">
        <v>860105</v>
      </c>
      <c r="O52" s="226"/>
      <c r="P52" s="225">
        <v>-120502</v>
      </c>
      <c r="Q52" s="226"/>
      <c r="R52" s="225">
        <v>1393431</v>
      </c>
      <c r="S52" s="226"/>
      <c r="T52" s="225">
        <v>781449</v>
      </c>
      <c r="U52" s="226"/>
      <c r="V52" s="225">
        <v>284185</v>
      </c>
      <c r="W52" s="226"/>
      <c r="X52" s="225">
        <v>823029</v>
      </c>
      <c r="Y52" s="226"/>
      <c r="Z52" s="225">
        <v>717070</v>
      </c>
      <c r="AA52" s="227">
        <v>0</v>
      </c>
    </row>
    <row r="53" spans="2:27" x14ac:dyDescent="0.25">
      <c r="B53" s="68">
        <v>130</v>
      </c>
      <c r="C53" s="69" t="s">
        <v>586</v>
      </c>
      <c r="D53" s="225">
        <v>-93000</v>
      </c>
      <c r="E53" s="226"/>
      <c r="F53" s="225">
        <v>-93000</v>
      </c>
      <c r="G53" s="226"/>
      <c r="H53" s="225">
        <v>-93000</v>
      </c>
      <c r="I53" s="226"/>
      <c r="J53" s="225">
        <v>-93000</v>
      </c>
      <c r="K53" s="226"/>
      <c r="L53" s="225">
        <v>-93000</v>
      </c>
      <c r="M53" s="226"/>
      <c r="N53" s="225">
        <v>-93000</v>
      </c>
      <c r="O53" s="226"/>
      <c r="P53" s="225">
        <v>-93000</v>
      </c>
      <c r="Q53" s="226"/>
      <c r="R53" s="225">
        <v>-93000</v>
      </c>
      <c r="S53" s="226"/>
      <c r="T53" s="225">
        <v>-93000</v>
      </c>
      <c r="U53" s="226"/>
      <c r="V53" s="225">
        <v>-93000</v>
      </c>
      <c r="W53" s="226"/>
      <c r="X53" s="225">
        <v>-93000</v>
      </c>
      <c r="Y53" s="226"/>
      <c r="Z53" s="225">
        <v>-93000</v>
      </c>
      <c r="AA53" s="227">
        <v>0</v>
      </c>
    </row>
    <row r="54" spans="2:27" x14ac:dyDescent="0.25">
      <c r="B54" s="68">
        <v>135</v>
      </c>
      <c r="C54" s="69" t="s">
        <v>26</v>
      </c>
      <c r="D54" s="225">
        <v>0</v>
      </c>
      <c r="E54" s="226"/>
      <c r="F54" s="225">
        <v>0</v>
      </c>
      <c r="G54" s="226"/>
      <c r="H54" s="225">
        <v>0</v>
      </c>
      <c r="I54" s="226"/>
      <c r="J54" s="225">
        <v>0</v>
      </c>
      <c r="K54" s="226"/>
      <c r="L54" s="225">
        <v>0</v>
      </c>
      <c r="M54" s="226"/>
      <c r="N54" s="225">
        <v>0</v>
      </c>
      <c r="O54" s="226"/>
      <c r="P54" s="225">
        <v>0</v>
      </c>
      <c r="Q54" s="226"/>
      <c r="R54" s="225">
        <v>0</v>
      </c>
      <c r="S54" s="226"/>
      <c r="T54" s="225">
        <v>0</v>
      </c>
      <c r="U54" s="226"/>
      <c r="V54" s="225">
        <v>0</v>
      </c>
      <c r="W54" s="226"/>
      <c r="X54" s="225">
        <v>0</v>
      </c>
      <c r="Y54" s="226"/>
      <c r="Z54" s="225">
        <v>0</v>
      </c>
      <c r="AA54" s="227">
        <v>0</v>
      </c>
    </row>
    <row r="55" spans="2:27" x14ac:dyDescent="0.25">
      <c r="B55" s="68">
        <v>140</v>
      </c>
      <c r="C55" s="69" t="s">
        <v>27</v>
      </c>
      <c r="D55" s="225">
        <v>3000</v>
      </c>
      <c r="E55" s="226"/>
      <c r="F55" s="225">
        <v>3000</v>
      </c>
      <c r="G55" s="226"/>
      <c r="H55" s="225">
        <v>3000</v>
      </c>
      <c r="I55" s="226"/>
      <c r="J55" s="225">
        <v>3000</v>
      </c>
      <c r="K55" s="226"/>
      <c r="L55" s="225">
        <v>3000</v>
      </c>
      <c r="M55" s="226"/>
      <c r="N55" s="225">
        <v>3000</v>
      </c>
      <c r="O55" s="226"/>
      <c r="P55" s="225">
        <v>3000</v>
      </c>
      <c r="Q55" s="226"/>
      <c r="R55" s="225">
        <v>3000</v>
      </c>
      <c r="S55" s="226"/>
      <c r="T55" s="225">
        <v>3000</v>
      </c>
      <c r="U55" s="226"/>
      <c r="V55" s="225">
        <v>3000</v>
      </c>
      <c r="W55" s="226"/>
      <c r="X55" s="225">
        <v>3000</v>
      </c>
      <c r="Y55" s="226"/>
      <c r="Z55" s="225">
        <v>3000</v>
      </c>
      <c r="AA55" s="227">
        <v>0</v>
      </c>
    </row>
    <row r="56" spans="2:27" x14ac:dyDescent="0.25">
      <c r="B56" s="68">
        <v>150</v>
      </c>
      <c r="C56" s="69" t="s">
        <v>28</v>
      </c>
      <c r="D56" s="225">
        <v>250000</v>
      </c>
      <c r="E56" s="226"/>
      <c r="F56" s="225">
        <v>250000</v>
      </c>
      <c r="G56" s="226"/>
      <c r="H56" s="225">
        <v>250000</v>
      </c>
      <c r="I56" s="226"/>
      <c r="J56" s="225">
        <v>250000</v>
      </c>
      <c r="K56" s="226"/>
      <c r="L56" s="225">
        <v>250000</v>
      </c>
      <c r="M56" s="226"/>
      <c r="N56" s="225">
        <v>250000</v>
      </c>
      <c r="O56" s="226"/>
      <c r="P56" s="225">
        <v>250000</v>
      </c>
      <c r="Q56" s="226"/>
      <c r="R56" s="225">
        <v>250000</v>
      </c>
      <c r="S56" s="226"/>
      <c r="T56" s="225">
        <v>250000</v>
      </c>
      <c r="U56" s="226"/>
      <c r="V56" s="225">
        <v>250000</v>
      </c>
      <c r="W56" s="226"/>
      <c r="X56" s="225">
        <v>250000</v>
      </c>
      <c r="Y56" s="226"/>
      <c r="Z56" s="225">
        <v>250000</v>
      </c>
      <c r="AA56" s="227">
        <v>0</v>
      </c>
    </row>
    <row r="57" spans="2:27" x14ac:dyDescent="0.25">
      <c r="B57" s="68">
        <v>155</v>
      </c>
      <c r="C57" s="69" t="s">
        <v>587</v>
      </c>
      <c r="D57" s="225">
        <v>0</v>
      </c>
      <c r="E57" s="226"/>
      <c r="F57" s="225">
        <v>0</v>
      </c>
      <c r="G57" s="226"/>
      <c r="H57" s="225">
        <v>0</v>
      </c>
      <c r="I57" s="226"/>
      <c r="J57" s="225">
        <v>0</v>
      </c>
      <c r="K57" s="226"/>
      <c r="L57" s="225">
        <v>0</v>
      </c>
      <c r="M57" s="226"/>
      <c r="N57" s="225">
        <v>0</v>
      </c>
      <c r="O57" s="226"/>
      <c r="P57" s="225">
        <v>0</v>
      </c>
      <c r="Q57" s="226"/>
      <c r="R57" s="225">
        <v>0</v>
      </c>
      <c r="S57" s="226"/>
      <c r="T57" s="225">
        <v>0</v>
      </c>
      <c r="U57" s="226"/>
      <c r="V57" s="225">
        <v>0</v>
      </c>
      <c r="W57" s="226"/>
      <c r="X57" s="225">
        <v>0</v>
      </c>
      <c r="Y57" s="226"/>
      <c r="Z57" s="225">
        <v>0</v>
      </c>
      <c r="AA57" s="227">
        <v>0</v>
      </c>
    </row>
    <row r="58" spans="2:27" x14ac:dyDescent="0.25">
      <c r="B58" s="68">
        <v>160</v>
      </c>
      <c r="C58" s="69" t="s">
        <v>588</v>
      </c>
      <c r="D58" s="225">
        <v>-340000</v>
      </c>
      <c r="E58" s="226"/>
      <c r="F58" s="225">
        <v>-340000</v>
      </c>
      <c r="G58" s="226"/>
      <c r="H58" s="225">
        <v>-340000</v>
      </c>
      <c r="I58" s="226"/>
      <c r="J58" s="225">
        <v>-340000</v>
      </c>
      <c r="K58" s="226"/>
      <c r="L58" s="225">
        <v>-340000</v>
      </c>
      <c r="M58" s="226"/>
      <c r="N58" s="225">
        <v>-340000</v>
      </c>
      <c r="O58" s="226"/>
      <c r="P58" s="225">
        <v>-340000</v>
      </c>
      <c r="Q58" s="226"/>
      <c r="R58" s="225">
        <v>-340000</v>
      </c>
      <c r="S58" s="226"/>
      <c r="T58" s="225">
        <v>-340000</v>
      </c>
      <c r="U58" s="226"/>
      <c r="V58" s="225">
        <v>-340000</v>
      </c>
      <c r="W58" s="226"/>
      <c r="X58" s="225">
        <v>-340000</v>
      </c>
      <c r="Y58" s="226"/>
      <c r="Z58" s="225">
        <v>-340000</v>
      </c>
      <c r="AA58" s="227">
        <v>0</v>
      </c>
    </row>
    <row r="59" spans="2:27" x14ac:dyDescent="0.25">
      <c r="B59" s="68">
        <v>170</v>
      </c>
      <c r="C59" s="69" t="s">
        <v>29</v>
      </c>
      <c r="D59" s="225">
        <v>1215658</v>
      </c>
      <c r="E59" s="226"/>
      <c r="F59" s="225">
        <v>1142781</v>
      </c>
      <c r="G59" s="226"/>
      <c r="H59" s="225">
        <v>1146970</v>
      </c>
      <c r="I59" s="226"/>
      <c r="J59" s="225">
        <v>2139547</v>
      </c>
      <c r="K59" s="226"/>
      <c r="L59" s="225">
        <v>1680514</v>
      </c>
      <c r="M59" s="226"/>
      <c r="N59" s="225">
        <v>1200105</v>
      </c>
      <c r="O59" s="226"/>
      <c r="P59" s="225">
        <v>219498</v>
      </c>
      <c r="Q59" s="226"/>
      <c r="R59" s="225">
        <v>1733431</v>
      </c>
      <c r="S59" s="226"/>
      <c r="T59" s="225">
        <v>1121449</v>
      </c>
      <c r="U59" s="226"/>
      <c r="V59" s="225">
        <v>624185</v>
      </c>
      <c r="W59" s="226"/>
      <c r="X59" s="225">
        <v>1163029</v>
      </c>
      <c r="Y59" s="226"/>
      <c r="Z59" s="225">
        <v>1057070</v>
      </c>
      <c r="AA59" s="227">
        <v>0</v>
      </c>
    </row>
    <row r="60" spans="2:27" x14ac:dyDescent="0.25">
      <c r="B60" s="68">
        <v>180</v>
      </c>
      <c r="C60" s="69" t="s">
        <v>589</v>
      </c>
      <c r="D60" s="225">
        <v>60951</v>
      </c>
      <c r="E60" s="226"/>
      <c r="F60" s="225">
        <v>57651</v>
      </c>
      <c r="G60" s="226"/>
      <c r="H60" s="225">
        <v>63779</v>
      </c>
      <c r="I60" s="226"/>
      <c r="J60" s="225">
        <v>112695</v>
      </c>
      <c r="K60" s="226"/>
      <c r="L60" s="225">
        <v>98374</v>
      </c>
      <c r="M60" s="226"/>
      <c r="N60" s="225">
        <v>61075</v>
      </c>
      <c r="O60" s="226"/>
      <c r="P60" s="225">
        <v>26709</v>
      </c>
      <c r="Q60" s="226"/>
      <c r="R60" s="225">
        <v>97847</v>
      </c>
      <c r="S60" s="226"/>
      <c r="T60" s="225">
        <v>56099</v>
      </c>
      <c r="U60" s="226"/>
      <c r="V60" s="225">
        <v>26709</v>
      </c>
      <c r="W60" s="226"/>
      <c r="X60" s="225">
        <v>54810</v>
      </c>
      <c r="Y60" s="226"/>
      <c r="Z60" s="225">
        <v>54182</v>
      </c>
      <c r="AA60" s="227">
        <v>0</v>
      </c>
    </row>
    <row r="61" spans="2:27" x14ac:dyDescent="0.25">
      <c r="B61" s="68">
        <v>190</v>
      </c>
      <c r="C61" s="69" t="s">
        <v>590</v>
      </c>
      <c r="D61" s="225">
        <v>0</v>
      </c>
      <c r="E61" s="226"/>
      <c r="F61" s="225">
        <v>0</v>
      </c>
      <c r="G61" s="226"/>
      <c r="H61" s="225">
        <v>0</v>
      </c>
      <c r="I61" s="226"/>
      <c r="J61" s="225">
        <v>0</v>
      </c>
      <c r="K61" s="226"/>
      <c r="L61" s="225">
        <v>0</v>
      </c>
      <c r="M61" s="226"/>
      <c r="N61" s="225">
        <v>0</v>
      </c>
      <c r="O61" s="226"/>
      <c r="P61" s="225">
        <v>0</v>
      </c>
      <c r="Q61" s="226"/>
      <c r="R61" s="225">
        <v>0</v>
      </c>
      <c r="S61" s="226"/>
      <c r="T61" s="225">
        <v>0</v>
      </c>
      <c r="U61" s="226"/>
      <c r="V61" s="225">
        <v>0</v>
      </c>
      <c r="W61" s="226"/>
      <c r="X61" s="225">
        <v>0</v>
      </c>
      <c r="Y61" s="226"/>
      <c r="Z61" s="225">
        <v>0</v>
      </c>
      <c r="AA61" s="227">
        <v>0</v>
      </c>
    </row>
    <row r="62" spans="2:27" x14ac:dyDescent="0.25">
      <c r="B62" s="68">
        <v>200</v>
      </c>
      <c r="C62" s="69" t="s">
        <v>30</v>
      </c>
      <c r="D62" s="225">
        <v>1154707</v>
      </c>
      <c r="E62" s="226"/>
      <c r="F62" s="225">
        <v>1085130</v>
      </c>
      <c r="G62" s="226"/>
      <c r="H62" s="225">
        <v>1083191</v>
      </c>
      <c r="I62" s="226"/>
      <c r="J62" s="225">
        <v>2026852</v>
      </c>
      <c r="K62" s="226"/>
      <c r="L62" s="225">
        <v>1582140</v>
      </c>
      <c r="M62" s="226"/>
      <c r="N62" s="225">
        <v>1139030</v>
      </c>
      <c r="O62" s="226"/>
      <c r="P62" s="225">
        <v>192789</v>
      </c>
      <c r="Q62" s="226"/>
      <c r="R62" s="225">
        <v>1635584</v>
      </c>
      <c r="S62" s="226"/>
      <c r="T62" s="225">
        <v>1065350</v>
      </c>
      <c r="U62" s="226"/>
      <c r="V62" s="225">
        <v>597476</v>
      </c>
      <c r="W62" s="226"/>
      <c r="X62" s="225">
        <v>1108219</v>
      </c>
      <c r="Y62" s="226"/>
      <c r="Z62" s="225">
        <v>1002888</v>
      </c>
      <c r="AA62" s="227">
        <v>0</v>
      </c>
    </row>
    <row r="63" spans="2:27" x14ac:dyDescent="0.25">
      <c r="B63" s="72">
        <v>210</v>
      </c>
      <c r="C63" s="73" t="s">
        <v>31</v>
      </c>
      <c r="D63" s="228">
        <v>879283</v>
      </c>
      <c r="E63" s="229"/>
      <c r="F63" s="228">
        <v>806406</v>
      </c>
      <c r="G63" s="229"/>
      <c r="H63" s="228">
        <v>810595</v>
      </c>
      <c r="I63" s="229"/>
      <c r="J63" s="228">
        <v>1803172</v>
      </c>
      <c r="K63" s="229"/>
      <c r="L63" s="228">
        <v>1344139</v>
      </c>
      <c r="M63" s="229"/>
      <c r="N63" s="228">
        <v>863730</v>
      </c>
      <c r="O63" s="229"/>
      <c r="P63" s="228">
        <v>-116877</v>
      </c>
      <c r="Q63" s="229"/>
      <c r="R63" s="228">
        <v>1397056</v>
      </c>
      <c r="S63" s="229"/>
      <c r="T63" s="228">
        <v>785074</v>
      </c>
      <c r="U63" s="229"/>
      <c r="V63" s="228">
        <v>287810</v>
      </c>
      <c r="W63" s="229"/>
      <c r="X63" s="228">
        <v>826654</v>
      </c>
      <c r="Y63" s="229"/>
      <c r="Z63" s="228">
        <v>720695</v>
      </c>
      <c r="AA63" s="230">
        <v>0</v>
      </c>
    </row>
    <row r="64" spans="2:27" x14ac:dyDescent="0.25">
      <c r="E64" s="200"/>
      <c r="G64" s="200"/>
      <c r="I64" s="200"/>
      <c r="K64" s="200"/>
      <c r="M64" s="200"/>
      <c r="O64" s="200"/>
      <c r="Q64" s="200"/>
      <c r="S64" s="200"/>
      <c r="U64" s="200"/>
      <c r="W64" s="200"/>
      <c r="Y64" s="200"/>
      <c r="AA64" s="200"/>
    </row>
    <row r="65" spans="2:27" x14ac:dyDescent="0.25">
      <c r="E65" s="200"/>
      <c r="G65" s="200"/>
      <c r="I65" s="200"/>
      <c r="K65" s="200"/>
      <c r="M65" s="200"/>
      <c r="O65" s="200"/>
      <c r="Q65" s="200"/>
      <c r="S65" s="200"/>
      <c r="U65" s="200"/>
      <c r="W65" s="200"/>
      <c r="Y65" s="200"/>
      <c r="AA65" s="200"/>
    </row>
    <row r="71" spans="2:27" ht="13" x14ac:dyDescent="0.3">
      <c r="B71" s="196" t="s">
        <v>161</v>
      </c>
      <c r="D71" s="198">
        <v>601</v>
      </c>
    </row>
    <row r="72" spans="2:27" ht="13" x14ac:dyDescent="0.3">
      <c r="B72" s="202" t="s">
        <v>0</v>
      </c>
      <c r="C72" s="203" t="s">
        <v>1</v>
      </c>
      <c r="D72" s="216" t="s">
        <v>171</v>
      </c>
      <c r="E72" s="217" t="s">
        <v>33</v>
      </c>
      <c r="F72" s="216" t="s">
        <v>172</v>
      </c>
      <c r="G72" s="217" t="s">
        <v>33</v>
      </c>
      <c r="H72" s="216" t="s">
        <v>173</v>
      </c>
      <c r="I72" s="217" t="s">
        <v>33</v>
      </c>
      <c r="J72" s="216" t="s">
        <v>174</v>
      </c>
      <c r="K72" s="217" t="s">
        <v>33</v>
      </c>
      <c r="L72" s="216" t="s">
        <v>175</v>
      </c>
      <c r="M72" s="217" t="s">
        <v>33</v>
      </c>
      <c r="N72" s="216" t="s">
        <v>176</v>
      </c>
      <c r="O72" s="217" t="s">
        <v>33</v>
      </c>
      <c r="P72" s="216" t="s">
        <v>177</v>
      </c>
      <c r="Q72" s="217" t="s">
        <v>33</v>
      </c>
      <c r="R72" s="216" t="s">
        <v>178</v>
      </c>
      <c r="S72" s="217" t="s">
        <v>33</v>
      </c>
      <c r="T72" s="216" t="s">
        <v>179</v>
      </c>
      <c r="U72" s="217" t="s">
        <v>33</v>
      </c>
      <c r="V72" s="216" t="s">
        <v>180</v>
      </c>
      <c r="W72" s="217" t="s">
        <v>33</v>
      </c>
      <c r="X72" s="216" t="s">
        <v>181</v>
      </c>
      <c r="Y72" s="217" t="s">
        <v>33</v>
      </c>
      <c r="Z72" s="216" t="s">
        <v>182</v>
      </c>
      <c r="AA72" s="218" t="s">
        <v>33</v>
      </c>
    </row>
    <row r="73" spans="2:27" x14ac:dyDescent="0.25">
      <c r="B73" s="191" t="s">
        <v>251</v>
      </c>
      <c r="C73" s="192" t="s">
        <v>251</v>
      </c>
      <c r="D73" s="219"/>
      <c r="E73" s="220"/>
      <c r="F73" s="219"/>
      <c r="G73" s="220"/>
      <c r="H73" s="219"/>
      <c r="I73" s="220"/>
      <c r="J73" s="219"/>
      <c r="K73" s="220"/>
      <c r="L73" s="219"/>
      <c r="M73" s="220"/>
      <c r="N73" s="219"/>
      <c r="O73" s="220"/>
      <c r="P73" s="219"/>
      <c r="Q73" s="220"/>
      <c r="R73" s="219"/>
      <c r="S73" s="220"/>
      <c r="T73" s="219"/>
      <c r="U73" s="220"/>
      <c r="V73" s="219"/>
      <c r="W73" s="220"/>
      <c r="X73" s="219"/>
      <c r="Y73" s="220"/>
      <c r="Z73" s="219"/>
      <c r="AA73" s="221"/>
    </row>
    <row r="74" spans="2:27" x14ac:dyDescent="0.25">
      <c r="B74" s="213"/>
      <c r="C74" s="214"/>
      <c r="D74" s="222"/>
      <c r="E74" s="223"/>
      <c r="F74" s="222"/>
      <c r="G74" s="223"/>
      <c r="H74" s="222"/>
      <c r="I74" s="223"/>
      <c r="J74" s="222"/>
      <c r="K74" s="223"/>
      <c r="L74" s="222"/>
      <c r="M74" s="223"/>
      <c r="N74" s="222"/>
      <c r="O74" s="223"/>
      <c r="P74" s="222"/>
      <c r="Q74" s="223"/>
      <c r="R74" s="222"/>
      <c r="S74" s="223"/>
      <c r="T74" s="222"/>
      <c r="U74" s="223"/>
      <c r="V74" s="222"/>
      <c r="W74" s="223"/>
      <c r="X74" s="222"/>
      <c r="Y74" s="223"/>
      <c r="Z74" s="222"/>
      <c r="AA74" s="224"/>
    </row>
    <row r="75" spans="2:27" x14ac:dyDescent="0.25">
      <c r="B75" s="68">
        <v>30</v>
      </c>
      <c r="C75" s="69" t="s">
        <v>16</v>
      </c>
      <c r="D75" s="225">
        <v>2116962</v>
      </c>
      <c r="E75" s="226"/>
      <c r="F75" s="225">
        <v>2648540</v>
      </c>
      <c r="G75" s="226"/>
      <c r="H75" s="225">
        <v>1828065</v>
      </c>
      <c r="I75" s="226"/>
      <c r="J75" s="225">
        <v>2403538</v>
      </c>
      <c r="K75" s="226"/>
      <c r="L75" s="225">
        <v>2208905</v>
      </c>
      <c r="M75" s="226"/>
      <c r="N75" s="225">
        <v>1959430</v>
      </c>
      <c r="O75" s="226"/>
      <c r="P75" s="225">
        <v>1085112</v>
      </c>
      <c r="Q75" s="226"/>
      <c r="R75" s="225">
        <v>1280690</v>
      </c>
      <c r="S75" s="226"/>
      <c r="T75" s="225">
        <v>1196162</v>
      </c>
      <c r="U75" s="226"/>
      <c r="V75" s="225">
        <v>891582</v>
      </c>
      <c r="W75" s="226"/>
      <c r="X75" s="225">
        <v>1172318</v>
      </c>
      <c r="Y75" s="226"/>
      <c r="Z75" s="225">
        <v>918420</v>
      </c>
      <c r="AA75" s="227">
        <v>0</v>
      </c>
    </row>
    <row r="76" spans="2:27" x14ac:dyDescent="0.25">
      <c r="B76" s="68">
        <v>40</v>
      </c>
      <c r="C76" s="69" t="s">
        <v>252</v>
      </c>
      <c r="D76" s="225">
        <v>0</v>
      </c>
      <c r="E76" s="226"/>
      <c r="F76" s="225">
        <v>0</v>
      </c>
      <c r="G76" s="226"/>
      <c r="H76" s="225">
        <v>0</v>
      </c>
      <c r="I76" s="226"/>
      <c r="J76" s="225">
        <v>0</v>
      </c>
      <c r="K76" s="226"/>
      <c r="L76" s="225">
        <v>0</v>
      </c>
      <c r="M76" s="226"/>
      <c r="N76" s="225">
        <v>0</v>
      </c>
      <c r="O76" s="226"/>
      <c r="P76" s="225">
        <v>0</v>
      </c>
      <c r="Q76" s="226"/>
      <c r="R76" s="225">
        <v>0</v>
      </c>
      <c r="S76" s="226"/>
      <c r="T76" s="225">
        <v>0</v>
      </c>
      <c r="U76" s="226"/>
      <c r="V76" s="225">
        <v>0</v>
      </c>
      <c r="W76" s="226"/>
      <c r="X76" s="225">
        <v>0</v>
      </c>
      <c r="Y76" s="226"/>
      <c r="Z76" s="225">
        <v>0</v>
      </c>
      <c r="AA76" s="227">
        <v>0</v>
      </c>
    </row>
    <row r="77" spans="2:27" x14ac:dyDescent="0.25">
      <c r="B77" s="68">
        <v>50</v>
      </c>
      <c r="C77" s="69" t="s">
        <v>17</v>
      </c>
      <c r="D77" s="225">
        <v>2116962</v>
      </c>
      <c r="E77" s="226"/>
      <c r="F77" s="225">
        <v>2648540</v>
      </c>
      <c r="G77" s="226"/>
      <c r="H77" s="225">
        <v>1828065</v>
      </c>
      <c r="I77" s="226"/>
      <c r="J77" s="225">
        <v>2403538</v>
      </c>
      <c r="K77" s="226"/>
      <c r="L77" s="225">
        <v>2208905</v>
      </c>
      <c r="M77" s="226"/>
      <c r="N77" s="225">
        <v>1959430</v>
      </c>
      <c r="O77" s="226"/>
      <c r="P77" s="225">
        <v>1085112</v>
      </c>
      <c r="Q77" s="226"/>
      <c r="R77" s="225">
        <v>1280690</v>
      </c>
      <c r="S77" s="226"/>
      <c r="T77" s="225">
        <v>1196162</v>
      </c>
      <c r="U77" s="226"/>
      <c r="V77" s="225">
        <v>891582</v>
      </c>
      <c r="W77" s="226"/>
      <c r="X77" s="225">
        <v>1172318</v>
      </c>
      <c r="Y77" s="226"/>
      <c r="Z77" s="225">
        <v>918420</v>
      </c>
      <c r="AA77" s="227">
        <v>0</v>
      </c>
    </row>
    <row r="78" spans="2:27" x14ac:dyDescent="0.25">
      <c r="B78" s="68">
        <v>60</v>
      </c>
      <c r="C78" s="69" t="s">
        <v>18</v>
      </c>
      <c r="D78" s="225">
        <v>1718050</v>
      </c>
      <c r="E78" s="226"/>
      <c r="F78" s="225">
        <v>2098480</v>
      </c>
      <c r="G78" s="226"/>
      <c r="H78" s="225">
        <v>1377700</v>
      </c>
      <c r="I78" s="226"/>
      <c r="J78" s="225">
        <v>1860200</v>
      </c>
      <c r="K78" s="226"/>
      <c r="L78" s="225">
        <v>1676000</v>
      </c>
      <c r="M78" s="226"/>
      <c r="N78" s="225">
        <v>1468750</v>
      </c>
      <c r="O78" s="226"/>
      <c r="P78" s="225">
        <v>692750</v>
      </c>
      <c r="Q78" s="226"/>
      <c r="R78" s="225">
        <v>866300</v>
      </c>
      <c r="S78" s="226"/>
      <c r="T78" s="225">
        <v>779550</v>
      </c>
      <c r="U78" s="226"/>
      <c r="V78" s="225">
        <v>586000</v>
      </c>
      <c r="W78" s="226"/>
      <c r="X78" s="225">
        <v>852500</v>
      </c>
      <c r="Y78" s="226"/>
      <c r="Z78" s="225">
        <v>610750</v>
      </c>
      <c r="AA78" s="227">
        <v>0</v>
      </c>
    </row>
    <row r="79" spans="2:27" x14ac:dyDescent="0.25">
      <c r="B79" s="68">
        <v>70</v>
      </c>
      <c r="C79" s="69" t="s">
        <v>584</v>
      </c>
      <c r="D79" s="225">
        <v>398912</v>
      </c>
      <c r="E79" s="226"/>
      <c r="F79" s="225">
        <v>550060</v>
      </c>
      <c r="G79" s="226"/>
      <c r="H79" s="225">
        <v>450365</v>
      </c>
      <c r="I79" s="226"/>
      <c r="J79" s="225">
        <v>543338</v>
      </c>
      <c r="K79" s="226"/>
      <c r="L79" s="225">
        <v>532905</v>
      </c>
      <c r="M79" s="226"/>
      <c r="N79" s="225">
        <v>490680</v>
      </c>
      <c r="O79" s="226"/>
      <c r="P79" s="225">
        <v>392362</v>
      </c>
      <c r="Q79" s="226"/>
      <c r="R79" s="225">
        <v>414390</v>
      </c>
      <c r="S79" s="226"/>
      <c r="T79" s="225">
        <v>416612</v>
      </c>
      <c r="U79" s="226"/>
      <c r="V79" s="225">
        <v>305582</v>
      </c>
      <c r="W79" s="226"/>
      <c r="X79" s="225">
        <v>319818</v>
      </c>
      <c r="Y79" s="226"/>
      <c r="Z79" s="225">
        <v>307670</v>
      </c>
      <c r="AA79" s="227">
        <v>0</v>
      </c>
    </row>
    <row r="80" spans="2:27" x14ac:dyDescent="0.25">
      <c r="B80" s="68">
        <v>80</v>
      </c>
      <c r="C80" s="69" t="s">
        <v>20</v>
      </c>
      <c r="D80" s="225">
        <v>0</v>
      </c>
      <c r="E80" s="226"/>
      <c r="F80" s="225">
        <v>0</v>
      </c>
      <c r="G80" s="226"/>
      <c r="H80" s="225">
        <v>0</v>
      </c>
      <c r="I80" s="226"/>
      <c r="J80" s="225">
        <v>0</v>
      </c>
      <c r="K80" s="226"/>
      <c r="L80" s="225">
        <v>0</v>
      </c>
      <c r="M80" s="226"/>
      <c r="N80" s="225">
        <v>0</v>
      </c>
      <c r="O80" s="226"/>
      <c r="P80" s="225">
        <v>0</v>
      </c>
      <c r="Q80" s="226"/>
      <c r="R80" s="225">
        <v>0</v>
      </c>
      <c r="S80" s="226"/>
      <c r="T80" s="225">
        <v>0</v>
      </c>
      <c r="U80" s="226"/>
      <c r="V80" s="225">
        <v>0</v>
      </c>
      <c r="W80" s="226"/>
      <c r="X80" s="225">
        <v>0</v>
      </c>
      <c r="Y80" s="226"/>
      <c r="Z80" s="225">
        <v>0</v>
      </c>
      <c r="AA80" s="227">
        <v>0</v>
      </c>
    </row>
    <row r="81" spans="2:27" x14ac:dyDescent="0.25">
      <c r="B81" s="68">
        <v>90</v>
      </c>
      <c r="C81" s="69" t="s">
        <v>64</v>
      </c>
      <c r="D81" s="225">
        <v>114050</v>
      </c>
      <c r="E81" s="226"/>
      <c r="F81" s="225">
        <v>118050</v>
      </c>
      <c r="G81" s="226"/>
      <c r="H81" s="225">
        <v>131550</v>
      </c>
      <c r="I81" s="226"/>
      <c r="J81" s="225">
        <v>119550</v>
      </c>
      <c r="K81" s="226"/>
      <c r="L81" s="225">
        <v>114550</v>
      </c>
      <c r="M81" s="226"/>
      <c r="N81" s="225">
        <v>135550</v>
      </c>
      <c r="O81" s="226"/>
      <c r="P81" s="225">
        <v>114550</v>
      </c>
      <c r="Q81" s="226"/>
      <c r="R81" s="225">
        <v>134550</v>
      </c>
      <c r="S81" s="226"/>
      <c r="T81" s="225">
        <v>115550</v>
      </c>
      <c r="U81" s="226"/>
      <c r="V81" s="225">
        <v>118550</v>
      </c>
      <c r="W81" s="226"/>
      <c r="X81" s="225">
        <v>114550</v>
      </c>
      <c r="Y81" s="226"/>
      <c r="Z81" s="225">
        <v>136550</v>
      </c>
      <c r="AA81" s="227">
        <v>0</v>
      </c>
    </row>
    <row r="82" spans="2:27" x14ac:dyDescent="0.25">
      <c r="B82" s="68">
        <v>100</v>
      </c>
      <c r="C82" s="69" t="s">
        <v>585</v>
      </c>
      <c r="D82" s="225">
        <v>24300</v>
      </c>
      <c r="E82" s="226"/>
      <c r="F82" s="225">
        <v>24300</v>
      </c>
      <c r="G82" s="226"/>
      <c r="H82" s="225">
        <v>24300</v>
      </c>
      <c r="I82" s="226"/>
      <c r="J82" s="225">
        <v>24300</v>
      </c>
      <c r="K82" s="226"/>
      <c r="L82" s="225">
        <v>24300</v>
      </c>
      <c r="M82" s="226"/>
      <c r="N82" s="225">
        <v>24300</v>
      </c>
      <c r="O82" s="226"/>
      <c r="P82" s="225">
        <v>24300</v>
      </c>
      <c r="Q82" s="226"/>
      <c r="R82" s="225">
        <v>24300</v>
      </c>
      <c r="S82" s="226"/>
      <c r="T82" s="225">
        <v>24300</v>
      </c>
      <c r="U82" s="226"/>
      <c r="V82" s="225">
        <v>24300</v>
      </c>
      <c r="W82" s="226"/>
      <c r="X82" s="225">
        <v>24300</v>
      </c>
      <c r="Y82" s="226"/>
      <c r="Z82" s="225">
        <v>24300</v>
      </c>
      <c r="AA82" s="227">
        <v>0</v>
      </c>
    </row>
    <row r="83" spans="2:27" x14ac:dyDescent="0.25">
      <c r="B83" s="68">
        <v>110</v>
      </c>
      <c r="C83" s="69" t="s">
        <v>23</v>
      </c>
      <c r="D83" s="225">
        <v>138350</v>
      </c>
      <c r="E83" s="226"/>
      <c r="F83" s="225">
        <v>142350</v>
      </c>
      <c r="G83" s="226"/>
      <c r="H83" s="225">
        <v>155850</v>
      </c>
      <c r="I83" s="226"/>
      <c r="J83" s="225">
        <v>143850</v>
      </c>
      <c r="K83" s="226"/>
      <c r="L83" s="225">
        <v>138850</v>
      </c>
      <c r="M83" s="226"/>
      <c r="N83" s="225">
        <v>159850</v>
      </c>
      <c r="O83" s="226"/>
      <c r="P83" s="225">
        <v>138850</v>
      </c>
      <c r="Q83" s="226"/>
      <c r="R83" s="225">
        <v>158850</v>
      </c>
      <c r="S83" s="226"/>
      <c r="T83" s="225">
        <v>139850</v>
      </c>
      <c r="U83" s="226"/>
      <c r="V83" s="225">
        <v>142850</v>
      </c>
      <c r="W83" s="226"/>
      <c r="X83" s="225">
        <v>138850</v>
      </c>
      <c r="Y83" s="226"/>
      <c r="Z83" s="225">
        <v>160850</v>
      </c>
      <c r="AA83" s="227">
        <v>0</v>
      </c>
    </row>
    <row r="84" spans="2:27" x14ac:dyDescent="0.25">
      <c r="B84" s="68">
        <v>120</v>
      </c>
      <c r="C84" s="69" t="s">
        <v>24</v>
      </c>
      <c r="D84" s="225">
        <v>260562</v>
      </c>
      <c r="E84" s="226"/>
      <c r="F84" s="225">
        <v>407710</v>
      </c>
      <c r="G84" s="226"/>
      <c r="H84" s="225">
        <v>294515</v>
      </c>
      <c r="I84" s="226"/>
      <c r="J84" s="225">
        <v>399488</v>
      </c>
      <c r="K84" s="226"/>
      <c r="L84" s="225">
        <v>394055</v>
      </c>
      <c r="M84" s="226"/>
      <c r="N84" s="225">
        <v>330830</v>
      </c>
      <c r="O84" s="226"/>
      <c r="P84" s="225">
        <v>253512</v>
      </c>
      <c r="Q84" s="226"/>
      <c r="R84" s="225">
        <v>255540</v>
      </c>
      <c r="S84" s="226"/>
      <c r="T84" s="225">
        <v>276762</v>
      </c>
      <c r="U84" s="226"/>
      <c r="V84" s="225">
        <v>162732</v>
      </c>
      <c r="W84" s="226"/>
      <c r="X84" s="225">
        <v>180968</v>
      </c>
      <c r="Y84" s="226"/>
      <c r="Z84" s="225">
        <v>146820</v>
      </c>
      <c r="AA84" s="227">
        <v>0</v>
      </c>
    </row>
    <row r="85" spans="2:27" x14ac:dyDescent="0.25">
      <c r="B85" s="68">
        <v>130</v>
      </c>
      <c r="C85" s="69" t="s">
        <v>586</v>
      </c>
      <c r="D85" s="225">
        <v>-122640</v>
      </c>
      <c r="E85" s="226"/>
      <c r="F85" s="225">
        <v>16880</v>
      </c>
      <c r="G85" s="226"/>
      <c r="H85" s="225">
        <v>38570</v>
      </c>
      <c r="I85" s="226"/>
      <c r="J85" s="225">
        <v>-70220</v>
      </c>
      <c r="K85" s="226"/>
      <c r="L85" s="225">
        <v>110349</v>
      </c>
      <c r="M85" s="226"/>
      <c r="N85" s="225">
        <v>-70043</v>
      </c>
      <c r="O85" s="226"/>
      <c r="P85" s="225">
        <v>-35688</v>
      </c>
      <c r="Q85" s="226"/>
      <c r="R85" s="225">
        <v>16300</v>
      </c>
      <c r="S85" s="226"/>
      <c r="T85" s="225">
        <v>0</v>
      </c>
      <c r="U85" s="226"/>
      <c r="V85" s="225">
        <v>14700</v>
      </c>
      <c r="W85" s="226"/>
      <c r="X85" s="225">
        <v>13900</v>
      </c>
      <c r="Y85" s="226"/>
      <c r="Z85" s="225">
        <v>26200</v>
      </c>
      <c r="AA85" s="227">
        <v>0</v>
      </c>
    </row>
    <row r="86" spans="2:27" x14ac:dyDescent="0.25">
      <c r="B86" s="68">
        <v>135</v>
      </c>
      <c r="C86" s="69" t="s">
        <v>26</v>
      </c>
      <c r="D86" s="225">
        <v>-170878</v>
      </c>
      <c r="E86" s="226"/>
      <c r="F86" s="225">
        <v>34698</v>
      </c>
      <c r="G86" s="226"/>
      <c r="H86" s="225">
        <v>55187</v>
      </c>
      <c r="I86" s="226"/>
      <c r="J86" s="225">
        <v>-47440</v>
      </c>
      <c r="K86" s="226"/>
      <c r="L86" s="225">
        <v>134146</v>
      </c>
      <c r="M86" s="226"/>
      <c r="N86" s="225">
        <v>-44634</v>
      </c>
      <c r="O86" s="226"/>
      <c r="P86" s="225">
        <v>-12921</v>
      </c>
      <c r="Q86" s="226"/>
      <c r="R86" s="225">
        <v>40184</v>
      </c>
      <c r="S86" s="226"/>
      <c r="T86" s="225">
        <v>23919</v>
      </c>
      <c r="U86" s="226"/>
      <c r="V86" s="225">
        <v>38588</v>
      </c>
      <c r="W86" s="226"/>
      <c r="X86" s="225">
        <v>34150</v>
      </c>
      <c r="Y86" s="226"/>
      <c r="Z86" s="225">
        <v>42466</v>
      </c>
      <c r="AA86" s="227">
        <v>0</v>
      </c>
    </row>
    <row r="87" spans="2:27" x14ac:dyDescent="0.25">
      <c r="B87" s="68">
        <v>140</v>
      </c>
      <c r="C87" s="69" t="s">
        <v>27</v>
      </c>
      <c r="D87" s="225">
        <v>-170878</v>
      </c>
      <c r="E87" s="226"/>
      <c r="F87" s="225">
        <v>34698</v>
      </c>
      <c r="G87" s="226"/>
      <c r="H87" s="225">
        <v>55187</v>
      </c>
      <c r="I87" s="226"/>
      <c r="J87" s="225">
        <v>-47440</v>
      </c>
      <c r="K87" s="226"/>
      <c r="L87" s="225">
        <v>134146</v>
      </c>
      <c r="M87" s="226"/>
      <c r="N87" s="225">
        <v>-44634</v>
      </c>
      <c r="O87" s="226"/>
      <c r="P87" s="225">
        <v>-12921</v>
      </c>
      <c r="Q87" s="226"/>
      <c r="R87" s="225">
        <v>40184</v>
      </c>
      <c r="S87" s="226"/>
      <c r="T87" s="225">
        <v>23919</v>
      </c>
      <c r="U87" s="226"/>
      <c r="V87" s="225">
        <v>38588</v>
      </c>
      <c r="W87" s="226"/>
      <c r="X87" s="225">
        <v>34150</v>
      </c>
      <c r="Y87" s="226"/>
      <c r="Z87" s="225">
        <v>42466</v>
      </c>
      <c r="AA87" s="227">
        <v>0</v>
      </c>
    </row>
    <row r="88" spans="2:27" x14ac:dyDescent="0.25">
      <c r="B88" s="68">
        <v>150</v>
      </c>
      <c r="C88" s="69" t="s">
        <v>28</v>
      </c>
      <c r="D88" s="225">
        <v>0</v>
      </c>
      <c r="E88" s="226"/>
      <c r="F88" s="225">
        <v>0</v>
      </c>
      <c r="G88" s="226"/>
      <c r="H88" s="225">
        <v>297</v>
      </c>
      <c r="I88" s="226"/>
      <c r="J88" s="225">
        <v>4382</v>
      </c>
      <c r="K88" s="226"/>
      <c r="L88" s="225">
        <v>8399</v>
      </c>
      <c r="M88" s="226"/>
      <c r="N88" s="225">
        <v>10600</v>
      </c>
      <c r="O88" s="226"/>
      <c r="P88" s="225">
        <v>14035</v>
      </c>
      <c r="Q88" s="226"/>
      <c r="R88" s="225">
        <v>18047</v>
      </c>
      <c r="S88" s="226"/>
      <c r="T88" s="225">
        <v>17731</v>
      </c>
      <c r="U88" s="226"/>
      <c r="V88" s="225">
        <v>22258</v>
      </c>
      <c r="W88" s="226"/>
      <c r="X88" s="225">
        <v>23480</v>
      </c>
      <c r="Y88" s="226"/>
      <c r="Z88" s="225">
        <v>24168</v>
      </c>
      <c r="AA88" s="227">
        <v>0</v>
      </c>
    </row>
    <row r="89" spans="2:27" x14ac:dyDescent="0.25">
      <c r="B89" s="68">
        <v>155</v>
      </c>
      <c r="C89" s="69" t="s">
        <v>587</v>
      </c>
      <c r="D89" s="225">
        <v>0</v>
      </c>
      <c r="E89" s="226"/>
      <c r="F89" s="225">
        <v>0</v>
      </c>
      <c r="G89" s="226"/>
      <c r="H89" s="225">
        <v>0</v>
      </c>
      <c r="I89" s="226"/>
      <c r="J89" s="225">
        <v>0</v>
      </c>
      <c r="K89" s="226"/>
      <c r="L89" s="225">
        <v>0</v>
      </c>
      <c r="M89" s="226"/>
      <c r="N89" s="225">
        <v>0</v>
      </c>
      <c r="O89" s="226"/>
      <c r="P89" s="225">
        <v>0</v>
      </c>
      <c r="Q89" s="226"/>
      <c r="R89" s="225">
        <v>0</v>
      </c>
      <c r="S89" s="226"/>
      <c r="T89" s="225">
        <v>0</v>
      </c>
      <c r="U89" s="226"/>
      <c r="V89" s="225">
        <v>0</v>
      </c>
      <c r="W89" s="226"/>
      <c r="X89" s="225">
        <v>0</v>
      </c>
      <c r="Y89" s="226"/>
      <c r="Z89" s="225">
        <v>0</v>
      </c>
      <c r="AA89" s="227">
        <v>0</v>
      </c>
    </row>
    <row r="90" spans="2:27" x14ac:dyDescent="0.25">
      <c r="B90" s="68">
        <v>160</v>
      </c>
      <c r="C90" s="69" t="s">
        <v>588</v>
      </c>
      <c r="D90" s="225">
        <v>-464396</v>
      </c>
      <c r="E90" s="226"/>
      <c r="F90" s="225">
        <v>86276</v>
      </c>
      <c r="G90" s="226"/>
      <c r="H90" s="225">
        <v>148647</v>
      </c>
      <c r="I90" s="226"/>
      <c r="J90" s="225">
        <v>-169482</v>
      </c>
      <c r="K90" s="226"/>
      <c r="L90" s="225">
        <v>370242</v>
      </c>
      <c r="M90" s="226"/>
      <c r="N90" s="225">
        <v>-169911</v>
      </c>
      <c r="O90" s="226"/>
      <c r="P90" s="225">
        <v>-75565</v>
      </c>
      <c r="Q90" s="226"/>
      <c r="R90" s="225">
        <v>78621</v>
      </c>
      <c r="S90" s="226"/>
      <c r="T90" s="225">
        <v>30107</v>
      </c>
      <c r="U90" s="226"/>
      <c r="V90" s="225">
        <v>69618</v>
      </c>
      <c r="W90" s="226"/>
      <c r="X90" s="225">
        <v>58720</v>
      </c>
      <c r="Y90" s="226"/>
      <c r="Z90" s="225">
        <v>86964</v>
      </c>
      <c r="AA90" s="227">
        <v>0</v>
      </c>
    </row>
    <row r="91" spans="2:27" x14ac:dyDescent="0.25">
      <c r="B91" s="68">
        <v>170</v>
      </c>
      <c r="C91" s="69" t="s">
        <v>29</v>
      </c>
      <c r="D91" s="225">
        <v>724958</v>
      </c>
      <c r="E91" s="226"/>
      <c r="F91" s="225">
        <v>321434</v>
      </c>
      <c r="G91" s="226"/>
      <c r="H91" s="225">
        <v>145868</v>
      </c>
      <c r="I91" s="226"/>
      <c r="J91" s="225">
        <v>568970</v>
      </c>
      <c r="K91" s="226"/>
      <c r="L91" s="225">
        <v>23813</v>
      </c>
      <c r="M91" s="226"/>
      <c r="N91" s="225">
        <v>500741</v>
      </c>
      <c r="O91" s="226"/>
      <c r="P91" s="225">
        <v>329077</v>
      </c>
      <c r="Q91" s="226"/>
      <c r="R91" s="225">
        <v>176919</v>
      </c>
      <c r="S91" s="226"/>
      <c r="T91" s="225">
        <v>246655</v>
      </c>
      <c r="U91" s="226"/>
      <c r="V91" s="225">
        <v>93114</v>
      </c>
      <c r="W91" s="226"/>
      <c r="X91" s="225">
        <v>122248</v>
      </c>
      <c r="Y91" s="226"/>
      <c r="Z91" s="225">
        <v>59856</v>
      </c>
      <c r="AA91" s="227">
        <v>0</v>
      </c>
    </row>
    <row r="92" spans="2:27" x14ac:dyDescent="0.25">
      <c r="B92" s="68">
        <v>180</v>
      </c>
      <c r="C92" s="69" t="s">
        <v>589</v>
      </c>
      <c r="D92" s="225">
        <v>4234</v>
      </c>
      <c r="E92" s="226"/>
      <c r="F92" s="225">
        <v>5297</v>
      </c>
      <c r="G92" s="226"/>
      <c r="H92" s="225">
        <v>3656</v>
      </c>
      <c r="I92" s="226"/>
      <c r="J92" s="225">
        <v>4807</v>
      </c>
      <c r="K92" s="226"/>
      <c r="L92" s="225">
        <v>4418</v>
      </c>
      <c r="M92" s="226"/>
      <c r="N92" s="225">
        <v>3919</v>
      </c>
      <c r="O92" s="226"/>
      <c r="P92" s="225">
        <v>2170</v>
      </c>
      <c r="Q92" s="226"/>
      <c r="R92" s="225">
        <v>2561</v>
      </c>
      <c r="S92" s="226"/>
      <c r="T92" s="225">
        <v>2392</v>
      </c>
      <c r="U92" s="226"/>
      <c r="V92" s="225">
        <v>1783</v>
      </c>
      <c r="W92" s="226"/>
      <c r="X92" s="225">
        <v>2345</v>
      </c>
      <c r="Y92" s="226"/>
      <c r="Z92" s="225">
        <v>1837</v>
      </c>
      <c r="AA92" s="227">
        <v>0</v>
      </c>
    </row>
    <row r="93" spans="2:27" x14ac:dyDescent="0.25">
      <c r="B93" s="68">
        <v>190</v>
      </c>
      <c r="C93" s="69" t="s">
        <v>590</v>
      </c>
      <c r="D93" s="225">
        <v>0</v>
      </c>
      <c r="E93" s="226"/>
      <c r="F93" s="225">
        <v>0</v>
      </c>
      <c r="G93" s="226"/>
      <c r="H93" s="225">
        <v>0</v>
      </c>
      <c r="I93" s="226"/>
      <c r="J93" s="225">
        <v>0</v>
      </c>
      <c r="K93" s="226"/>
      <c r="L93" s="225">
        <v>0</v>
      </c>
      <c r="M93" s="226"/>
      <c r="N93" s="225">
        <v>0</v>
      </c>
      <c r="O93" s="226"/>
      <c r="P93" s="225">
        <v>0</v>
      </c>
      <c r="Q93" s="226"/>
      <c r="R93" s="225">
        <v>0</v>
      </c>
      <c r="S93" s="226"/>
      <c r="T93" s="225">
        <v>0</v>
      </c>
      <c r="U93" s="226"/>
      <c r="V93" s="225">
        <v>0</v>
      </c>
      <c r="W93" s="226"/>
      <c r="X93" s="225">
        <v>0</v>
      </c>
      <c r="Y93" s="226"/>
      <c r="Z93" s="225">
        <v>0</v>
      </c>
      <c r="AA93" s="227">
        <v>0</v>
      </c>
    </row>
    <row r="94" spans="2:27" x14ac:dyDescent="0.25">
      <c r="B94" s="68">
        <v>200</v>
      </c>
      <c r="C94" s="69" t="s">
        <v>30</v>
      </c>
      <c r="D94" s="225">
        <v>720724</v>
      </c>
      <c r="E94" s="226"/>
      <c r="F94" s="225">
        <v>316137</v>
      </c>
      <c r="G94" s="226"/>
      <c r="H94" s="225">
        <v>142212</v>
      </c>
      <c r="I94" s="226"/>
      <c r="J94" s="225">
        <v>564163</v>
      </c>
      <c r="K94" s="226"/>
      <c r="L94" s="225">
        <v>19395</v>
      </c>
      <c r="M94" s="226"/>
      <c r="N94" s="225">
        <v>496822</v>
      </c>
      <c r="O94" s="226"/>
      <c r="P94" s="225">
        <v>326907</v>
      </c>
      <c r="Q94" s="226"/>
      <c r="R94" s="225">
        <v>174358</v>
      </c>
      <c r="S94" s="226"/>
      <c r="T94" s="225">
        <v>244263</v>
      </c>
      <c r="U94" s="226"/>
      <c r="V94" s="225">
        <v>91331</v>
      </c>
      <c r="W94" s="226"/>
      <c r="X94" s="225">
        <v>119903</v>
      </c>
      <c r="Y94" s="226"/>
      <c r="Z94" s="225">
        <v>58019</v>
      </c>
      <c r="AA94" s="227">
        <v>0</v>
      </c>
    </row>
    <row r="95" spans="2:27" x14ac:dyDescent="0.25">
      <c r="B95" s="72">
        <v>210</v>
      </c>
      <c r="C95" s="73" t="s">
        <v>31</v>
      </c>
      <c r="D95" s="228">
        <v>284862</v>
      </c>
      <c r="E95" s="229"/>
      <c r="F95" s="228">
        <v>432010</v>
      </c>
      <c r="G95" s="229"/>
      <c r="H95" s="228">
        <v>318815</v>
      </c>
      <c r="I95" s="229"/>
      <c r="J95" s="228">
        <v>423788</v>
      </c>
      <c r="K95" s="229"/>
      <c r="L95" s="228">
        <v>418355</v>
      </c>
      <c r="M95" s="229"/>
      <c r="N95" s="228">
        <v>355130</v>
      </c>
      <c r="O95" s="229"/>
      <c r="P95" s="228">
        <v>277812</v>
      </c>
      <c r="Q95" s="229"/>
      <c r="R95" s="228">
        <v>279840</v>
      </c>
      <c r="S95" s="229"/>
      <c r="T95" s="228">
        <v>301062</v>
      </c>
      <c r="U95" s="229"/>
      <c r="V95" s="228">
        <v>187032</v>
      </c>
      <c r="W95" s="229"/>
      <c r="X95" s="228">
        <v>205268</v>
      </c>
      <c r="Y95" s="229"/>
      <c r="Z95" s="228">
        <v>171120</v>
      </c>
      <c r="AA95" s="23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FE">
    <tabColor rgb="FF0070C0"/>
    <pageSetUpPr fitToPage="1"/>
  </sheetPr>
  <dimension ref="B3:AJ280"/>
  <sheetViews>
    <sheetView showGridLines="0" zoomScale="21" zoomScaleNormal="69" workbookViewId="0">
      <selection activeCell="I7" sqref="I7:N70"/>
    </sheetView>
  </sheetViews>
  <sheetFormatPr baseColWidth="10" defaultColWidth="9.1796875" defaultRowHeight="12.5" x14ac:dyDescent="0.25"/>
  <cols>
    <col min="1" max="1" width="9.1796875" style="63" customWidth="1"/>
    <col min="2" max="2" width="12.1796875" style="63" customWidth="1"/>
    <col min="3" max="3" width="20.453125" style="63" customWidth="1"/>
    <col min="4" max="4" width="12.54296875" style="185" bestFit="1" customWidth="1"/>
    <col min="5" max="5" width="14" style="185" customWidth="1"/>
    <col min="6" max="6" width="14.453125" style="185" customWidth="1"/>
    <col min="7" max="7" width="12.26953125" style="185" bestFit="1" customWidth="1"/>
    <col min="8" max="8" width="9.1796875" style="63" customWidth="1"/>
    <col min="9" max="9" width="9.54296875" style="63" customWidth="1"/>
    <col min="10" max="10" width="24" style="63" customWidth="1"/>
    <col min="11" max="11" width="11.54296875" style="63" customWidth="1"/>
    <col min="12" max="12" width="12.26953125" style="63" customWidth="1"/>
    <col min="13" max="13" width="13.54296875" style="63" customWidth="1"/>
    <col min="14" max="14" width="12.453125" style="63" customWidth="1"/>
    <col min="15" max="17" width="9.1796875" style="63" hidden="1" customWidth="1"/>
    <col min="18" max="18" width="9.26953125" style="63" hidden="1" customWidth="1"/>
    <col min="19" max="20" width="10.26953125" style="63" hidden="1" customWidth="1"/>
    <col min="21" max="21" width="9.26953125" style="63" hidden="1" customWidth="1"/>
    <col min="22" max="24" width="9.1796875" style="63" hidden="1" customWidth="1"/>
    <col min="25" max="25" width="9.26953125" style="63" hidden="1" customWidth="1"/>
    <col min="26" max="27" width="10.26953125" style="63" hidden="1" customWidth="1"/>
    <col min="28" max="28" width="9.26953125" style="63" hidden="1" customWidth="1"/>
    <col min="29" max="31" width="9.1796875" style="63" hidden="1" customWidth="1"/>
    <col min="32" max="32" width="9.26953125" style="63" hidden="1" customWidth="1"/>
    <col min="33" max="34" width="10.26953125" style="63" hidden="1" customWidth="1"/>
    <col min="35" max="35" width="9.26953125" style="63" hidden="1" customWidth="1"/>
    <col min="36" max="36" width="9.1796875" style="63" customWidth="1" collapsed="1"/>
    <col min="37" max="16384" width="9.1796875" style="63"/>
  </cols>
  <sheetData>
    <row r="3" spans="2:35" ht="13" x14ac:dyDescent="0.3">
      <c r="B3" s="151" t="s">
        <v>169</v>
      </c>
      <c r="C3" s="181"/>
      <c r="D3" s="165">
        <v>650</v>
      </c>
      <c r="I3" s="151" t="s">
        <v>161</v>
      </c>
      <c r="J3" s="181"/>
      <c r="K3" s="165">
        <v>650</v>
      </c>
      <c r="P3" s="151" t="s">
        <v>106</v>
      </c>
      <c r="Q3" s="182">
        <f>J3</f>
        <v>0</v>
      </c>
      <c r="W3" s="151" t="s">
        <v>107</v>
      </c>
      <c r="X3" s="182">
        <f>Q3</f>
        <v>0</v>
      </c>
      <c r="AD3" s="151" t="s">
        <v>108</v>
      </c>
    </row>
    <row r="4" spans="2:35" ht="13" x14ac:dyDescent="0.3">
      <c r="B4" s="202" t="s">
        <v>0</v>
      </c>
      <c r="C4" s="203" t="s">
        <v>1</v>
      </c>
      <c r="D4" s="203" t="s">
        <v>54</v>
      </c>
      <c r="E4" s="203" t="s">
        <v>55</v>
      </c>
      <c r="F4" s="203" t="s">
        <v>56</v>
      </c>
      <c r="G4" s="204" t="s">
        <v>57</v>
      </c>
      <c r="H4" s="174"/>
      <c r="I4" s="202" t="s">
        <v>0</v>
      </c>
      <c r="J4" s="203" t="s">
        <v>1</v>
      </c>
      <c r="K4" s="203" t="s">
        <v>54</v>
      </c>
      <c r="L4" s="203" t="s">
        <v>55</v>
      </c>
      <c r="M4" s="203" t="s">
        <v>56</v>
      </c>
      <c r="N4" s="204" t="s">
        <v>57</v>
      </c>
      <c r="P4" s="171" t="s">
        <v>0</v>
      </c>
      <c r="Q4" s="172" t="s">
        <v>1</v>
      </c>
      <c r="R4" s="172" t="s">
        <v>54</v>
      </c>
      <c r="S4" s="172" t="s">
        <v>55</v>
      </c>
      <c r="T4" s="172" t="s">
        <v>56</v>
      </c>
      <c r="U4" s="178" t="s">
        <v>57</v>
      </c>
      <c r="W4" s="171" t="s">
        <v>0</v>
      </c>
      <c r="X4" s="172" t="s">
        <v>1</v>
      </c>
      <c r="Y4" s="172" t="s">
        <v>54</v>
      </c>
      <c r="Z4" s="172" t="s">
        <v>55</v>
      </c>
      <c r="AA4" s="172" t="s">
        <v>56</v>
      </c>
      <c r="AB4" s="178" t="s">
        <v>57</v>
      </c>
      <c r="AD4" s="171" t="s">
        <v>0</v>
      </c>
      <c r="AE4" s="172" t="s">
        <v>1</v>
      </c>
      <c r="AF4" s="172" t="s">
        <v>54</v>
      </c>
      <c r="AG4" s="172" t="s">
        <v>55</v>
      </c>
      <c r="AH4" s="172" t="s">
        <v>56</v>
      </c>
      <c r="AI4" s="178" t="s">
        <v>57</v>
      </c>
    </row>
    <row r="5" spans="2:35" ht="13" x14ac:dyDescent="0.3">
      <c r="B5" s="205" t="s">
        <v>55</v>
      </c>
      <c r="C5" s="206" t="s">
        <v>56</v>
      </c>
      <c r="D5" s="206" t="s">
        <v>57</v>
      </c>
      <c r="E5" s="206"/>
      <c r="F5" s="206"/>
      <c r="G5" s="207"/>
      <c r="H5" s="174"/>
      <c r="I5" s="205" t="s">
        <v>55</v>
      </c>
      <c r="J5" s="206" t="s">
        <v>56</v>
      </c>
      <c r="K5" s="206" t="s">
        <v>57</v>
      </c>
      <c r="L5" s="206"/>
      <c r="M5" s="206"/>
      <c r="N5" s="207"/>
      <c r="P5" s="173"/>
      <c r="Q5" s="174"/>
      <c r="R5" s="174"/>
      <c r="S5" s="174" t="s">
        <v>55</v>
      </c>
      <c r="T5" s="174" t="s">
        <v>56</v>
      </c>
      <c r="U5" s="175" t="s">
        <v>57</v>
      </c>
      <c r="W5" s="173"/>
      <c r="X5" s="174"/>
      <c r="Y5" s="174"/>
      <c r="Z5" s="174" t="s">
        <v>55</v>
      </c>
      <c r="AA5" s="174" t="s">
        <v>56</v>
      </c>
      <c r="AB5" s="175" t="s">
        <v>57</v>
      </c>
      <c r="AD5" s="173"/>
      <c r="AE5" s="174"/>
      <c r="AF5" s="174"/>
      <c r="AG5" s="174" t="s">
        <v>55</v>
      </c>
      <c r="AH5" s="174" t="s">
        <v>56</v>
      </c>
      <c r="AI5" s="175" t="s">
        <v>57</v>
      </c>
    </row>
    <row r="6" spans="2:35" x14ac:dyDescent="0.25">
      <c r="B6" s="213"/>
      <c r="C6" s="214"/>
      <c r="D6" s="214"/>
      <c r="E6" s="214"/>
      <c r="F6" s="214"/>
      <c r="G6" s="215"/>
      <c r="H6" s="174"/>
      <c r="I6" s="213"/>
      <c r="J6" s="214"/>
      <c r="K6" s="214"/>
      <c r="L6" s="214"/>
      <c r="M6" s="214"/>
      <c r="N6" s="215"/>
      <c r="P6" s="173"/>
      <c r="Q6" s="174"/>
      <c r="R6" s="174"/>
      <c r="S6" s="174"/>
      <c r="T6" s="174"/>
      <c r="U6" s="175"/>
      <c r="W6" s="173"/>
      <c r="X6" s="174"/>
      <c r="Y6" s="174"/>
      <c r="Z6" s="174"/>
      <c r="AA6" s="174"/>
      <c r="AB6" s="175"/>
      <c r="AD6" s="173"/>
      <c r="AE6" s="174"/>
      <c r="AF6" s="174"/>
      <c r="AG6" s="174"/>
      <c r="AH6" s="174"/>
      <c r="AI6" s="175"/>
    </row>
    <row r="7" spans="2:35" x14ac:dyDescent="0.25">
      <c r="B7" s="68">
        <v>10</v>
      </c>
      <c r="C7" s="69" t="s">
        <v>58</v>
      </c>
      <c r="D7" s="71">
        <v>0</v>
      </c>
      <c r="E7" s="69">
        <v>0</v>
      </c>
      <c r="F7" s="69">
        <v>0</v>
      </c>
      <c r="G7" s="70">
        <v>0</v>
      </c>
      <c r="H7" s="174"/>
      <c r="I7" s="68">
        <v>10</v>
      </c>
      <c r="J7" s="69" t="s">
        <v>58</v>
      </c>
      <c r="K7" s="69">
        <v>0</v>
      </c>
      <c r="L7" s="69">
        <v>0</v>
      </c>
      <c r="M7" s="69">
        <v>0</v>
      </c>
      <c r="N7" s="70">
        <v>0</v>
      </c>
      <c r="P7" s="173">
        <v>10</v>
      </c>
      <c r="Q7" s="174" t="s">
        <v>58</v>
      </c>
      <c r="R7" s="174"/>
      <c r="S7" s="174"/>
      <c r="T7" s="174"/>
      <c r="U7" s="175"/>
      <c r="W7" s="173">
        <v>10</v>
      </c>
      <c r="X7" s="174" t="s">
        <v>58</v>
      </c>
      <c r="Y7" s="174"/>
      <c r="Z7" s="174"/>
      <c r="AA7" s="174"/>
      <c r="AB7" s="175"/>
      <c r="AD7" s="173">
        <v>10</v>
      </c>
      <c r="AE7" s="174" t="s">
        <v>58</v>
      </c>
      <c r="AF7" s="174"/>
      <c r="AG7" s="174"/>
      <c r="AH7" s="174"/>
      <c r="AI7" s="175"/>
    </row>
    <row r="8" spans="2:35" x14ac:dyDescent="0.25">
      <c r="B8" s="68">
        <v>20</v>
      </c>
      <c r="C8" s="69" t="s">
        <v>16</v>
      </c>
      <c r="D8" s="116">
        <v>0</v>
      </c>
      <c r="E8" s="116">
        <v>0</v>
      </c>
      <c r="F8" s="116">
        <v>23411226.510000002</v>
      </c>
      <c r="G8" s="117">
        <v>23411226.510000002</v>
      </c>
      <c r="H8" s="174"/>
      <c r="I8" s="68">
        <v>20</v>
      </c>
      <c r="J8" s="69" t="s">
        <v>16</v>
      </c>
      <c r="K8" s="116">
        <v>0</v>
      </c>
      <c r="L8" s="116">
        <v>0</v>
      </c>
      <c r="M8" s="116">
        <v>10127168.310000001</v>
      </c>
      <c r="N8" s="117">
        <v>10127168.310000001</v>
      </c>
      <c r="P8" s="173">
        <v>20</v>
      </c>
      <c r="Q8" s="174" t="s">
        <v>16</v>
      </c>
      <c r="R8" s="183">
        <v>187781.1</v>
      </c>
      <c r="S8" s="183">
        <v>0</v>
      </c>
      <c r="T8" s="183">
        <v>1320999.05</v>
      </c>
      <c r="U8" s="184">
        <v>1320999.05</v>
      </c>
      <c r="W8" s="173">
        <v>20</v>
      </c>
      <c r="X8" s="174" t="s">
        <v>16</v>
      </c>
      <c r="Y8" s="183">
        <v>0</v>
      </c>
      <c r="Z8" s="183">
        <v>0</v>
      </c>
      <c r="AA8" s="183">
        <v>0</v>
      </c>
      <c r="AB8" s="184">
        <v>0</v>
      </c>
      <c r="AD8" s="173">
        <v>20</v>
      </c>
      <c r="AE8" s="174" t="s">
        <v>16</v>
      </c>
      <c r="AF8" s="183">
        <v>70000</v>
      </c>
      <c r="AG8" s="183">
        <v>0</v>
      </c>
      <c r="AH8" s="183">
        <v>490000</v>
      </c>
      <c r="AI8" s="184">
        <v>490000</v>
      </c>
    </row>
    <row r="9" spans="2:35" x14ac:dyDescent="0.25">
      <c r="B9" s="68">
        <v>30</v>
      </c>
      <c r="C9" s="69" t="s">
        <v>59</v>
      </c>
      <c r="D9" s="116">
        <v>0</v>
      </c>
      <c r="E9" s="116">
        <v>0</v>
      </c>
      <c r="F9" s="116">
        <v>2407893.63</v>
      </c>
      <c r="G9" s="117">
        <v>2407893.63</v>
      </c>
      <c r="H9" s="174"/>
      <c r="I9" s="68">
        <v>30</v>
      </c>
      <c r="J9" s="69" t="s">
        <v>59</v>
      </c>
      <c r="K9" s="116">
        <v>0</v>
      </c>
      <c r="L9" s="116">
        <v>0</v>
      </c>
      <c r="M9" s="116">
        <v>0</v>
      </c>
      <c r="N9" s="117">
        <v>0</v>
      </c>
      <c r="P9" s="173">
        <v>30</v>
      </c>
      <c r="Q9" s="174" t="s">
        <v>59</v>
      </c>
      <c r="R9" s="183">
        <v>0</v>
      </c>
      <c r="S9" s="183">
        <v>0</v>
      </c>
      <c r="T9" s="183">
        <v>0</v>
      </c>
      <c r="U9" s="184">
        <v>0</v>
      </c>
      <c r="W9" s="173">
        <v>30</v>
      </c>
      <c r="X9" s="174" t="s">
        <v>59</v>
      </c>
      <c r="Y9" s="183">
        <v>0</v>
      </c>
      <c r="Z9" s="183">
        <v>0</v>
      </c>
      <c r="AA9" s="183">
        <v>0</v>
      </c>
      <c r="AB9" s="184">
        <v>0</v>
      </c>
      <c r="AD9" s="173">
        <v>30</v>
      </c>
      <c r="AE9" s="174" t="s">
        <v>59</v>
      </c>
      <c r="AF9" s="183">
        <v>0</v>
      </c>
      <c r="AG9" s="183">
        <v>0</v>
      </c>
      <c r="AH9" s="183">
        <v>0</v>
      </c>
      <c r="AI9" s="184">
        <v>0</v>
      </c>
    </row>
    <row r="10" spans="2:35" x14ac:dyDescent="0.25">
      <c r="B10" s="68">
        <v>35</v>
      </c>
      <c r="C10" s="69" t="s">
        <v>60</v>
      </c>
      <c r="D10" s="116">
        <v>0</v>
      </c>
      <c r="E10" s="116">
        <v>0</v>
      </c>
      <c r="F10" s="116">
        <v>21003332.879999999</v>
      </c>
      <c r="G10" s="117">
        <v>21003332.879999999</v>
      </c>
      <c r="H10" s="174"/>
      <c r="I10" s="68">
        <v>35</v>
      </c>
      <c r="J10" s="69" t="s">
        <v>60</v>
      </c>
      <c r="K10" s="116">
        <v>0</v>
      </c>
      <c r="L10" s="116">
        <v>0</v>
      </c>
      <c r="M10" s="116">
        <v>10127168.310000001</v>
      </c>
      <c r="N10" s="117">
        <v>10127168.310000001</v>
      </c>
      <c r="P10" s="173">
        <v>35</v>
      </c>
      <c r="Q10" s="174" t="s">
        <v>60</v>
      </c>
      <c r="R10" s="183">
        <v>187781.1</v>
      </c>
      <c r="S10" s="183">
        <v>0</v>
      </c>
      <c r="T10" s="183">
        <v>1320999.05</v>
      </c>
      <c r="U10" s="184">
        <v>1320999.05</v>
      </c>
      <c r="W10" s="173">
        <v>35</v>
      </c>
      <c r="X10" s="174" t="s">
        <v>60</v>
      </c>
      <c r="Y10" s="183">
        <v>0</v>
      </c>
      <c r="Z10" s="183">
        <v>0</v>
      </c>
      <c r="AA10" s="183">
        <v>0</v>
      </c>
      <c r="AB10" s="184">
        <v>0</v>
      </c>
      <c r="AD10" s="173">
        <v>35</v>
      </c>
      <c r="AE10" s="174" t="s">
        <v>60</v>
      </c>
      <c r="AF10" s="183">
        <v>70000</v>
      </c>
      <c r="AG10" s="183">
        <v>0</v>
      </c>
      <c r="AH10" s="183">
        <v>490000</v>
      </c>
      <c r="AI10" s="184">
        <v>490000</v>
      </c>
    </row>
    <row r="11" spans="2:35" x14ac:dyDescent="0.25">
      <c r="B11" s="68">
        <v>40</v>
      </c>
      <c r="C11" s="69" t="s">
        <v>61</v>
      </c>
      <c r="D11" s="116">
        <v>0</v>
      </c>
      <c r="E11" s="116">
        <v>0</v>
      </c>
      <c r="F11" s="116">
        <v>10407633.119999999</v>
      </c>
      <c r="G11" s="117">
        <v>10407633.119999999</v>
      </c>
      <c r="H11" s="174"/>
      <c r="I11" s="68">
        <v>40</v>
      </c>
      <c r="J11" s="69" t="s">
        <v>61</v>
      </c>
      <c r="K11" s="116">
        <v>0</v>
      </c>
      <c r="L11" s="116">
        <v>0</v>
      </c>
      <c r="M11" s="116">
        <v>7930641.2300000004</v>
      </c>
      <c r="N11" s="117">
        <v>7930641.2300000004</v>
      </c>
      <c r="P11" s="173">
        <v>40</v>
      </c>
      <c r="Q11" s="174" t="s">
        <v>61</v>
      </c>
      <c r="R11" s="183">
        <v>0</v>
      </c>
      <c r="S11" s="183">
        <v>0</v>
      </c>
      <c r="T11" s="183">
        <v>0</v>
      </c>
      <c r="U11" s="184">
        <v>0</v>
      </c>
      <c r="W11" s="173">
        <v>40</v>
      </c>
      <c r="X11" s="174" t="s">
        <v>61</v>
      </c>
      <c r="Y11" s="183">
        <v>0</v>
      </c>
      <c r="Z11" s="183">
        <v>0</v>
      </c>
      <c r="AA11" s="183">
        <v>0</v>
      </c>
      <c r="AB11" s="184">
        <v>0</v>
      </c>
      <c r="AD11" s="173">
        <v>40</v>
      </c>
      <c r="AE11" s="174" t="s">
        <v>61</v>
      </c>
      <c r="AF11" s="183">
        <v>0</v>
      </c>
      <c r="AG11" s="183">
        <v>0</v>
      </c>
      <c r="AH11" s="183">
        <v>0</v>
      </c>
      <c r="AI11" s="184">
        <v>0</v>
      </c>
    </row>
    <row r="12" spans="2:35" x14ac:dyDescent="0.25">
      <c r="B12" s="68">
        <v>50</v>
      </c>
      <c r="C12" s="69" t="s">
        <v>62</v>
      </c>
      <c r="D12" s="116">
        <v>0</v>
      </c>
      <c r="E12" s="116">
        <v>0</v>
      </c>
      <c r="F12" s="116">
        <v>0</v>
      </c>
      <c r="G12" s="117">
        <v>0</v>
      </c>
      <c r="H12" s="174"/>
      <c r="I12" s="68">
        <v>50</v>
      </c>
      <c r="J12" s="69" t="s">
        <v>62</v>
      </c>
      <c r="K12" s="116">
        <v>0</v>
      </c>
      <c r="L12" s="116">
        <v>0</v>
      </c>
      <c r="M12" s="116">
        <v>0</v>
      </c>
      <c r="N12" s="117">
        <v>0</v>
      </c>
      <c r="P12" s="173">
        <v>50</v>
      </c>
      <c r="Q12" s="174" t="s">
        <v>62</v>
      </c>
      <c r="R12" s="183">
        <v>0</v>
      </c>
      <c r="S12" s="183">
        <v>0</v>
      </c>
      <c r="T12" s="183">
        <v>0</v>
      </c>
      <c r="U12" s="184">
        <v>0</v>
      </c>
      <c r="W12" s="173">
        <v>50</v>
      </c>
      <c r="X12" s="174" t="s">
        <v>62</v>
      </c>
      <c r="Y12" s="183">
        <v>0</v>
      </c>
      <c r="Z12" s="183">
        <v>0</v>
      </c>
      <c r="AA12" s="183">
        <v>0</v>
      </c>
      <c r="AB12" s="184">
        <v>0</v>
      </c>
      <c r="AD12" s="173">
        <v>50</v>
      </c>
      <c r="AE12" s="174" t="s">
        <v>62</v>
      </c>
      <c r="AF12" s="183">
        <v>0</v>
      </c>
      <c r="AG12" s="183">
        <v>0</v>
      </c>
      <c r="AH12" s="183">
        <v>0</v>
      </c>
      <c r="AI12" s="184">
        <v>0</v>
      </c>
    </row>
    <row r="13" spans="2:35" x14ac:dyDescent="0.25">
      <c r="B13" s="68">
        <v>60</v>
      </c>
      <c r="C13" s="69" t="s">
        <v>63</v>
      </c>
      <c r="D13" s="116">
        <v>0</v>
      </c>
      <c r="E13" s="116">
        <v>0</v>
      </c>
      <c r="F13" s="116">
        <v>10595699.76</v>
      </c>
      <c r="G13" s="117">
        <v>10595699.76</v>
      </c>
      <c r="H13" s="174"/>
      <c r="I13" s="68">
        <v>60</v>
      </c>
      <c r="J13" s="69" t="s">
        <v>63</v>
      </c>
      <c r="K13" s="116">
        <v>0</v>
      </c>
      <c r="L13" s="116">
        <v>0</v>
      </c>
      <c r="M13" s="116">
        <v>2196527.08</v>
      </c>
      <c r="N13" s="117">
        <v>2196527.08</v>
      </c>
      <c r="P13" s="173">
        <v>60</v>
      </c>
      <c r="Q13" s="174" t="s">
        <v>63</v>
      </c>
      <c r="R13" s="183">
        <v>187781.1</v>
      </c>
      <c r="S13" s="183">
        <v>0</v>
      </c>
      <c r="T13" s="183">
        <v>1320999.05</v>
      </c>
      <c r="U13" s="184">
        <v>1320999.05</v>
      </c>
      <c r="W13" s="173">
        <v>60</v>
      </c>
      <c r="X13" s="174" t="s">
        <v>63</v>
      </c>
      <c r="Y13" s="183">
        <v>0</v>
      </c>
      <c r="Z13" s="183">
        <v>0</v>
      </c>
      <c r="AA13" s="183">
        <v>0</v>
      </c>
      <c r="AB13" s="184">
        <v>0</v>
      </c>
      <c r="AD13" s="173">
        <v>60</v>
      </c>
      <c r="AE13" s="174" t="s">
        <v>63</v>
      </c>
      <c r="AF13" s="183">
        <v>70000</v>
      </c>
      <c r="AG13" s="183">
        <v>0</v>
      </c>
      <c r="AH13" s="183">
        <v>490000</v>
      </c>
      <c r="AI13" s="184">
        <v>490000</v>
      </c>
    </row>
    <row r="14" spans="2:35" x14ac:dyDescent="0.25">
      <c r="B14" s="68">
        <v>70</v>
      </c>
      <c r="C14" s="69" t="s">
        <v>20</v>
      </c>
      <c r="D14" s="116">
        <v>0</v>
      </c>
      <c r="E14" s="116">
        <v>0</v>
      </c>
      <c r="F14" s="116">
        <v>955776.89</v>
      </c>
      <c r="G14" s="117">
        <v>955776.89</v>
      </c>
      <c r="H14" s="174"/>
      <c r="I14" s="68">
        <v>70</v>
      </c>
      <c r="J14" s="69" t="s">
        <v>20</v>
      </c>
      <c r="K14" s="116">
        <v>0</v>
      </c>
      <c r="L14" s="116">
        <v>0</v>
      </c>
      <c r="M14" s="116">
        <v>0</v>
      </c>
      <c r="N14" s="117">
        <v>0</v>
      </c>
      <c r="P14" s="173">
        <v>70</v>
      </c>
      <c r="Q14" s="174" t="s">
        <v>20</v>
      </c>
      <c r="R14" s="183">
        <v>0</v>
      </c>
      <c r="S14" s="183">
        <v>0</v>
      </c>
      <c r="T14" s="183">
        <v>0</v>
      </c>
      <c r="U14" s="184">
        <v>0</v>
      </c>
      <c r="W14" s="173">
        <v>70</v>
      </c>
      <c r="X14" s="174" t="s">
        <v>20</v>
      </c>
      <c r="Y14" s="183">
        <v>0</v>
      </c>
      <c r="Z14" s="183">
        <v>0</v>
      </c>
      <c r="AA14" s="183">
        <v>0</v>
      </c>
      <c r="AB14" s="184">
        <v>0</v>
      </c>
      <c r="AD14" s="173">
        <v>70</v>
      </c>
      <c r="AE14" s="174" t="s">
        <v>20</v>
      </c>
      <c r="AF14" s="183">
        <v>0</v>
      </c>
      <c r="AG14" s="183">
        <v>0</v>
      </c>
      <c r="AH14" s="183">
        <v>0</v>
      </c>
      <c r="AI14" s="184">
        <v>0</v>
      </c>
    </row>
    <row r="15" spans="2:35" x14ac:dyDescent="0.25">
      <c r="B15" s="68">
        <v>80</v>
      </c>
      <c r="C15" s="69" t="s">
        <v>64</v>
      </c>
      <c r="D15" s="116">
        <v>0</v>
      </c>
      <c r="E15" s="116">
        <v>0</v>
      </c>
      <c r="F15" s="116">
        <v>1198892.25</v>
      </c>
      <c r="G15" s="117">
        <v>1198892.25</v>
      </c>
      <c r="H15" s="174"/>
      <c r="I15" s="68">
        <v>80</v>
      </c>
      <c r="J15" s="69" t="s">
        <v>64</v>
      </c>
      <c r="K15" s="116">
        <v>0</v>
      </c>
      <c r="L15" s="116">
        <v>0</v>
      </c>
      <c r="M15" s="116">
        <v>866900.22</v>
      </c>
      <c r="N15" s="117">
        <v>866900.22</v>
      </c>
      <c r="P15" s="173">
        <v>80</v>
      </c>
      <c r="Q15" s="174" t="s">
        <v>64</v>
      </c>
      <c r="R15" s="183">
        <v>157504.18</v>
      </c>
      <c r="S15" s="183">
        <v>0</v>
      </c>
      <c r="T15" s="183">
        <v>275913.3</v>
      </c>
      <c r="U15" s="184">
        <v>275913.3</v>
      </c>
      <c r="W15" s="173">
        <v>80</v>
      </c>
      <c r="X15" s="174" t="s">
        <v>64</v>
      </c>
      <c r="Y15" s="183">
        <v>0</v>
      </c>
      <c r="Z15" s="183">
        <v>0</v>
      </c>
      <c r="AA15" s="183">
        <v>0</v>
      </c>
      <c r="AB15" s="184">
        <v>0</v>
      </c>
      <c r="AD15" s="173">
        <v>80</v>
      </c>
      <c r="AE15" s="174" t="s">
        <v>64</v>
      </c>
      <c r="AF15" s="183">
        <v>0</v>
      </c>
      <c r="AG15" s="183">
        <v>0</v>
      </c>
      <c r="AH15" s="183">
        <v>80030.36</v>
      </c>
      <c r="AI15" s="184">
        <v>80030.36</v>
      </c>
    </row>
    <row r="16" spans="2:35" x14ac:dyDescent="0.25">
      <c r="B16" s="68">
        <v>90</v>
      </c>
      <c r="C16" s="69" t="s">
        <v>65</v>
      </c>
      <c r="D16" s="116">
        <v>0</v>
      </c>
      <c r="E16" s="116">
        <v>0</v>
      </c>
      <c r="F16" s="116">
        <v>12012.68</v>
      </c>
      <c r="G16" s="117">
        <v>12012.68</v>
      </c>
      <c r="H16" s="174"/>
      <c r="I16" s="68">
        <v>90</v>
      </c>
      <c r="J16" s="69" t="s">
        <v>65</v>
      </c>
      <c r="K16" s="116">
        <v>0</v>
      </c>
      <c r="L16" s="116">
        <v>0</v>
      </c>
      <c r="M16" s="116">
        <v>170495.96</v>
      </c>
      <c r="N16" s="117">
        <v>170495.96</v>
      </c>
      <c r="P16" s="173">
        <v>90</v>
      </c>
      <c r="Q16" s="174" t="s">
        <v>65</v>
      </c>
      <c r="R16" s="183">
        <v>4683.6499999999996</v>
      </c>
      <c r="S16" s="183">
        <v>0</v>
      </c>
      <c r="T16" s="183">
        <v>32785.550000000003</v>
      </c>
      <c r="U16" s="184">
        <v>32785.550000000003</v>
      </c>
      <c r="W16" s="173">
        <v>90</v>
      </c>
      <c r="X16" s="174" t="s">
        <v>65</v>
      </c>
      <c r="Y16" s="183">
        <v>0</v>
      </c>
      <c r="Z16" s="183">
        <v>0</v>
      </c>
      <c r="AA16" s="183">
        <v>0</v>
      </c>
      <c r="AB16" s="184">
        <v>0</v>
      </c>
      <c r="AD16" s="173">
        <v>90</v>
      </c>
      <c r="AE16" s="174" t="s">
        <v>65</v>
      </c>
      <c r="AF16" s="183">
        <v>0</v>
      </c>
      <c r="AG16" s="183">
        <v>0</v>
      </c>
      <c r="AH16" s="183">
        <v>0</v>
      </c>
      <c r="AI16" s="184">
        <v>0</v>
      </c>
    </row>
    <row r="17" spans="2:35" x14ac:dyDescent="0.25">
      <c r="B17" s="68">
        <v>100</v>
      </c>
      <c r="C17" s="69" t="s">
        <v>66</v>
      </c>
      <c r="D17" s="116">
        <v>0</v>
      </c>
      <c r="E17" s="116">
        <v>0</v>
      </c>
      <c r="F17" s="116">
        <v>8429017.9399999995</v>
      </c>
      <c r="G17" s="117">
        <v>8429017.9399999995</v>
      </c>
      <c r="H17" s="174"/>
      <c r="I17" s="68">
        <v>100</v>
      </c>
      <c r="J17" s="69" t="s">
        <v>66</v>
      </c>
      <c r="K17" s="116">
        <v>0</v>
      </c>
      <c r="L17" s="116">
        <v>0</v>
      </c>
      <c r="M17" s="116">
        <v>1159130.8999999999</v>
      </c>
      <c r="N17" s="117">
        <v>1159130.8999999999</v>
      </c>
      <c r="P17" s="173">
        <v>100</v>
      </c>
      <c r="Q17" s="174" t="s">
        <v>66</v>
      </c>
      <c r="R17" s="183">
        <v>25593.27</v>
      </c>
      <c r="S17" s="183">
        <v>0</v>
      </c>
      <c r="T17" s="183">
        <v>1012300.2</v>
      </c>
      <c r="U17" s="184">
        <v>1012300.2</v>
      </c>
      <c r="W17" s="173">
        <v>100</v>
      </c>
      <c r="X17" s="174" t="s">
        <v>66</v>
      </c>
      <c r="Y17" s="183">
        <v>0</v>
      </c>
      <c r="Z17" s="183">
        <v>0</v>
      </c>
      <c r="AA17" s="183">
        <v>0</v>
      </c>
      <c r="AB17" s="184">
        <v>0</v>
      </c>
      <c r="AD17" s="173">
        <v>100</v>
      </c>
      <c r="AE17" s="174" t="s">
        <v>66</v>
      </c>
      <c r="AF17" s="183">
        <v>70000</v>
      </c>
      <c r="AG17" s="183">
        <v>0</v>
      </c>
      <c r="AH17" s="183">
        <v>409969.64</v>
      </c>
      <c r="AI17" s="184">
        <v>409969.64</v>
      </c>
    </row>
    <row r="18" spans="2:35" x14ac:dyDescent="0.25">
      <c r="B18" s="68">
        <v>110</v>
      </c>
      <c r="C18" s="69" t="s">
        <v>67</v>
      </c>
      <c r="D18" s="116">
        <v>0</v>
      </c>
      <c r="E18" s="116">
        <v>0</v>
      </c>
      <c r="F18" s="116">
        <v>-197554.95</v>
      </c>
      <c r="G18" s="117">
        <v>-197554.95</v>
      </c>
      <c r="H18" s="174"/>
      <c r="I18" s="68">
        <v>110</v>
      </c>
      <c r="J18" s="69" t="s">
        <v>67</v>
      </c>
      <c r="K18" s="116">
        <v>0</v>
      </c>
      <c r="L18" s="116">
        <v>0</v>
      </c>
      <c r="M18" s="116">
        <v>-88796.45</v>
      </c>
      <c r="N18" s="117">
        <v>-88796.45</v>
      </c>
      <c r="P18" s="173">
        <v>110</v>
      </c>
      <c r="Q18" s="174" t="s">
        <v>67</v>
      </c>
      <c r="R18" s="183">
        <v>-10590.06</v>
      </c>
      <c r="S18" s="183">
        <v>0</v>
      </c>
      <c r="T18" s="183">
        <v>-2107.83</v>
      </c>
      <c r="U18" s="184">
        <v>-2107.83</v>
      </c>
      <c r="W18" s="173">
        <v>110</v>
      </c>
      <c r="X18" s="174" t="s">
        <v>67</v>
      </c>
      <c r="Y18" s="183">
        <v>0</v>
      </c>
      <c r="Z18" s="183">
        <v>0</v>
      </c>
      <c r="AA18" s="183">
        <v>0</v>
      </c>
      <c r="AB18" s="184">
        <v>0</v>
      </c>
      <c r="AD18" s="173">
        <v>110</v>
      </c>
      <c r="AE18" s="174" t="s">
        <v>67</v>
      </c>
      <c r="AF18" s="183">
        <v>0</v>
      </c>
      <c r="AG18" s="183">
        <v>0</v>
      </c>
      <c r="AH18" s="183">
        <v>0</v>
      </c>
      <c r="AI18" s="184">
        <v>0</v>
      </c>
    </row>
    <row r="19" spans="2:35" x14ac:dyDescent="0.25">
      <c r="B19" s="68">
        <v>120</v>
      </c>
      <c r="C19" s="69" t="s">
        <v>68</v>
      </c>
      <c r="D19" s="116">
        <v>0</v>
      </c>
      <c r="E19" s="116">
        <v>0</v>
      </c>
      <c r="F19" s="116">
        <v>0</v>
      </c>
      <c r="G19" s="117">
        <v>0</v>
      </c>
      <c r="H19" s="174"/>
      <c r="I19" s="68">
        <v>120</v>
      </c>
      <c r="J19" s="69" t="s">
        <v>68</v>
      </c>
      <c r="K19" s="116">
        <v>0</v>
      </c>
      <c r="L19" s="116">
        <v>0</v>
      </c>
      <c r="M19" s="116">
        <v>0</v>
      </c>
      <c r="N19" s="117">
        <v>0</v>
      </c>
      <c r="P19" s="173">
        <v>120</v>
      </c>
      <c r="Q19" s="174" t="s">
        <v>68</v>
      </c>
      <c r="R19" s="183">
        <v>0</v>
      </c>
      <c r="S19" s="183">
        <v>0</v>
      </c>
      <c r="T19" s="183">
        <v>0</v>
      </c>
      <c r="U19" s="184">
        <v>0</v>
      </c>
      <c r="W19" s="173">
        <v>120</v>
      </c>
      <c r="X19" s="174" t="s">
        <v>68</v>
      </c>
      <c r="Y19" s="183">
        <v>0</v>
      </c>
      <c r="Z19" s="183">
        <v>0</v>
      </c>
      <c r="AA19" s="183">
        <v>0</v>
      </c>
      <c r="AB19" s="184">
        <v>0</v>
      </c>
      <c r="AD19" s="173">
        <v>120</v>
      </c>
      <c r="AE19" s="174" t="s">
        <v>68</v>
      </c>
      <c r="AF19" s="183">
        <v>0</v>
      </c>
      <c r="AG19" s="183">
        <v>0</v>
      </c>
      <c r="AH19" s="183">
        <v>0</v>
      </c>
      <c r="AI19" s="184">
        <v>0</v>
      </c>
    </row>
    <row r="20" spans="2:35" x14ac:dyDescent="0.25">
      <c r="B20" s="68">
        <v>130</v>
      </c>
      <c r="C20" s="69" t="s">
        <v>69</v>
      </c>
      <c r="D20" s="116">
        <v>0</v>
      </c>
      <c r="E20" s="116">
        <v>0</v>
      </c>
      <c r="F20" s="116">
        <v>9005.65</v>
      </c>
      <c r="G20" s="117">
        <v>9005.65</v>
      </c>
      <c r="H20" s="174"/>
      <c r="I20" s="68">
        <v>130</v>
      </c>
      <c r="J20" s="69" t="s">
        <v>69</v>
      </c>
      <c r="K20" s="116">
        <v>0</v>
      </c>
      <c r="L20" s="116">
        <v>0</v>
      </c>
      <c r="M20" s="116">
        <v>136836.07999999999</v>
      </c>
      <c r="N20" s="117">
        <v>136836.07999999999</v>
      </c>
      <c r="P20" s="173">
        <v>130</v>
      </c>
      <c r="Q20" s="174" t="s">
        <v>69</v>
      </c>
      <c r="R20" s="183">
        <v>0</v>
      </c>
      <c r="S20" s="183">
        <v>0</v>
      </c>
      <c r="T20" s="183">
        <v>200</v>
      </c>
      <c r="U20" s="184">
        <v>200</v>
      </c>
      <c r="W20" s="173">
        <v>130</v>
      </c>
      <c r="X20" s="174" t="s">
        <v>69</v>
      </c>
      <c r="Y20" s="183">
        <v>0</v>
      </c>
      <c r="Z20" s="183">
        <v>0</v>
      </c>
      <c r="AA20" s="183">
        <v>0</v>
      </c>
      <c r="AB20" s="184">
        <v>0</v>
      </c>
      <c r="AD20" s="173">
        <v>130</v>
      </c>
      <c r="AE20" s="174" t="s">
        <v>69</v>
      </c>
      <c r="AF20" s="183">
        <v>0</v>
      </c>
      <c r="AG20" s="183">
        <v>0</v>
      </c>
      <c r="AH20" s="183">
        <v>0</v>
      </c>
      <c r="AI20" s="184">
        <v>0</v>
      </c>
    </row>
    <row r="21" spans="2:35" x14ac:dyDescent="0.25">
      <c r="B21" s="68">
        <v>140</v>
      </c>
      <c r="C21" s="69" t="s">
        <v>70</v>
      </c>
      <c r="D21" s="116">
        <v>0</v>
      </c>
      <c r="E21" s="116">
        <v>0</v>
      </c>
      <c r="F21" s="116">
        <v>2879866.98</v>
      </c>
      <c r="G21" s="117">
        <v>2879866.98</v>
      </c>
      <c r="H21" s="174"/>
      <c r="I21" s="68">
        <v>140</v>
      </c>
      <c r="J21" s="69" t="s">
        <v>70</v>
      </c>
      <c r="K21" s="116">
        <v>0</v>
      </c>
      <c r="L21" s="116">
        <v>0</v>
      </c>
      <c r="M21" s="116">
        <v>0</v>
      </c>
      <c r="N21" s="117">
        <v>0</v>
      </c>
      <c r="P21" s="173">
        <v>140</v>
      </c>
      <c r="Q21" s="174" t="s">
        <v>70</v>
      </c>
      <c r="R21" s="183">
        <v>0</v>
      </c>
      <c r="S21" s="183">
        <v>0</v>
      </c>
      <c r="T21" s="183">
        <v>0.04</v>
      </c>
      <c r="U21" s="184">
        <v>0.04</v>
      </c>
      <c r="W21" s="173">
        <v>140</v>
      </c>
      <c r="X21" s="174" t="s">
        <v>70</v>
      </c>
      <c r="Y21" s="183">
        <v>0</v>
      </c>
      <c r="Z21" s="183">
        <v>0</v>
      </c>
      <c r="AA21" s="183">
        <v>0</v>
      </c>
      <c r="AB21" s="184">
        <v>0</v>
      </c>
      <c r="AD21" s="173">
        <v>140</v>
      </c>
      <c r="AE21" s="174" t="s">
        <v>70</v>
      </c>
      <c r="AF21" s="183">
        <v>0</v>
      </c>
      <c r="AG21" s="183">
        <v>0</v>
      </c>
      <c r="AH21" s="183">
        <v>0</v>
      </c>
      <c r="AI21" s="184">
        <v>0</v>
      </c>
    </row>
    <row r="22" spans="2:35" x14ac:dyDescent="0.25">
      <c r="B22" s="68">
        <v>145</v>
      </c>
      <c r="C22" s="69" t="s">
        <v>588</v>
      </c>
      <c r="D22" s="116">
        <v>0</v>
      </c>
      <c r="E22" s="116">
        <v>0</v>
      </c>
      <c r="F22" s="116">
        <v>-3068416.28</v>
      </c>
      <c r="G22" s="117">
        <v>-3068416.28</v>
      </c>
      <c r="H22" s="174"/>
      <c r="I22" s="68">
        <v>145</v>
      </c>
      <c r="J22" s="69" t="s">
        <v>588</v>
      </c>
      <c r="K22" s="116">
        <v>0</v>
      </c>
      <c r="L22" s="116">
        <v>0</v>
      </c>
      <c r="M22" s="116">
        <v>48039.63</v>
      </c>
      <c r="N22" s="117">
        <v>48039.63</v>
      </c>
      <c r="P22" s="173">
        <v>145</v>
      </c>
      <c r="Q22" s="174" t="s">
        <v>394</v>
      </c>
      <c r="R22" s="183">
        <v>-10590.06</v>
      </c>
      <c r="S22" s="183">
        <v>0</v>
      </c>
      <c r="T22" s="183">
        <v>-1907.87</v>
      </c>
      <c r="U22" s="184">
        <v>-1907.87</v>
      </c>
      <c r="W22" s="173">
        <v>145</v>
      </c>
      <c r="X22" s="174" t="s">
        <v>394</v>
      </c>
      <c r="Y22" s="183">
        <v>0</v>
      </c>
      <c r="Z22" s="183">
        <v>0</v>
      </c>
      <c r="AA22" s="183">
        <v>0</v>
      </c>
      <c r="AB22" s="184">
        <v>0</v>
      </c>
      <c r="AD22" s="173">
        <v>145</v>
      </c>
      <c r="AE22" s="174" t="s">
        <v>394</v>
      </c>
      <c r="AF22" s="183">
        <v>0</v>
      </c>
      <c r="AG22" s="183">
        <v>0</v>
      </c>
      <c r="AH22" s="183">
        <v>0</v>
      </c>
      <c r="AI22" s="184">
        <v>0</v>
      </c>
    </row>
    <row r="23" spans="2:35" x14ac:dyDescent="0.25">
      <c r="B23" s="68">
        <v>150</v>
      </c>
      <c r="C23" s="69" t="s">
        <v>71</v>
      </c>
      <c r="D23" s="116">
        <v>0</v>
      </c>
      <c r="E23" s="116">
        <v>0</v>
      </c>
      <c r="F23" s="116">
        <v>11497434.220000001</v>
      </c>
      <c r="G23" s="117">
        <v>11497434.220000001</v>
      </c>
      <c r="H23" s="174"/>
      <c r="I23" s="68">
        <v>150</v>
      </c>
      <c r="J23" s="69" t="s">
        <v>71</v>
      </c>
      <c r="K23" s="116">
        <v>0</v>
      </c>
      <c r="L23" s="116">
        <v>0</v>
      </c>
      <c r="M23" s="116">
        <v>1111091.27</v>
      </c>
      <c r="N23" s="117">
        <v>1111091.27</v>
      </c>
      <c r="P23" s="173">
        <v>150</v>
      </c>
      <c r="Q23" s="174" t="s">
        <v>71</v>
      </c>
      <c r="R23" s="183">
        <v>36183.33</v>
      </c>
      <c r="S23" s="183">
        <v>0</v>
      </c>
      <c r="T23" s="183">
        <v>1014208.07</v>
      </c>
      <c r="U23" s="184">
        <v>1014208.07</v>
      </c>
      <c r="W23" s="173">
        <v>150</v>
      </c>
      <c r="X23" s="174" t="s">
        <v>71</v>
      </c>
      <c r="Y23" s="183">
        <v>0</v>
      </c>
      <c r="Z23" s="183">
        <v>0</v>
      </c>
      <c r="AA23" s="183">
        <v>0</v>
      </c>
      <c r="AB23" s="184">
        <v>0</v>
      </c>
      <c r="AD23" s="173">
        <v>150</v>
      </c>
      <c r="AE23" s="174" t="s">
        <v>71</v>
      </c>
      <c r="AF23" s="183">
        <v>70000</v>
      </c>
      <c r="AG23" s="183">
        <v>0</v>
      </c>
      <c r="AH23" s="183">
        <v>409969.64</v>
      </c>
      <c r="AI23" s="184">
        <v>409969.64</v>
      </c>
    </row>
    <row r="24" spans="2:35" x14ac:dyDescent="0.25">
      <c r="B24" s="68">
        <v>160</v>
      </c>
      <c r="C24" s="69" t="s">
        <v>72</v>
      </c>
      <c r="D24" s="116">
        <v>0</v>
      </c>
      <c r="E24" s="116">
        <v>0</v>
      </c>
      <c r="F24" s="116">
        <v>0</v>
      </c>
      <c r="G24" s="117">
        <v>0</v>
      </c>
      <c r="H24" s="174"/>
      <c r="I24" s="68">
        <v>160</v>
      </c>
      <c r="J24" s="69" t="s">
        <v>72</v>
      </c>
      <c r="K24" s="116">
        <v>0</v>
      </c>
      <c r="L24" s="116">
        <v>0</v>
      </c>
      <c r="M24" s="116">
        <v>0</v>
      </c>
      <c r="N24" s="117">
        <v>0</v>
      </c>
      <c r="P24" s="173">
        <v>160</v>
      </c>
      <c r="Q24" s="174" t="s">
        <v>72</v>
      </c>
      <c r="R24" s="183">
        <v>0</v>
      </c>
      <c r="S24" s="183">
        <v>0</v>
      </c>
      <c r="T24" s="183">
        <v>0</v>
      </c>
      <c r="U24" s="184">
        <v>0</v>
      </c>
      <c r="W24" s="173">
        <v>160</v>
      </c>
      <c r="X24" s="174" t="s">
        <v>72</v>
      </c>
      <c r="Y24" s="183">
        <v>0</v>
      </c>
      <c r="Z24" s="183">
        <v>0</v>
      </c>
      <c r="AA24" s="183">
        <v>0</v>
      </c>
      <c r="AB24" s="184">
        <v>0</v>
      </c>
      <c r="AD24" s="173">
        <v>160</v>
      </c>
      <c r="AE24" s="174" t="s">
        <v>72</v>
      </c>
      <c r="AF24" s="183">
        <v>0</v>
      </c>
      <c r="AG24" s="183">
        <v>0</v>
      </c>
      <c r="AH24" s="183">
        <v>0</v>
      </c>
      <c r="AI24" s="184">
        <v>0</v>
      </c>
    </row>
    <row r="25" spans="2:35" ht="13" x14ac:dyDescent="0.3">
      <c r="B25" s="118">
        <v>170</v>
      </c>
      <c r="C25" s="69" t="s">
        <v>30</v>
      </c>
      <c r="D25" s="116">
        <v>0</v>
      </c>
      <c r="E25" s="116">
        <v>0</v>
      </c>
      <c r="F25" s="116">
        <v>11497434.220000001</v>
      </c>
      <c r="G25" s="117">
        <v>11497434.220000001</v>
      </c>
      <c r="H25" s="174"/>
      <c r="I25" s="68">
        <v>170</v>
      </c>
      <c r="J25" s="69" t="s">
        <v>30</v>
      </c>
      <c r="K25" s="116">
        <v>0</v>
      </c>
      <c r="L25" s="116">
        <v>0</v>
      </c>
      <c r="M25" s="116">
        <v>1111091.27</v>
      </c>
      <c r="N25" s="117">
        <v>1111091.27</v>
      </c>
      <c r="P25" s="173">
        <v>170</v>
      </c>
      <c r="Q25" s="174" t="s">
        <v>30</v>
      </c>
      <c r="R25" s="183">
        <v>36183.33</v>
      </c>
      <c r="S25" s="183">
        <v>0</v>
      </c>
      <c r="T25" s="183">
        <v>1014208.07</v>
      </c>
      <c r="U25" s="184">
        <v>1014208.07</v>
      </c>
      <c r="W25" s="173">
        <v>170</v>
      </c>
      <c r="X25" s="174" t="s">
        <v>30</v>
      </c>
      <c r="Y25" s="183">
        <v>0</v>
      </c>
      <c r="Z25" s="183">
        <v>0</v>
      </c>
      <c r="AA25" s="183">
        <v>0</v>
      </c>
      <c r="AB25" s="184">
        <v>0</v>
      </c>
      <c r="AD25" s="173">
        <v>170</v>
      </c>
      <c r="AE25" s="174" t="s">
        <v>30</v>
      </c>
      <c r="AF25" s="183">
        <v>70000</v>
      </c>
      <c r="AG25" s="183">
        <v>0</v>
      </c>
      <c r="AH25" s="183">
        <v>409969.64</v>
      </c>
      <c r="AI25" s="184">
        <v>409969.64</v>
      </c>
    </row>
    <row r="26" spans="2:35" x14ac:dyDescent="0.25">
      <c r="B26" s="68">
        <v>190</v>
      </c>
      <c r="C26" s="69" t="s">
        <v>73</v>
      </c>
      <c r="D26" s="116">
        <v>0</v>
      </c>
      <c r="E26" s="116">
        <v>0</v>
      </c>
      <c r="F26" s="116">
        <v>0</v>
      </c>
      <c r="G26" s="117">
        <v>0</v>
      </c>
      <c r="H26" s="174"/>
      <c r="I26" s="68">
        <v>190</v>
      </c>
      <c r="J26" s="69" t="s">
        <v>73</v>
      </c>
      <c r="K26" s="116">
        <v>0</v>
      </c>
      <c r="L26" s="116">
        <v>0</v>
      </c>
      <c r="M26" s="116">
        <v>0</v>
      </c>
      <c r="N26" s="117">
        <v>0</v>
      </c>
      <c r="P26" s="173">
        <v>190</v>
      </c>
      <c r="Q26" s="174" t="s">
        <v>73</v>
      </c>
      <c r="R26" s="183"/>
      <c r="S26" s="183"/>
      <c r="T26" s="183"/>
      <c r="U26" s="184"/>
      <c r="W26" s="173">
        <v>190</v>
      </c>
      <c r="X26" s="174" t="s">
        <v>73</v>
      </c>
      <c r="Y26" s="183"/>
      <c r="Z26" s="183"/>
      <c r="AA26" s="183"/>
      <c r="AB26" s="184"/>
      <c r="AD26" s="173">
        <v>190</v>
      </c>
      <c r="AE26" s="174" t="s">
        <v>73</v>
      </c>
      <c r="AF26" s="183"/>
      <c r="AG26" s="183"/>
      <c r="AH26" s="183"/>
      <c r="AI26" s="184"/>
    </row>
    <row r="27" spans="2:35" x14ac:dyDescent="0.25">
      <c r="B27" s="68">
        <v>200</v>
      </c>
      <c r="C27" s="69" t="s">
        <v>30</v>
      </c>
      <c r="D27" s="116">
        <v>0</v>
      </c>
      <c r="E27" s="116">
        <v>0</v>
      </c>
      <c r="F27" s="116">
        <v>11497434.220000001</v>
      </c>
      <c r="G27" s="117">
        <v>11497434.220000001</v>
      </c>
      <c r="H27" s="174"/>
      <c r="I27" s="68">
        <v>200</v>
      </c>
      <c r="J27" s="69" t="s">
        <v>30</v>
      </c>
      <c r="K27" s="116">
        <v>0</v>
      </c>
      <c r="L27" s="116">
        <v>0</v>
      </c>
      <c r="M27" s="116">
        <v>1111091.27</v>
      </c>
      <c r="N27" s="117">
        <v>1111091.27</v>
      </c>
      <c r="P27" s="173">
        <v>200</v>
      </c>
      <c r="Q27" s="174" t="s">
        <v>30</v>
      </c>
      <c r="R27" s="183">
        <v>36183.33</v>
      </c>
      <c r="S27" s="183">
        <v>0</v>
      </c>
      <c r="T27" s="183">
        <v>1014208.07</v>
      </c>
      <c r="U27" s="184">
        <v>1014208.07</v>
      </c>
      <c r="W27" s="173">
        <v>200</v>
      </c>
      <c r="X27" s="174" t="s">
        <v>30</v>
      </c>
      <c r="Y27" s="183">
        <v>0</v>
      </c>
      <c r="Z27" s="183">
        <v>0</v>
      </c>
      <c r="AA27" s="183">
        <v>0</v>
      </c>
      <c r="AB27" s="184">
        <v>0</v>
      </c>
      <c r="AD27" s="173">
        <v>200</v>
      </c>
      <c r="AE27" s="174" t="s">
        <v>30</v>
      </c>
      <c r="AF27" s="183">
        <v>70000</v>
      </c>
      <c r="AG27" s="183">
        <v>0</v>
      </c>
      <c r="AH27" s="183">
        <v>409969.64</v>
      </c>
      <c r="AI27" s="184">
        <v>409969.64</v>
      </c>
    </row>
    <row r="28" spans="2:35" x14ac:dyDescent="0.25">
      <c r="B28" s="68">
        <v>210</v>
      </c>
      <c r="C28" s="69" t="s">
        <v>74</v>
      </c>
      <c r="D28" s="116">
        <v>0</v>
      </c>
      <c r="E28" s="116">
        <v>0</v>
      </c>
      <c r="F28" s="116">
        <v>11497434.220000001</v>
      </c>
      <c r="G28" s="117">
        <v>11497434.220000001</v>
      </c>
      <c r="H28" s="174"/>
      <c r="I28" s="68">
        <v>210</v>
      </c>
      <c r="J28" s="69" t="s">
        <v>74</v>
      </c>
      <c r="K28" s="116">
        <v>0</v>
      </c>
      <c r="L28" s="116">
        <v>0</v>
      </c>
      <c r="M28" s="116">
        <v>1111091.27</v>
      </c>
      <c r="N28" s="117">
        <v>1111091.27</v>
      </c>
      <c r="P28" s="173">
        <v>210</v>
      </c>
      <c r="Q28" s="174" t="s">
        <v>74</v>
      </c>
      <c r="R28" s="183">
        <v>36183.33</v>
      </c>
      <c r="S28" s="183">
        <v>0</v>
      </c>
      <c r="T28" s="183">
        <v>1014208.07</v>
      </c>
      <c r="U28" s="184">
        <v>1014208.07</v>
      </c>
      <c r="W28" s="173">
        <v>210</v>
      </c>
      <c r="X28" s="174" t="s">
        <v>74</v>
      </c>
      <c r="Y28" s="183">
        <v>0</v>
      </c>
      <c r="Z28" s="183">
        <v>0</v>
      </c>
      <c r="AA28" s="183">
        <v>0</v>
      </c>
      <c r="AB28" s="184">
        <v>0</v>
      </c>
      <c r="AD28" s="173">
        <v>210</v>
      </c>
      <c r="AE28" s="174" t="s">
        <v>74</v>
      </c>
      <c r="AF28" s="183">
        <v>70000</v>
      </c>
      <c r="AG28" s="183">
        <v>0</v>
      </c>
      <c r="AH28" s="183">
        <v>409969.64</v>
      </c>
      <c r="AI28" s="184">
        <v>409969.64</v>
      </c>
    </row>
    <row r="29" spans="2:35" x14ac:dyDescent="0.25">
      <c r="B29" s="68">
        <v>220</v>
      </c>
      <c r="C29" s="69" t="s">
        <v>75</v>
      </c>
      <c r="D29" s="116">
        <v>0</v>
      </c>
      <c r="E29" s="116">
        <v>0</v>
      </c>
      <c r="F29" s="116">
        <v>0</v>
      </c>
      <c r="G29" s="117">
        <v>0</v>
      </c>
      <c r="H29" s="174"/>
      <c r="I29" s="68">
        <v>220</v>
      </c>
      <c r="J29" s="69" t="s">
        <v>75</v>
      </c>
      <c r="K29" s="116">
        <v>0</v>
      </c>
      <c r="L29" s="116">
        <v>0</v>
      </c>
      <c r="M29" s="116">
        <v>0</v>
      </c>
      <c r="N29" s="117">
        <v>0</v>
      </c>
      <c r="P29" s="173">
        <v>220</v>
      </c>
      <c r="Q29" s="174" t="s">
        <v>75</v>
      </c>
      <c r="R29" s="183"/>
      <c r="S29" s="183"/>
      <c r="T29" s="183"/>
      <c r="U29" s="184"/>
      <c r="W29" s="173">
        <v>220</v>
      </c>
      <c r="X29" s="174" t="s">
        <v>75</v>
      </c>
      <c r="Y29" s="183"/>
      <c r="Z29" s="183"/>
      <c r="AA29" s="183"/>
      <c r="AB29" s="184"/>
      <c r="AD29" s="173">
        <v>220</v>
      </c>
      <c r="AE29" s="174" t="s">
        <v>75</v>
      </c>
      <c r="AF29" s="183"/>
      <c r="AG29" s="183"/>
      <c r="AH29" s="183"/>
      <c r="AI29" s="184"/>
    </row>
    <row r="30" spans="2:35" x14ac:dyDescent="0.25">
      <c r="B30" s="68">
        <v>230</v>
      </c>
      <c r="C30" s="69" t="s">
        <v>43</v>
      </c>
      <c r="D30" s="116">
        <v>0</v>
      </c>
      <c r="E30" s="116">
        <v>-120993855.59</v>
      </c>
      <c r="F30" s="116">
        <v>-130064015.3</v>
      </c>
      <c r="G30" s="117">
        <v>-9070159.7100000009</v>
      </c>
      <c r="H30" s="174"/>
      <c r="I30" s="68">
        <v>230</v>
      </c>
      <c r="J30" s="69" t="s">
        <v>43</v>
      </c>
      <c r="K30" s="116">
        <v>0</v>
      </c>
      <c r="L30" s="116">
        <v>-4249300.2300000004</v>
      </c>
      <c r="M30" s="116">
        <v>-3986403.73</v>
      </c>
      <c r="N30" s="117">
        <v>262896.5</v>
      </c>
      <c r="P30" s="173">
        <v>230</v>
      </c>
      <c r="Q30" s="174" t="s">
        <v>43</v>
      </c>
      <c r="R30" s="183">
        <v>-38.49</v>
      </c>
      <c r="S30" s="183">
        <v>-450792.54</v>
      </c>
      <c r="T30" s="183">
        <v>-494530.02</v>
      </c>
      <c r="U30" s="184">
        <v>-43737.48</v>
      </c>
      <c r="W30" s="173">
        <v>230</v>
      </c>
      <c r="X30" s="174" t="s">
        <v>43</v>
      </c>
      <c r="Y30" s="183">
        <v>0</v>
      </c>
      <c r="Z30" s="183">
        <v>0</v>
      </c>
      <c r="AA30" s="183">
        <v>0</v>
      </c>
      <c r="AB30" s="184">
        <v>0</v>
      </c>
      <c r="AD30" s="173">
        <v>230</v>
      </c>
      <c r="AE30" s="174" t="s">
        <v>43</v>
      </c>
      <c r="AF30" s="183">
        <v>-80000</v>
      </c>
      <c r="AG30" s="183">
        <v>-220800</v>
      </c>
      <c r="AH30" s="183">
        <v>-402800</v>
      </c>
      <c r="AI30" s="184">
        <v>-182000</v>
      </c>
    </row>
    <row r="31" spans="2:35" x14ac:dyDescent="0.25">
      <c r="B31" s="68">
        <v>240</v>
      </c>
      <c r="C31" s="69" t="s">
        <v>44</v>
      </c>
      <c r="D31" s="116">
        <v>0</v>
      </c>
      <c r="E31" s="116">
        <v>-22396601.859999999</v>
      </c>
      <c r="F31" s="116">
        <v>-26836664.960000001</v>
      </c>
      <c r="G31" s="117">
        <v>-4440063.0999999996</v>
      </c>
      <c r="H31" s="174"/>
      <c r="I31" s="68">
        <v>240</v>
      </c>
      <c r="J31" s="69" t="s">
        <v>44</v>
      </c>
      <c r="K31" s="116">
        <v>0</v>
      </c>
      <c r="L31" s="116">
        <v>-15043564.689999999</v>
      </c>
      <c r="M31" s="116">
        <v>-11266817.689999999</v>
      </c>
      <c r="N31" s="117">
        <v>3776747</v>
      </c>
      <c r="P31" s="173">
        <v>240</v>
      </c>
      <c r="Q31" s="174" t="s">
        <v>44</v>
      </c>
      <c r="R31" s="183">
        <v>-17610.990000000002</v>
      </c>
      <c r="S31" s="183">
        <v>-23271</v>
      </c>
      <c r="T31" s="183">
        <v>-490881.99</v>
      </c>
      <c r="U31" s="184">
        <v>-467610.99</v>
      </c>
      <c r="W31" s="173">
        <v>240</v>
      </c>
      <c r="X31" s="174" t="s">
        <v>44</v>
      </c>
      <c r="Y31" s="183">
        <v>0</v>
      </c>
      <c r="Z31" s="183">
        <v>0</v>
      </c>
      <c r="AA31" s="183">
        <v>0</v>
      </c>
      <c r="AB31" s="184">
        <v>0</v>
      </c>
      <c r="AD31" s="173">
        <v>240</v>
      </c>
      <c r="AE31" s="174" t="s">
        <v>44</v>
      </c>
      <c r="AF31" s="183">
        <v>0</v>
      </c>
      <c r="AG31" s="183">
        <v>-1500</v>
      </c>
      <c r="AH31" s="183">
        <v>-201500</v>
      </c>
      <c r="AI31" s="184">
        <v>-200000</v>
      </c>
    </row>
    <row r="32" spans="2:35" x14ac:dyDescent="0.25">
      <c r="B32" s="68">
        <v>250</v>
      </c>
      <c r="C32" s="69" t="s">
        <v>45</v>
      </c>
      <c r="D32" s="116">
        <v>0</v>
      </c>
      <c r="E32" s="116">
        <v>-164061299.02000001</v>
      </c>
      <c r="F32" s="116">
        <v>-159251158.62</v>
      </c>
      <c r="G32" s="117">
        <v>4810140.4000000004</v>
      </c>
      <c r="H32" s="174"/>
      <c r="I32" s="68">
        <v>250</v>
      </c>
      <c r="J32" s="69" t="s">
        <v>45</v>
      </c>
      <c r="K32" s="116">
        <v>0</v>
      </c>
      <c r="L32" s="116">
        <v>0</v>
      </c>
      <c r="M32" s="116">
        <v>0</v>
      </c>
      <c r="N32" s="117">
        <v>0</v>
      </c>
      <c r="P32" s="173">
        <v>250</v>
      </c>
      <c r="Q32" s="174" t="s">
        <v>45</v>
      </c>
      <c r="R32" s="183">
        <v>0</v>
      </c>
      <c r="S32" s="183">
        <v>0</v>
      </c>
      <c r="T32" s="183">
        <v>0</v>
      </c>
      <c r="U32" s="184">
        <v>0</v>
      </c>
      <c r="W32" s="173">
        <v>250</v>
      </c>
      <c r="X32" s="174" t="s">
        <v>45</v>
      </c>
      <c r="Y32" s="183">
        <v>0</v>
      </c>
      <c r="Z32" s="183">
        <v>0</v>
      </c>
      <c r="AA32" s="183">
        <v>0</v>
      </c>
      <c r="AB32" s="184">
        <v>0</v>
      </c>
      <c r="AD32" s="173">
        <v>250</v>
      </c>
      <c r="AE32" s="174" t="s">
        <v>45</v>
      </c>
      <c r="AF32" s="183">
        <v>0</v>
      </c>
      <c r="AG32" s="183">
        <v>0</v>
      </c>
      <c r="AH32" s="183">
        <v>0</v>
      </c>
      <c r="AI32" s="184">
        <v>0</v>
      </c>
    </row>
    <row r="33" spans="2:35" x14ac:dyDescent="0.25">
      <c r="B33" s="68">
        <v>260</v>
      </c>
      <c r="C33" s="69" t="s">
        <v>76</v>
      </c>
      <c r="D33" s="116">
        <v>0</v>
      </c>
      <c r="E33" s="116">
        <v>0</v>
      </c>
      <c r="F33" s="116">
        <v>0</v>
      </c>
      <c r="G33" s="117">
        <v>0</v>
      </c>
      <c r="H33" s="174"/>
      <c r="I33" s="68">
        <v>260</v>
      </c>
      <c r="J33" s="69" t="s">
        <v>76</v>
      </c>
      <c r="K33" s="116">
        <v>0</v>
      </c>
      <c r="L33" s="116">
        <v>-221382.43</v>
      </c>
      <c r="M33" s="116">
        <v>-601122.01</v>
      </c>
      <c r="N33" s="117">
        <v>-379739.58</v>
      </c>
      <c r="P33" s="173">
        <v>260</v>
      </c>
      <c r="Q33" s="174" t="s">
        <v>76</v>
      </c>
      <c r="R33" s="183">
        <v>-6205.07</v>
      </c>
      <c r="S33" s="183">
        <v>-113106.14</v>
      </c>
      <c r="T33" s="183">
        <v>-124216.03</v>
      </c>
      <c r="U33" s="184">
        <v>-11109.89</v>
      </c>
      <c r="W33" s="173">
        <v>260</v>
      </c>
      <c r="X33" s="174" t="s">
        <v>76</v>
      </c>
      <c r="Y33" s="183">
        <v>0</v>
      </c>
      <c r="Z33" s="183">
        <v>-5607.18</v>
      </c>
      <c r="AA33" s="183">
        <v>-5607.18</v>
      </c>
      <c r="AB33" s="184">
        <v>0</v>
      </c>
      <c r="AD33" s="173">
        <v>260</v>
      </c>
      <c r="AE33" s="174" t="s">
        <v>76</v>
      </c>
      <c r="AF33" s="183">
        <v>0</v>
      </c>
      <c r="AG33" s="183">
        <v>-2206982.2000000002</v>
      </c>
      <c r="AH33" s="183">
        <v>-2208570.6800000002</v>
      </c>
      <c r="AI33" s="184">
        <v>-1588.48</v>
      </c>
    </row>
    <row r="34" spans="2:35" x14ac:dyDescent="0.25">
      <c r="B34" s="68">
        <v>270</v>
      </c>
      <c r="C34" s="69" t="s">
        <v>46</v>
      </c>
      <c r="D34" s="116">
        <v>0</v>
      </c>
      <c r="E34" s="116">
        <v>-2638575.4300000002</v>
      </c>
      <c r="F34" s="116">
        <v>-4829962.43</v>
      </c>
      <c r="G34" s="117">
        <v>-2191387</v>
      </c>
      <c r="H34" s="174"/>
      <c r="I34" s="68">
        <v>270</v>
      </c>
      <c r="J34" s="69" t="s">
        <v>46</v>
      </c>
      <c r="K34" s="116">
        <v>0</v>
      </c>
      <c r="L34" s="116">
        <v>193180.37</v>
      </c>
      <c r="M34" s="116">
        <v>277287.65999999997</v>
      </c>
      <c r="N34" s="117">
        <v>84107.29</v>
      </c>
      <c r="P34" s="173">
        <v>270</v>
      </c>
      <c r="Q34" s="174" t="s">
        <v>46</v>
      </c>
      <c r="R34" s="183">
        <v>0</v>
      </c>
      <c r="S34" s="183">
        <v>985.58</v>
      </c>
      <c r="T34" s="183">
        <v>985.75</v>
      </c>
      <c r="U34" s="184">
        <v>0.17</v>
      </c>
      <c r="W34" s="173">
        <v>270</v>
      </c>
      <c r="X34" s="174" t="s">
        <v>46</v>
      </c>
      <c r="Y34" s="183">
        <v>0</v>
      </c>
      <c r="Z34" s="183">
        <v>0</v>
      </c>
      <c r="AA34" s="183">
        <v>0</v>
      </c>
      <c r="AB34" s="184">
        <v>0</v>
      </c>
      <c r="AD34" s="173">
        <v>270</v>
      </c>
      <c r="AE34" s="174" t="s">
        <v>46</v>
      </c>
      <c r="AF34" s="183">
        <v>0</v>
      </c>
      <c r="AG34" s="183">
        <v>0</v>
      </c>
      <c r="AH34" s="183">
        <v>0</v>
      </c>
      <c r="AI34" s="184">
        <v>0</v>
      </c>
    </row>
    <row r="35" spans="2:35" x14ac:dyDescent="0.25">
      <c r="B35" s="68">
        <v>280</v>
      </c>
      <c r="C35" s="69" t="s">
        <v>77</v>
      </c>
      <c r="D35" s="116">
        <v>0</v>
      </c>
      <c r="E35" s="116">
        <v>0</v>
      </c>
      <c r="F35" s="116">
        <v>0</v>
      </c>
      <c r="G35" s="117">
        <v>0</v>
      </c>
      <c r="H35" s="174"/>
      <c r="I35" s="68">
        <v>280</v>
      </c>
      <c r="J35" s="69" t="s">
        <v>77</v>
      </c>
      <c r="K35" s="116">
        <v>0</v>
      </c>
      <c r="L35" s="116">
        <v>0</v>
      </c>
      <c r="M35" s="116">
        <v>0</v>
      </c>
      <c r="N35" s="117">
        <v>0</v>
      </c>
      <c r="P35" s="173">
        <v>280</v>
      </c>
      <c r="Q35" s="174" t="s">
        <v>77</v>
      </c>
      <c r="R35" s="183">
        <v>0</v>
      </c>
      <c r="S35" s="183">
        <v>0</v>
      </c>
      <c r="T35" s="183">
        <v>0</v>
      </c>
      <c r="U35" s="184">
        <v>0</v>
      </c>
      <c r="W35" s="173">
        <v>280</v>
      </c>
      <c r="X35" s="174" t="s">
        <v>77</v>
      </c>
      <c r="Y35" s="183">
        <v>0</v>
      </c>
      <c r="Z35" s="183">
        <v>0</v>
      </c>
      <c r="AA35" s="183">
        <v>0</v>
      </c>
      <c r="AB35" s="184">
        <v>0</v>
      </c>
      <c r="AD35" s="173">
        <v>280</v>
      </c>
      <c r="AE35" s="174" t="s">
        <v>77</v>
      </c>
      <c r="AF35" s="183">
        <v>0</v>
      </c>
      <c r="AG35" s="183">
        <v>0</v>
      </c>
      <c r="AH35" s="183">
        <v>0</v>
      </c>
      <c r="AI35" s="184">
        <v>0</v>
      </c>
    </row>
    <row r="36" spans="2:35" x14ac:dyDescent="0.25">
      <c r="B36" s="68">
        <v>290</v>
      </c>
      <c r="C36" s="69" t="s">
        <v>78</v>
      </c>
      <c r="D36" s="116">
        <v>0</v>
      </c>
      <c r="E36" s="116">
        <v>-37450661.590000004</v>
      </c>
      <c r="F36" s="116">
        <v>-36684473.259999998</v>
      </c>
      <c r="G36" s="117">
        <v>766188.33</v>
      </c>
      <c r="H36" s="174"/>
      <c r="I36" s="68">
        <v>290</v>
      </c>
      <c r="J36" s="69" t="s">
        <v>78</v>
      </c>
      <c r="K36" s="116">
        <v>0</v>
      </c>
      <c r="L36" s="116">
        <v>0</v>
      </c>
      <c r="M36" s="116">
        <v>0</v>
      </c>
      <c r="N36" s="117">
        <v>0</v>
      </c>
      <c r="P36" s="173">
        <v>290</v>
      </c>
      <c r="Q36" s="174" t="s">
        <v>78</v>
      </c>
      <c r="R36" s="183">
        <v>0</v>
      </c>
      <c r="S36" s="183">
        <v>0</v>
      </c>
      <c r="T36" s="183">
        <v>0</v>
      </c>
      <c r="U36" s="184">
        <v>0</v>
      </c>
      <c r="W36" s="173">
        <v>290</v>
      </c>
      <c r="X36" s="174" t="s">
        <v>78</v>
      </c>
      <c r="Y36" s="183">
        <v>0</v>
      </c>
      <c r="Z36" s="183">
        <v>0</v>
      </c>
      <c r="AA36" s="183">
        <v>0</v>
      </c>
      <c r="AB36" s="184">
        <v>0</v>
      </c>
      <c r="AD36" s="173">
        <v>290</v>
      </c>
      <c r="AE36" s="174" t="s">
        <v>78</v>
      </c>
      <c r="AF36" s="183">
        <v>0</v>
      </c>
      <c r="AG36" s="183">
        <v>0</v>
      </c>
      <c r="AH36" s="183">
        <v>0</v>
      </c>
      <c r="AI36" s="184">
        <v>0</v>
      </c>
    </row>
    <row r="37" spans="2:35" x14ac:dyDescent="0.25">
      <c r="B37" s="68">
        <v>300</v>
      </c>
      <c r="C37" s="69" t="s">
        <v>52</v>
      </c>
      <c r="D37" s="116">
        <v>0</v>
      </c>
      <c r="E37" s="116">
        <v>0</v>
      </c>
      <c r="F37" s="116">
        <v>0</v>
      </c>
      <c r="G37" s="117">
        <v>0</v>
      </c>
      <c r="H37" s="174"/>
      <c r="I37" s="68">
        <v>300</v>
      </c>
      <c r="J37" s="69" t="s">
        <v>52</v>
      </c>
      <c r="K37" s="116">
        <v>0</v>
      </c>
      <c r="L37" s="116">
        <v>307238.40000000002</v>
      </c>
      <c r="M37" s="116">
        <v>7238.41</v>
      </c>
      <c r="N37" s="117">
        <v>-299999.99</v>
      </c>
      <c r="P37" s="173">
        <v>300</v>
      </c>
      <c r="Q37" s="174" t="s">
        <v>52</v>
      </c>
      <c r="R37" s="183">
        <v>0</v>
      </c>
      <c r="S37" s="183">
        <v>0</v>
      </c>
      <c r="T37" s="183">
        <v>0</v>
      </c>
      <c r="U37" s="184">
        <v>0</v>
      </c>
      <c r="W37" s="173">
        <v>300</v>
      </c>
      <c r="X37" s="174" t="s">
        <v>52</v>
      </c>
      <c r="Y37" s="183">
        <v>0</v>
      </c>
      <c r="Z37" s="183">
        <v>0</v>
      </c>
      <c r="AA37" s="183">
        <v>0</v>
      </c>
      <c r="AB37" s="184">
        <v>0</v>
      </c>
      <c r="AD37" s="173">
        <v>300</v>
      </c>
      <c r="AE37" s="174" t="s">
        <v>52</v>
      </c>
      <c r="AF37" s="183">
        <v>0</v>
      </c>
      <c r="AG37" s="183">
        <v>0</v>
      </c>
      <c r="AH37" s="183">
        <v>0</v>
      </c>
      <c r="AI37" s="184">
        <v>0</v>
      </c>
    </row>
    <row r="38" spans="2:35" x14ac:dyDescent="0.25">
      <c r="B38" s="68">
        <v>310</v>
      </c>
      <c r="C38" s="69" t="s">
        <v>79</v>
      </c>
      <c r="D38" s="116">
        <v>0</v>
      </c>
      <c r="E38" s="116">
        <v>0</v>
      </c>
      <c r="F38" s="116">
        <v>0</v>
      </c>
      <c r="G38" s="117">
        <v>0</v>
      </c>
      <c r="H38" s="174"/>
      <c r="I38" s="68">
        <v>310</v>
      </c>
      <c r="J38" s="69" t="s">
        <v>79</v>
      </c>
      <c r="K38" s="116">
        <v>0</v>
      </c>
      <c r="L38" s="116">
        <v>0</v>
      </c>
      <c r="M38" s="116">
        <v>0</v>
      </c>
      <c r="N38" s="117">
        <v>0</v>
      </c>
      <c r="P38" s="173">
        <v>310</v>
      </c>
      <c r="Q38" s="174" t="s">
        <v>79</v>
      </c>
      <c r="R38" s="183">
        <v>0</v>
      </c>
      <c r="S38" s="183">
        <v>78400</v>
      </c>
      <c r="T38" s="183">
        <v>78400</v>
      </c>
      <c r="U38" s="184">
        <v>0</v>
      </c>
      <c r="W38" s="173">
        <v>310</v>
      </c>
      <c r="X38" s="174" t="s">
        <v>79</v>
      </c>
      <c r="Y38" s="183">
        <v>0</v>
      </c>
      <c r="Z38" s="183">
        <v>0</v>
      </c>
      <c r="AA38" s="183">
        <v>0</v>
      </c>
      <c r="AB38" s="184">
        <v>0</v>
      </c>
      <c r="AD38" s="173">
        <v>310</v>
      </c>
      <c r="AE38" s="174" t="s">
        <v>79</v>
      </c>
      <c r="AF38" s="183">
        <v>0</v>
      </c>
      <c r="AG38" s="183">
        <v>0</v>
      </c>
      <c r="AH38" s="183">
        <v>0</v>
      </c>
      <c r="AI38" s="184">
        <v>0</v>
      </c>
    </row>
    <row r="39" spans="2:35" x14ac:dyDescent="0.25">
      <c r="B39" s="68">
        <v>320</v>
      </c>
      <c r="C39" s="69" t="s">
        <v>80</v>
      </c>
      <c r="D39" s="116">
        <v>0</v>
      </c>
      <c r="E39" s="116">
        <v>7517496.8200000003</v>
      </c>
      <c r="F39" s="116">
        <v>7185958.0599999996</v>
      </c>
      <c r="G39" s="117">
        <v>-331538.76</v>
      </c>
      <c r="H39" s="174"/>
      <c r="I39" s="68">
        <v>320</v>
      </c>
      <c r="J39" s="69" t="s">
        <v>80</v>
      </c>
      <c r="K39" s="116">
        <v>0</v>
      </c>
      <c r="L39" s="116">
        <v>2249327.66</v>
      </c>
      <c r="M39" s="116">
        <v>2333681.34</v>
      </c>
      <c r="N39" s="117">
        <v>84353.68</v>
      </c>
      <c r="P39" s="173">
        <v>320</v>
      </c>
      <c r="Q39" s="174" t="s">
        <v>80</v>
      </c>
      <c r="R39" s="183">
        <v>13630.03</v>
      </c>
      <c r="S39" s="183">
        <v>5406864.0499999998</v>
      </c>
      <c r="T39" s="183">
        <v>5498632.1100000003</v>
      </c>
      <c r="U39" s="184">
        <v>91768.06</v>
      </c>
      <c r="W39" s="173">
        <v>320</v>
      </c>
      <c r="X39" s="174" t="s">
        <v>80</v>
      </c>
      <c r="Y39" s="183">
        <v>0</v>
      </c>
      <c r="Z39" s="183">
        <v>57347.38</v>
      </c>
      <c r="AA39" s="183">
        <v>57347.38</v>
      </c>
      <c r="AB39" s="184">
        <v>0</v>
      </c>
      <c r="AD39" s="173">
        <v>320</v>
      </c>
      <c r="AE39" s="174" t="s">
        <v>80</v>
      </c>
      <c r="AF39" s="183">
        <v>-22167</v>
      </c>
      <c r="AG39" s="183">
        <v>20554940.030000001</v>
      </c>
      <c r="AH39" s="183">
        <v>20562964.77</v>
      </c>
      <c r="AI39" s="184">
        <v>8024.74</v>
      </c>
    </row>
    <row r="40" spans="2:35" x14ac:dyDescent="0.25">
      <c r="B40" s="68">
        <v>330</v>
      </c>
      <c r="C40" s="69" t="s">
        <v>81</v>
      </c>
      <c r="D40" s="116">
        <v>0</v>
      </c>
      <c r="E40" s="116">
        <v>1869921.55</v>
      </c>
      <c r="F40" s="116">
        <v>1812085.87</v>
      </c>
      <c r="G40" s="117">
        <v>-57835.68</v>
      </c>
      <c r="H40" s="174"/>
      <c r="I40" s="68">
        <v>330</v>
      </c>
      <c r="J40" s="69" t="s">
        <v>81</v>
      </c>
      <c r="K40" s="116">
        <v>0</v>
      </c>
      <c r="L40" s="116">
        <v>760081.98</v>
      </c>
      <c r="M40" s="116">
        <v>691339.06</v>
      </c>
      <c r="N40" s="117">
        <v>-68742.92</v>
      </c>
      <c r="P40" s="173">
        <v>330</v>
      </c>
      <c r="Q40" s="174" t="s">
        <v>81</v>
      </c>
      <c r="R40" s="183">
        <v>1695.72</v>
      </c>
      <c r="S40" s="183">
        <v>65978.759999999995</v>
      </c>
      <c r="T40" s="183">
        <v>99767.46</v>
      </c>
      <c r="U40" s="184">
        <v>33788.699999999997</v>
      </c>
      <c r="W40" s="173">
        <v>330</v>
      </c>
      <c r="X40" s="174" t="s">
        <v>81</v>
      </c>
      <c r="Y40" s="183">
        <v>0</v>
      </c>
      <c r="Z40" s="183">
        <v>0</v>
      </c>
      <c r="AA40" s="183">
        <v>0</v>
      </c>
      <c r="AB40" s="184">
        <v>0</v>
      </c>
      <c r="AD40" s="173">
        <v>330</v>
      </c>
      <c r="AE40" s="174" t="s">
        <v>81</v>
      </c>
      <c r="AF40" s="183">
        <v>10000</v>
      </c>
      <c r="AG40" s="183">
        <v>43200</v>
      </c>
      <c r="AH40" s="183">
        <v>102270</v>
      </c>
      <c r="AI40" s="184">
        <v>59070</v>
      </c>
    </row>
    <row r="41" spans="2:35" x14ac:dyDescent="0.25">
      <c r="B41" s="68">
        <v>340</v>
      </c>
      <c r="C41" s="69" t="s">
        <v>82</v>
      </c>
      <c r="D41" s="116">
        <v>0</v>
      </c>
      <c r="E41" s="116">
        <v>1016734.14</v>
      </c>
      <c r="F41" s="116">
        <v>1016734.14</v>
      </c>
      <c r="G41" s="117">
        <v>0</v>
      </c>
      <c r="H41" s="174"/>
      <c r="I41" s="68">
        <v>340</v>
      </c>
      <c r="J41" s="69" t="s">
        <v>82</v>
      </c>
      <c r="K41" s="116">
        <v>0</v>
      </c>
      <c r="L41" s="116">
        <v>117803.58</v>
      </c>
      <c r="M41" s="116">
        <v>55311.29</v>
      </c>
      <c r="N41" s="117">
        <v>-62492.29</v>
      </c>
      <c r="P41" s="173">
        <v>340</v>
      </c>
      <c r="Q41" s="174" t="s">
        <v>82</v>
      </c>
      <c r="R41" s="183">
        <v>6339.62</v>
      </c>
      <c r="S41" s="183">
        <v>5371.91</v>
      </c>
      <c r="T41" s="183">
        <v>14879.15</v>
      </c>
      <c r="U41" s="184">
        <v>9507.24</v>
      </c>
      <c r="W41" s="173">
        <v>340</v>
      </c>
      <c r="X41" s="174" t="s">
        <v>82</v>
      </c>
      <c r="Y41" s="183">
        <v>0</v>
      </c>
      <c r="Z41" s="183">
        <v>6045.2</v>
      </c>
      <c r="AA41" s="183">
        <v>6045.2</v>
      </c>
      <c r="AB41" s="184">
        <v>0</v>
      </c>
      <c r="AD41" s="173">
        <v>340</v>
      </c>
      <c r="AE41" s="174" t="s">
        <v>82</v>
      </c>
      <c r="AF41" s="183">
        <v>0</v>
      </c>
      <c r="AG41" s="183">
        <v>34917.81</v>
      </c>
      <c r="AH41" s="183">
        <v>28796.91</v>
      </c>
      <c r="AI41" s="184">
        <v>-6120.9</v>
      </c>
    </row>
    <row r="42" spans="2:35" x14ac:dyDescent="0.25">
      <c r="B42" s="68">
        <v>350</v>
      </c>
      <c r="C42" s="69" t="s">
        <v>83</v>
      </c>
      <c r="D42" s="116">
        <v>0</v>
      </c>
      <c r="E42" s="116">
        <v>0</v>
      </c>
      <c r="F42" s="116">
        <v>0</v>
      </c>
      <c r="G42" s="117">
        <v>0</v>
      </c>
      <c r="H42" s="174"/>
      <c r="I42" s="68">
        <v>350</v>
      </c>
      <c r="J42" s="69" t="s">
        <v>83</v>
      </c>
      <c r="K42" s="116">
        <v>0</v>
      </c>
      <c r="L42" s="116">
        <v>0</v>
      </c>
      <c r="M42" s="116">
        <v>0</v>
      </c>
      <c r="N42" s="117">
        <v>0</v>
      </c>
      <c r="P42" s="173">
        <v>350</v>
      </c>
      <c r="Q42" s="174" t="s">
        <v>83</v>
      </c>
      <c r="R42" s="183">
        <v>0</v>
      </c>
      <c r="S42" s="183">
        <v>0</v>
      </c>
      <c r="T42" s="183">
        <v>0</v>
      </c>
      <c r="U42" s="184">
        <v>0</v>
      </c>
      <c r="W42" s="173">
        <v>350</v>
      </c>
      <c r="X42" s="174" t="s">
        <v>83</v>
      </c>
      <c r="Y42" s="183">
        <v>0</v>
      </c>
      <c r="Z42" s="183">
        <v>0</v>
      </c>
      <c r="AA42" s="183">
        <v>0</v>
      </c>
      <c r="AB42" s="184">
        <v>0</v>
      </c>
      <c r="AD42" s="173">
        <v>350</v>
      </c>
      <c r="AE42" s="174" t="s">
        <v>83</v>
      </c>
      <c r="AF42" s="183">
        <v>0</v>
      </c>
      <c r="AG42" s="183">
        <v>0</v>
      </c>
      <c r="AH42" s="183">
        <v>0</v>
      </c>
      <c r="AI42" s="184">
        <v>0</v>
      </c>
    </row>
    <row r="43" spans="2:35" x14ac:dyDescent="0.25">
      <c r="B43" s="68">
        <v>360</v>
      </c>
      <c r="C43" s="69" t="s">
        <v>84</v>
      </c>
      <c r="D43" s="116">
        <v>0</v>
      </c>
      <c r="E43" s="116">
        <v>17898267.760000002</v>
      </c>
      <c r="F43" s="116">
        <v>17744540.43</v>
      </c>
      <c r="G43" s="117">
        <v>-153727.32999999999</v>
      </c>
      <c r="H43" s="174"/>
      <c r="I43" s="68">
        <v>360</v>
      </c>
      <c r="J43" s="69" t="s">
        <v>84</v>
      </c>
      <c r="K43" s="116">
        <v>0</v>
      </c>
      <c r="L43" s="116">
        <v>0</v>
      </c>
      <c r="M43" s="116">
        <v>0</v>
      </c>
      <c r="N43" s="117">
        <v>0</v>
      </c>
      <c r="P43" s="173">
        <v>360</v>
      </c>
      <c r="Q43" s="174" t="s">
        <v>84</v>
      </c>
      <c r="R43" s="183">
        <v>0</v>
      </c>
      <c r="S43" s="183">
        <v>0</v>
      </c>
      <c r="T43" s="183">
        <v>0</v>
      </c>
      <c r="U43" s="184">
        <v>0</v>
      </c>
      <c r="W43" s="173">
        <v>360</v>
      </c>
      <c r="X43" s="174" t="s">
        <v>84</v>
      </c>
      <c r="Y43" s="183">
        <v>0</v>
      </c>
      <c r="Z43" s="183">
        <v>0</v>
      </c>
      <c r="AA43" s="183">
        <v>0</v>
      </c>
      <c r="AB43" s="184">
        <v>0</v>
      </c>
      <c r="AD43" s="173">
        <v>360</v>
      </c>
      <c r="AE43" s="174" t="s">
        <v>84</v>
      </c>
      <c r="AF43" s="183">
        <v>0</v>
      </c>
      <c r="AG43" s="183">
        <v>0</v>
      </c>
      <c r="AH43" s="183">
        <v>0</v>
      </c>
      <c r="AI43" s="184">
        <v>0</v>
      </c>
    </row>
    <row r="44" spans="2:35" x14ac:dyDescent="0.25">
      <c r="B44" s="68">
        <v>370</v>
      </c>
      <c r="C44" s="69" t="s">
        <v>85</v>
      </c>
      <c r="D44" s="116">
        <v>0</v>
      </c>
      <c r="E44" s="116">
        <v>40539047.170000002</v>
      </c>
      <c r="F44" s="116">
        <v>39772858.840000004</v>
      </c>
      <c r="G44" s="117">
        <v>-766188.33</v>
      </c>
      <c r="H44" s="174"/>
      <c r="I44" s="68">
        <v>370</v>
      </c>
      <c r="J44" s="69" t="s">
        <v>85</v>
      </c>
      <c r="K44" s="116">
        <v>0</v>
      </c>
      <c r="L44" s="116">
        <v>0</v>
      </c>
      <c r="M44" s="116">
        <v>0</v>
      </c>
      <c r="N44" s="117">
        <v>0</v>
      </c>
      <c r="P44" s="173">
        <v>370</v>
      </c>
      <c r="Q44" s="174" t="s">
        <v>85</v>
      </c>
      <c r="R44" s="183">
        <v>0</v>
      </c>
      <c r="S44" s="183">
        <v>0</v>
      </c>
      <c r="T44" s="183">
        <v>0</v>
      </c>
      <c r="U44" s="184">
        <v>0</v>
      </c>
      <c r="W44" s="173">
        <v>370</v>
      </c>
      <c r="X44" s="174" t="s">
        <v>85</v>
      </c>
      <c r="Y44" s="183">
        <v>0</v>
      </c>
      <c r="Z44" s="183">
        <v>0</v>
      </c>
      <c r="AA44" s="183">
        <v>0</v>
      </c>
      <c r="AB44" s="184">
        <v>0</v>
      </c>
      <c r="AD44" s="173">
        <v>370</v>
      </c>
      <c r="AE44" s="174" t="s">
        <v>85</v>
      </c>
      <c r="AF44" s="183">
        <v>0</v>
      </c>
      <c r="AG44" s="183">
        <v>0</v>
      </c>
      <c r="AH44" s="183">
        <v>0</v>
      </c>
      <c r="AI44" s="184">
        <v>0</v>
      </c>
    </row>
    <row r="45" spans="2:35" x14ac:dyDescent="0.25">
      <c r="B45" s="68">
        <v>380</v>
      </c>
      <c r="C45" s="69" t="s">
        <v>86</v>
      </c>
      <c r="D45" s="116">
        <v>0</v>
      </c>
      <c r="E45" s="116">
        <v>-278699526.05000001</v>
      </c>
      <c r="F45" s="116">
        <v>-290134097.23000002</v>
      </c>
      <c r="G45" s="117">
        <v>-11434571.18</v>
      </c>
      <c r="H45" s="174"/>
      <c r="I45" s="68">
        <v>380</v>
      </c>
      <c r="J45" s="69" t="s">
        <v>86</v>
      </c>
      <c r="K45" s="116">
        <v>0</v>
      </c>
      <c r="L45" s="116">
        <v>-15886615.359999999</v>
      </c>
      <c r="M45" s="116">
        <v>-12489485.67</v>
      </c>
      <c r="N45" s="117">
        <v>3397129.69</v>
      </c>
      <c r="P45" s="173">
        <v>380</v>
      </c>
      <c r="Q45" s="174" t="s">
        <v>86</v>
      </c>
      <c r="R45" s="183">
        <v>-2189.1799999999998</v>
      </c>
      <c r="S45" s="183">
        <v>4970430.62</v>
      </c>
      <c r="T45" s="183">
        <v>4583036.43</v>
      </c>
      <c r="U45" s="184">
        <v>-387394.19</v>
      </c>
      <c r="W45" s="173">
        <v>380</v>
      </c>
      <c r="X45" s="174" t="s">
        <v>86</v>
      </c>
      <c r="Y45" s="183">
        <v>0</v>
      </c>
      <c r="Z45" s="183">
        <v>57785.4</v>
      </c>
      <c r="AA45" s="183">
        <v>57785.4</v>
      </c>
      <c r="AB45" s="184">
        <v>0</v>
      </c>
      <c r="AD45" s="173">
        <v>380</v>
      </c>
      <c r="AE45" s="174" t="s">
        <v>86</v>
      </c>
      <c r="AF45" s="183">
        <v>-92167</v>
      </c>
      <c r="AG45" s="183">
        <v>18203775.640000001</v>
      </c>
      <c r="AH45" s="183">
        <v>17881161</v>
      </c>
      <c r="AI45" s="184">
        <v>-322614.64</v>
      </c>
    </row>
    <row r="46" spans="2:35" x14ac:dyDescent="0.25">
      <c r="B46" s="68">
        <v>390</v>
      </c>
      <c r="C46" s="69" t="s">
        <v>87</v>
      </c>
      <c r="D46" s="116">
        <v>0</v>
      </c>
      <c r="E46" s="116">
        <v>0</v>
      </c>
      <c r="F46" s="116">
        <v>0</v>
      </c>
      <c r="G46" s="117">
        <v>0</v>
      </c>
      <c r="H46" s="174"/>
      <c r="I46" s="68">
        <v>390</v>
      </c>
      <c r="J46" s="69" t="s">
        <v>87</v>
      </c>
      <c r="K46" s="116">
        <v>0</v>
      </c>
      <c r="L46" s="116">
        <v>0</v>
      </c>
      <c r="M46" s="116">
        <v>0</v>
      </c>
      <c r="N46" s="117">
        <v>0</v>
      </c>
      <c r="P46" s="173">
        <v>390</v>
      </c>
      <c r="Q46" s="174" t="s">
        <v>87</v>
      </c>
      <c r="R46" s="183"/>
      <c r="S46" s="183"/>
      <c r="T46" s="183"/>
      <c r="U46" s="184"/>
      <c r="W46" s="173">
        <v>390</v>
      </c>
      <c r="X46" s="174" t="s">
        <v>87</v>
      </c>
      <c r="Y46" s="183"/>
      <c r="Z46" s="183"/>
      <c r="AA46" s="183"/>
      <c r="AB46" s="184"/>
      <c r="AD46" s="173">
        <v>390</v>
      </c>
      <c r="AE46" s="174" t="s">
        <v>87</v>
      </c>
      <c r="AF46" s="183"/>
      <c r="AG46" s="183"/>
      <c r="AH46" s="183"/>
      <c r="AI46" s="184"/>
    </row>
    <row r="47" spans="2:35" x14ac:dyDescent="0.25">
      <c r="B47" s="68">
        <v>400</v>
      </c>
      <c r="C47" s="69" t="s">
        <v>88</v>
      </c>
      <c r="D47" s="116">
        <v>0</v>
      </c>
      <c r="E47" s="116">
        <v>0</v>
      </c>
      <c r="F47" s="116">
        <v>0</v>
      </c>
      <c r="G47" s="117">
        <v>0</v>
      </c>
      <c r="H47" s="174"/>
      <c r="I47" s="68">
        <v>400</v>
      </c>
      <c r="J47" s="69" t="s">
        <v>88</v>
      </c>
      <c r="K47" s="116">
        <v>0</v>
      </c>
      <c r="L47" s="116">
        <v>5406338.0899999999</v>
      </c>
      <c r="M47" s="116">
        <v>-0.02</v>
      </c>
      <c r="N47" s="117">
        <v>-5406338.1100000003</v>
      </c>
      <c r="P47" s="173">
        <v>400</v>
      </c>
      <c r="Q47" s="174" t="s">
        <v>88</v>
      </c>
      <c r="R47" s="183">
        <v>0</v>
      </c>
      <c r="S47" s="183">
        <v>0</v>
      </c>
      <c r="T47" s="183">
        <v>0</v>
      </c>
      <c r="U47" s="184">
        <v>0</v>
      </c>
      <c r="W47" s="173">
        <v>400</v>
      </c>
      <c r="X47" s="174" t="s">
        <v>88</v>
      </c>
      <c r="Y47" s="183">
        <v>0</v>
      </c>
      <c r="Z47" s="183">
        <v>0</v>
      </c>
      <c r="AA47" s="183">
        <v>0</v>
      </c>
      <c r="AB47" s="184">
        <v>0</v>
      </c>
      <c r="AD47" s="173">
        <v>400</v>
      </c>
      <c r="AE47" s="174" t="s">
        <v>88</v>
      </c>
      <c r="AF47" s="183">
        <v>0</v>
      </c>
      <c r="AG47" s="183">
        <v>0</v>
      </c>
      <c r="AH47" s="183">
        <v>0</v>
      </c>
      <c r="AI47" s="184">
        <v>0</v>
      </c>
    </row>
    <row r="48" spans="2:35" x14ac:dyDescent="0.25">
      <c r="B48" s="68">
        <v>410</v>
      </c>
      <c r="C48" s="69" t="s">
        <v>53</v>
      </c>
      <c r="D48" s="116">
        <v>0</v>
      </c>
      <c r="E48" s="116">
        <v>179026</v>
      </c>
      <c r="F48" s="116">
        <v>179026</v>
      </c>
      <c r="G48" s="117">
        <v>0</v>
      </c>
      <c r="H48" s="174"/>
      <c r="I48" s="68">
        <v>410</v>
      </c>
      <c r="J48" s="69" t="s">
        <v>53</v>
      </c>
      <c r="K48" s="116">
        <v>0</v>
      </c>
      <c r="L48" s="116">
        <v>8113280</v>
      </c>
      <c r="M48" s="116">
        <v>8113280</v>
      </c>
      <c r="N48" s="117">
        <v>0</v>
      </c>
      <c r="P48" s="173">
        <v>410</v>
      </c>
      <c r="Q48" s="174" t="s">
        <v>53</v>
      </c>
      <c r="R48" s="183">
        <v>0</v>
      </c>
      <c r="S48" s="183">
        <v>960000</v>
      </c>
      <c r="T48" s="183">
        <v>960000</v>
      </c>
      <c r="U48" s="184">
        <v>0</v>
      </c>
      <c r="W48" s="173">
        <v>410</v>
      </c>
      <c r="X48" s="174" t="s">
        <v>53</v>
      </c>
      <c r="Y48" s="183">
        <v>0</v>
      </c>
      <c r="Z48" s="183">
        <v>4366100.43</v>
      </c>
      <c r="AA48" s="183">
        <v>4366100.43</v>
      </c>
      <c r="AB48" s="184">
        <v>0</v>
      </c>
      <c r="AD48" s="173">
        <v>410</v>
      </c>
      <c r="AE48" s="174" t="s">
        <v>53</v>
      </c>
      <c r="AF48" s="183">
        <v>0</v>
      </c>
      <c r="AG48" s="183">
        <v>6000</v>
      </c>
      <c r="AH48" s="183">
        <v>6000</v>
      </c>
      <c r="AI48" s="184">
        <v>0</v>
      </c>
    </row>
    <row r="49" spans="2:35" x14ac:dyDescent="0.25">
      <c r="B49" s="68">
        <v>420</v>
      </c>
      <c r="C49" s="69" t="s">
        <v>89</v>
      </c>
      <c r="D49" s="116">
        <v>0</v>
      </c>
      <c r="E49" s="116">
        <v>-41092.14</v>
      </c>
      <c r="F49" s="116">
        <v>-41092.14</v>
      </c>
      <c r="G49" s="117">
        <v>0</v>
      </c>
      <c r="H49" s="174"/>
      <c r="I49" s="68">
        <v>420</v>
      </c>
      <c r="J49" s="69" t="s">
        <v>89</v>
      </c>
      <c r="K49" s="116">
        <v>0</v>
      </c>
      <c r="L49" s="116">
        <v>0</v>
      </c>
      <c r="M49" s="116">
        <v>0</v>
      </c>
      <c r="N49" s="117">
        <v>0</v>
      </c>
      <c r="P49" s="173">
        <v>420</v>
      </c>
      <c r="Q49" s="174" t="s">
        <v>89</v>
      </c>
      <c r="R49" s="183">
        <v>0</v>
      </c>
      <c r="S49" s="183">
        <v>12928620.960000001</v>
      </c>
      <c r="T49" s="183">
        <v>12928620.960000001</v>
      </c>
      <c r="U49" s="184">
        <v>0</v>
      </c>
      <c r="W49" s="173">
        <v>420</v>
      </c>
      <c r="X49" s="174" t="s">
        <v>89</v>
      </c>
      <c r="Y49" s="183">
        <v>0</v>
      </c>
      <c r="Z49" s="183">
        <v>169968.8</v>
      </c>
      <c r="AA49" s="183">
        <v>169968.8</v>
      </c>
      <c r="AB49" s="184">
        <v>0</v>
      </c>
      <c r="AD49" s="173">
        <v>420</v>
      </c>
      <c r="AE49" s="174" t="s">
        <v>89</v>
      </c>
      <c r="AF49" s="183">
        <v>0</v>
      </c>
      <c r="AG49" s="183">
        <v>4624360</v>
      </c>
      <c r="AH49" s="183">
        <v>4624360</v>
      </c>
      <c r="AI49" s="184">
        <v>0</v>
      </c>
    </row>
    <row r="50" spans="2:35" x14ac:dyDescent="0.25">
      <c r="B50" s="68">
        <v>430</v>
      </c>
      <c r="C50" s="69" t="s">
        <v>90</v>
      </c>
      <c r="D50" s="116">
        <v>0</v>
      </c>
      <c r="E50" s="116">
        <v>900282.88</v>
      </c>
      <c r="F50" s="116">
        <v>900282.88</v>
      </c>
      <c r="G50" s="117">
        <v>0</v>
      </c>
      <c r="H50" s="174"/>
      <c r="I50" s="68">
        <v>430</v>
      </c>
      <c r="J50" s="69" t="s">
        <v>90</v>
      </c>
      <c r="K50" s="116">
        <v>0</v>
      </c>
      <c r="L50" s="116">
        <v>4171.6499999999996</v>
      </c>
      <c r="M50" s="116">
        <v>4171.6499999999996</v>
      </c>
      <c r="N50" s="117">
        <v>0</v>
      </c>
      <c r="P50" s="173">
        <v>430</v>
      </c>
      <c r="Q50" s="174" t="s">
        <v>90</v>
      </c>
      <c r="R50" s="183">
        <v>0</v>
      </c>
      <c r="S50" s="183">
        <v>55554</v>
      </c>
      <c r="T50" s="183">
        <v>55554</v>
      </c>
      <c r="U50" s="184">
        <v>0</v>
      </c>
      <c r="W50" s="173">
        <v>430</v>
      </c>
      <c r="X50" s="174" t="s">
        <v>90</v>
      </c>
      <c r="Y50" s="183">
        <v>0</v>
      </c>
      <c r="Z50" s="183">
        <v>12415.93</v>
      </c>
      <c r="AA50" s="183">
        <v>12415.93</v>
      </c>
      <c r="AB50" s="184">
        <v>0</v>
      </c>
      <c r="AD50" s="173">
        <v>430</v>
      </c>
      <c r="AE50" s="174" t="s">
        <v>90</v>
      </c>
      <c r="AF50" s="183">
        <v>0</v>
      </c>
      <c r="AG50" s="183">
        <v>283</v>
      </c>
      <c r="AH50" s="183">
        <v>283</v>
      </c>
      <c r="AI50" s="184">
        <v>0</v>
      </c>
    </row>
    <row r="51" spans="2:35" x14ac:dyDescent="0.25">
      <c r="B51" s="68">
        <v>435</v>
      </c>
      <c r="C51" s="69" t="s">
        <v>91</v>
      </c>
      <c r="D51" s="116">
        <v>0</v>
      </c>
      <c r="E51" s="116">
        <v>78171618.530000001</v>
      </c>
      <c r="F51" s="116">
        <v>78171618.530000001</v>
      </c>
      <c r="G51" s="117">
        <v>0</v>
      </c>
      <c r="H51" s="174"/>
      <c r="I51" s="68">
        <v>435</v>
      </c>
      <c r="J51" s="69" t="s">
        <v>91</v>
      </c>
      <c r="K51" s="116">
        <v>0</v>
      </c>
      <c r="L51" s="116">
        <v>4695718.92</v>
      </c>
      <c r="M51" s="116">
        <v>4695718.92</v>
      </c>
      <c r="N51" s="117">
        <v>0</v>
      </c>
      <c r="P51" s="173">
        <v>435</v>
      </c>
      <c r="Q51" s="174" t="s">
        <v>91</v>
      </c>
      <c r="R51" s="183">
        <v>0</v>
      </c>
      <c r="S51" s="183">
        <v>-134917.19</v>
      </c>
      <c r="T51" s="183">
        <v>-134917.19</v>
      </c>
      <c r="U51" s="184">
        <v>0</v>
      </c>
      <c r="W51" s="173">
        <v>435</v>
      </c>
      <c r="X51" s="174" t="s">
        <v>91</v>
      </c>
      <c r="Y51" s="183">
        <v>0</v>
      </c>
      <c r="Z51" s="183">
        <v>-4451209.21</v>
      </c>
      <c r="AA51" s="183">
        <v>-4451209.21</v>
      </c>
      <c r="AB51" s="184">
        <v>0</v>
      </c>
      <c r="AD51" s="173">
        <v>435</v>
      </c>
      <c r="AE51" s="174" t="s">
        <v>91</v>
      </c>
      <c r="AF51" s="183">
        <v>0</v>
      </c>
      <c r="AG51" s="183">
        <v>-687607.03</v>
      </c>
      <c r="AH51" s="183">
        <v>-687607.03</v>
      </c>
      <c r="AI51" s="184">
        <v>0</v>
      </c>
    </row>
    <row r="52" spans="2:35" x14ac:dyDescent="0.25">
      <c r="B52" s="68">
        <v>440</v>
      </c>
      <c r="C52" s="69" t="s">
        <v>92</v>
      </c>
      <c r="D52" s="116">
        <v>0</v>
      </c>
      <c r="E52" s="116">
        <v>79209835.269999996</v>
      </c>
      <c r="F52" s="116">
        <v>79209835.269999996</v>
      </c>
      <c r="G52" s="117">
        <v>0</v>
      </c>
      <c r="H52" s="174"/>
      <c r="I52" s="68">
        <v>440</v>
      </c>
      <c r="J52" s="69" t="s">
        <v>92</v>
      </c>
      <c r="K52" s="116">
        <v>0</v>
      </c>
      <c r="L52" s="116">
        <v>18219508.66</v>
      </c>
      <c r="M52" s="116">
        <v>12813170.550000001</v>
      </c>
      <c r="N52" s="117">
        <v>-5406338.1100000003</v>
      </c>
      <c r="P52" s="173">
        <v>440</v>
      </c>
      <c r="Q52" s="174" t="s">
        <v>92</v>
      </c>
      <c r="R52" s="183">
        <v>0</v>
      </c>
      <c r="S52" s="183">
        <v>13809257.77</v>
      </c>
      <c r="T52" s="183">
        <v>13809257.77</v>
      </c>
      <c r="U52" s="184">
        <v>0</v>
      </c>
      <c r="W52" s="173">
        <v>440</v>
      </c>
      <c r="X52" s="174" t="s">
        <v>92</v>
      </c>
      <c r="Y52" s="183">
        <v>0</v>
      </c>
      <c r="Z52" s="183">
        <v>97275.95</v>
      </c>
      <c r="AA52" s="183">
        <v>97275.95</v>
      </c>
      <c r="AB52" s="184">
        <v>0</v>
      </c>
      <c r="AD52" s="173">
        <v>440</v>
      </c>
      <c r="AE52" s="174" t="s">
        <v>92</v>
      </c>
      <c r="AF52" s="183">
        <v>0</v>
      </c>
      <c r="AG52" s="183">
        <v>3943035.97</v>
      </c>
      <c r="AH52" s="183">
        <v>3943035.97</v>
      </c>
      <c r="AI52" s="184">
        <v>0</v>
      </c>
    </row>
    <row r="53" spans="2:35" x14ac:dyDescent="0.25">
      <c r="B53" s="68">
        <v>450</v>
      </c>
      <c r="C53" s="69" t="s">
        <v>93</v>
      </c>
      <c r="D53" s="116">
        <v>0</v>
      </c>
      <c r="E53" s="116">
        <v>0</v>
      </c>
      <c r="F53" s="116">
        <v>0</v>
      </c>
      <c r="G53" s="117">
        <v>0</v>
      </c>
      <c r="H53" s="174"/>
      <c r="I53" s="68">
        <v>450</v>
      </c>
      <c r="J53" s="69" t="s">
        <v>93</v>
      </c>
      <c r="K53" s="116">
        <v>0</v>
      </c>
      <c r="L53" s="116">
        <v>0</v>
      </c>
      <c r="M53" s="116">
        <v>0</v>
      </c>
      <c r="N53" s="117">
        <v>0</v>
      </c>
      <c r="P53" s="173">
        <v>450</v>
      </c>
      <c r="Q53" s="174" t="s">
        <v>93</v>
      </c>
      <c r="R53" s="183"/>
      <c r="S53" s="183"/>
      <c r="T53" s="183"/>
      <c r="U53" s="184"/>
      <c r="W53" s="173">
        <v>450</v>
      </c>
      <c r="X53" s="174" t="s">
        <v>93</v>
      </c>
      <c r="Y53" s="183"/>
      <c r="Z53" s="183"/>
      <c r="AA53" s="183"/>
      <c r="AB53" s="184"/>
      <c r="AD53" s="173">
        <v>450</v>
      </c>
      <c r="AE53" s="174" t="s">
        <v>93</v>
      </c>
      <c r="AF53" s="183"/>
      <c r="AG53" s="183"/>
      <c r="AH53" s="183"/>
      <c r="AI53" s="184"/>
    </row>
    <row r="54" spans="2:35" x14ac:dyDescent="0.25">
      <c r="B54" s="68">
        <v>452</v>
      </c>
      <c r="C54" s="69" t="s">
        <v>47</v>
      </c>
      <c r="D54" s="116">
        <v>0</v>
      </c>
      <c r="E54" s="116">
        <v>0</v>
      </c>
      <c r="F54" s="116">
        <v>0</v>
      </c>
      <c r="G54" s="117">
        <v>0</v>
      </c>
      <c r="H54" s="174"/>
      <c r="I54" s="68">
        <v>452</v>
      </c>
      <c r="J54" s="69" t="s">
        <v>47</v>
      </c>
      <c r="K54" s="116">
        <v>0</v>
      </c>
      <c r="L54" s="116">
        <v>5060455.8899999997</v>
      </c>
      <c r="M54" s="116">
        <v>5060455.8899999997</v>
      </c>
      <c r="N54" s="117">
        <v>0</v>
      </c>
      <c r="P54" s="173">
        <v>452</v>
      </c>
      <c r="Q54" s="174" t="s">
        <v>47</v>
      </c>
      <c r="R54" s="183">
        <v>0</v>
      </c>
      <c r="S54" s="183">
        <v>-16508676.960000001</v>
      </c>
      <c r="T54" s="183">
        <v>-16508676.960000001</v>
      </c>
      <c r="U54" s="184">
        <v>0</v>
      </c>
      <c r="W54" s="173">
        <v>452</v>
      </c>
      <c r="X54" s="174" t="s">
        <v>47</v>
      </c>
      <c r="Y54" s="183">
        <v>0</v>
      </c>
      <c r="Z54" s="183">
        <v>0</v>
      </c>
      <c r="AA54" s="183">
        <v>0</v>
      </c>
      <c r="AB54" s="184">
        <v>0</v>
      </c>
      <c r="AD54" s="173">
        <v>452</v>
      </c>
      <c r="AE54" s="174" t="s">
        <v>47</v>
      </c>
      <c r="AF54" s="183">
        <v>0</v>
      </c>
      <c r="AG54" s="183">
        <v>-7577205.3200000003</v>
      </c>
      <c r="AH54" s="183">
        <v>-7577205.3200000003</v>
      </c>
      <c r="AI54" s="184">
        <v>0</v>
      </c>
    </row>
    <row r="55" spans="2:35" x14ac:dyDescent="0.25">
      <c r="B55" s="68">
        <v>454</v>
      </c>
      <c r="C55" s="69" t="s">
        <v>48</v>
      </c>
      <c r="D55" s="116">
        <v>0</v>
      </c>
      <c r="E55" s="116">
        <v>0</v>
      </c>
      <c r="F55" s="116">
        <v>0</v>
      </c>
      <c r="G55" s="117">
        <v>0</v>
      </c>
      <c r="H55" s="174"/>
      <c r="I55" s="68">
        <v>454</v>
      </c>
      <c r="J55" s="69" t="s">
        <v>48</v>
      </c>
      <c r="K55" s="116">
        <v>0</v>
      </c>
      <c r="L55" s="116">
        <v>-5258513.1100000003</v>
      </c>
      <c r="M55" s="116">
        <v>-5258513.1100000003</v>
      </c>
      <c r="N55" s="117">
        <v>0</v>
      </c>
      <c r="P55" s="173">
        <v>454</v>
      </c>
      <c r="Q55" s="174" t="s">
        <v>48</v>
      </c>
      <c r="R55" s="183">
        <v>0</v>
      </c>
      <c r="S55" s="183">
        <v>-2063092.1</v>
      </c>
      <c r="T55" s="183">
        <v>-2063092.1</v>
      </c>
      <c r="U55" s="184">
        <v>0</v>
      </c>
      <c r="W55" s="173">
        <v>454</v>
      </c>
      <c r="X55" s="174" t="s">
        <v>48</v>
      </c>
      <c r="Y55" s="183">
        <v>0</v>
      </c>
      <c r="Z55" s="183">
        <v>0</v>
      </c>
      <c r="AA55" s="183">
        <v>0</v>
      </c>
      <c r="AB55" s="184">
        <v>0</v>
      </c>
      <c r="AD55" s="173">
        <v>454</v>
      </c>
      <c r="AE55" s="174" t="s">
        <v>48</v>
      </c>
      <c r="AF55" s="183">
        <v>0</v>
      </c>
      <c r="AG55" s="183">
        <v>-17298675.649999999</v>
      </c>
      <c r="AH55" s="183">
        <v>-17298675.649999999</v>
      </c>
      <c r="AI55" s="184">
        <v>0</v>
      </c>
    </row>
    <row r="56" spans="2:35" x14ac:dyDescent="0.25">
      <c r="B56" s="68">
        <v>456</v>
      </c>
      <c r="C56" s="69" t="s">
        <v>94</v>
      </c>
      <c r="D56" s="116">
        <v>0</v>
      </c>
      <c r="E56" s="116">
        <v>-67038.820000000007</v>
      </c>
      <c r="F56" s="116">
        <v>-67038.820000000007</v>
      </c>
      <c r="G56" s="117">
        <v>0</v>
      </c>
      <c r="H56" s="174"/>
      <c r="I56" s="68">
        <v>456</v>
      </c>
      <c r="J56" s="69" t="s">
        <v>94</v>
      </c>
      <c r="K56" s="116">
        <v>0</v>
      </c>
      <c r="L56" s="116">
        <v>619055.94999999995</v>
      </c>
      <c r="M56" s="116">
        <v>695926.1</v>
      </c>
      <c r="N56" s="117">
        <v>76870.149999999994</v>
      </c>
      <c r="P56" s="173">
        <v>456</v>
      </c>
      <c r="Q56" s="174" t="s">
        <v>94</v>
      </c>
      <c r="R56" s="183">
        <v>4683.6499999999996</v>
      </c>
      <c r="S56" s="183">
        <v>395542.52</v>
      </c>
      <c r="T56" s="183">
        <v>428328.07</v>
      </c>
      <c r="U56" s="184">
        <v>32785.550000000003</v>
      </c>
      <c r="W56" s="173">
        <v>456</v>
      </c>
      <c r="X56" s="174" t="s">
        <v>94</v>
      </c>
      <c r="Y56" s="183">
        <v>0</v>
      </c>
      <c r="Z56" s="183">
        <v>0</v>
      </c>
      <c r="AA56" s="183">
        <v>0</v>
      </c>
      <c r="AB56" s="184">
        <v>0</v>
      </c>
      <c r="AD56" s="173">
        <v>456</v>
      </c>
      <c r="AE56" s="174" t="s">
        <v>94</v>
      </c>
      <c r="AF56" s="183">
        <v>0</v>
      </c>
      <c r="AG56" s="183">
        <v>0</v>
      </c>
      <c r="AH56" s="183">
        <v>0</v>
      </c>
      <c r="AI56" s="184">
        <v>0</v>
      </c>
    </row>
    <row r="57" spans="2:35" x14ac:dyDescent="0.25">
      <c r="B57" s="68">
        <v>460</v>
      </c>
      <c r="C57" s="69" t="s">
        <v>51</v>
      </c>
      <c r="D57" s="116">
        <v>0</v>
      </c>
      <c r="E57" s="116">
        <v>-100862.65</v>
      </c>
      <c r="F57" s="116">
        <v>-135862.65</v>
      </c>
      <c r="G57" s="117">
        <v>-35000</v>
      </c>
      <c r="H57" s="174"/>
      <c r="I57" s="68">
        <v>460</v>
      </c>
      <c r="J57" s="69" t="s">
        <v>51</v>
      </c>
      <c r="K57" s="116">
        <v>0</v>
      </c>
      <c r="L57" s="116">
        <v>-2028790.71</v>
      </c>
      <c r="M57" s="116">
        <v>-2028790.71</v>
      </c>
      <c r="N57" s="117">
        <v>0</v>
      </c>
      <c r="P57" s="173">
        <v>460</v>
      </c>
      <c r="Q57" s="174" t="s">
        <v>51</v>
      </c>
      <c r="R57" s="183">
        <v>0</v>
      </c>
      <c r="S57" s="183">
        <v>0</v>
      </c>
      <c r="T57" s="183">
        <v>0</v>
      </c>
      <c r="U57" s="184">
        <v>0</v>
      </c>
      <c r="W57" s="173">
        <v>460</v>
      </c>
      <c r="X57" s="174" t="s">
        <v>51</v>
      </c>
      <c r="Y57" s="183">
        <v>0</v>
      </c>
      <c r="Z57" s="183">
        <v>0</v>
      </c>
      <c r="AA57" s="183">
        <v>0</v>
      </c>
      <c r="AB57" s="184">
        <v>0</v>
      </c>
      <c r="AD57" s="173">
        <v>460</v>
      </c>
      <c r="AE57" s="174" t="s">
        <v>51</v>
      </c>
      <c r="AF57" s="183">
        <v>0</v>
      </c>
      <c r="AG57" s="183">
        <v>0</v>
      </c>
      <c r="AH57" s="183">
        <v>0</v>
      </c>
      <c r="AI57" s="184">
        <v>0</v>
      </c>
    </row>
    <row r="58" spans="2:35" x14ac:dyDescent="0.25">
      <c r="B58" s="68">
        <v>462</v>
      </c>
      <c r="C58" s="69" t="s">
        <v>95</v>
      </c>
      <c r="D58" s="116">
        <v>0</v>
      </c>
      <c r="E58" s="116">
        <v>-13947.86</v>
      </c>
      <c r="F58" s="116">
        <v>-13947.86</v>
      </c>
      <c r="G58" s="117">
        <v>0</v>
      </c>
      <c r="H58" s="174"/>
      <c r="I58" s="68">
        <v>462</v>
      </c>
      <c r="J58" s="69" t="s">
        <v>95</v>
      </c>
      <c r="K58" s="116">
        <v>0</v>
      </c>
      <c r="L58" s="116">
        <v>-150503.56</v>
      </c>
      <c r="M58" s="116">
        <v>-150503.56</v>
      </c>
      <c r="N58" s="117">
        <v>0</v>
      </c>
      <c r="P58" s="173">
        <v>462</v>
      </c>
      <c r="Q58" s="174" t="s">
        <v>95</v>
      </c>
      <c r="R58" s="183">
        <v>0</v>
      </c>
      <c r="S58" s="183">
        <v>0</v>
      </c>
      <c r="T58" s="183">
        <v>0</v>
      </c>
      <c r="U58" s="184">
        <v>0</v>
      </c>
      <c r="W58" s="173">
        <v>462</v>
      </c>
      <c r="X58" s="174" t="s">
        <v>95</v>
      </c>
      <c r="Y58" s="183">
        <v>0</v>
      </c>
      <c r="Z58" s="183">
        <v>0</v>
      </c>
      <c r="AA58" s="183">
        <v>0</v>
      </c>
      <c r="AB58" s="184">
        <v>0</v>
      </c>
      <c r="AD58" s="173">
        <v>462</v>
      </c>
      <c r="AE58" s="174" t="s">
        <v>95</v>
      </c>
      <c r="AF58" s="183">
        <v>0</v>
      </c>
      <c r="AG58" s="183">
        <v>0</v>
      </c>
      <c r="AH58" s="183">
        <v>0</v>
      </c>
      <c r="AI58" s="184">
        <v>0</v>
      </c>
    </row>
    <row r="59" spans="2:35" x14ac:dyDescent="0.25">
      <c r="B59" s="68">
        <v>464</v>
      </c>
      <c r="C59" s="69" t="s">
        <v>96</v>
      </c>
      <c r="D59" s="116">
        <v>0</v>
      </c>
      <c r="E59" s="116">
        <v>0</v>
      </c>
      <c r="F59" s="116">
        <v>98.8</v>
      </c>
      <c r="G59" s="117">
        <v>98.8</v>
      </c>
      <c r="H59" s="174"/>
      <c r="I59" s="68">
        <v>464</v>
      </c>
      <c r="J59" s="69" t="s">
        <v>96</v>
      </c>
      <c r="K59" s="116">
        <v>0</v>
      </c>
      <c r="L59" s="116">
        <v>168759.34</v>
      </c>
      <c r="M59" s="116">
        <v>177687</v>
      </c>
      <c r="N59" s="117">
        <v>8927.66</v>
      </c>
      <c r="P59" s="173">
        <v>464</v>
      </c>
      <c r="Q59" s="174" t="s">
        <v>96</v>
      </c>
      <c r="R59" s="183">
        <v>0</v>
      </c>
      <c r="S59" s="183">
        <v>0</v>
      </c>
      <c r="T59" s="183">
        <v>0</v>
      </c>
      <c r="U59" s="184">
        <v>0</v>
      </c>
      <c r="W59" s="173">
        <v>464</v>
      </c>
      <c r="X59" s="174" t="s">
        <v>96</v>
      </c>
      <c r="Y59" s="183">
        <v>0</v>
      </c>
      <c r="Z59" s="183">
        <v>0</v>
      </c>
      <c r="AA59" s="183">
        <v>0</v>
      </c>
      <c r="AB59" s="184">
        <v>0</v>
      </c>
      <c r="AD59" s="173">
        <v>464</v>
      </c>
      <c r="AE59" s="174" t="s">
        <v>96</v>
      </c>
      <c r="AF59" s="183">
        <v>0</v>
      </c>
      <c r="AG59" s="183">
        <v>0</v>
      </c>
      <c r="AH59" s="183">
        <v>0</v>
      </c>
      <c r="AI59" s="184">
        <v>0</v>
      </c>
    </row>
    <row r="60" spans="2:35" x14ac:dyDescent="0.25">
      <c r="B60" s="68">
        <v>470</v>
      </c>
      <c r="C60" s="69" t="s">
        <v>97</v>
      </c>
      <c r="D60" s="116">
        <v>0</v>
      </c>
      <c r="E60" s="116">
        <v>92200.02</v>
      </c>
      <c r="F60" s="116">
        <v>93458.36</v>
      </c>
      <c r="G60" s="117">
        <v>1258.3399999999999</v>
      </c>
      <c r="H60" s="174"/>
      <c r="I60" s="68">
        <v>470</v>
      </c>
      <c r="J60" s="69" t="s">
        <v>97</v>
      </c>
      <c r="K60" s="116">
        <v>0</v>
      </c>
      <c r="L60" s="116">
        <v>496161.7</v>
      </c>
      <c r="M60" s="116">
        <v>555734.73</v>
      </c>
      <c r="N60" s="117">
        <v>59573.03</v>
      </c>
      <c r="P60" s="173">
        <v>470</v>
      </c>
      <c r="Q60" s="174" t="s">
        <v>97</v>
      </c>
      <c r="R60" s="183">
        <v>0</v>
      </c>
      <c r="S60" s="183">
        <v>0</v>
      </c>
      <c r="T60" s="183">
        <v>0</v>
      </c>
      <c r="U60" s="184">
        <v>0</v>
      </c>
      <c r="W60" s="173">
        <v>470</v>
      </c>
      <c r="X60" s="174" t="s">
        <v>97</v>
      </c>
      <c r="Y60" s="183">
        <v>0</v>
      </c>
      <c r="Z60" s="183">
        <v>0</v>
      </c>
      <c r="AA60" s="183">
        <v>0</v>
      </c>
      <c r="AB60" s="184">
        <v>0</v>
      </c>
      <c r="AD60" s="173">
        <v>470</v>
      </c>
      <c r="AE60" s="174" t="s">
        <v>97</v>
      </c>
      <c r="AF60" s="183">
        <v>0</v>
      </c>
      <c r="AG60" s="183">
        <v>0</v>
      </c>
      <c r="AH60" s="183">
        <v>0</v>
      </c>
      <c r="AI60" s="184">
        <v>0</v>
      </c>
    </row>
    <row r="61" spans="2:35" x14ac:dyDescent="0.25">
      <c r="B61" s="68">
        <v>480</v>
      </c>
      <c r="C61" s="69" t="s">
        <v>50</v>
      </c>
      <c r="D61" s="116">
        <v>0</v>
      </c>
      <c r="E61" s="116">
        <v>-290713.63</v>
      </c>
      <c r="F61" s="116">
        <v>-634760.63</v>
      </c>
      <c r="G61" s="117">
        <v>-344047</v>
      </c>
      <c r="H61" s="174"/>
      <c r="I61" s="68">
        <v>480</v>
      </c>
      <c r="J61" s="69" t="s">
        <v>50</v>
      </c>
      <c r="K61" s="116">
        <v>0</v>
      </c>
      <c r="L61" s="116">
        <v>-672623.82</v>
      </c>
      <c r="M61" s="116">
        <v>-672623.82</v>
      </c>
      <c r="N61" s="117">
        <v>0</v>
      </c>
      <c r="P61" s="173">
        <v>480</v>
      </c>
      <c r="Q61" s="174" t="s">
        <v>50</v>
      </c>
      <c r="R61" s="183">
        <v>0</v>
      </c>
      <c r="S61" s="183">
        <v>0</v>
      </c>
      <c r="T61" s="183">
        <v>0</v>
      </c>
      <c r="U61" s="184">
        <v>0</v>
      </c>
      <c r="W61" s="173">
        <v>480</v>
      </c>
      <c r="X61" s="174" t="s">
        <v>50</v>
      </c>
      <c r="Y61" s="183">
        <v>0</v>
      </c>
      <c r="Z61" s="183">
        <v>0</v>
      </c>
      <c r="AA61" s="183">
        <v>0</v>
      </c>
      <c r="AB61" s="184">
        <v>0</v>
      </c>
      <c r="AD61" s="173">
        <v>480</v>
      </c>
      <c r="AE61" s="174" t="s">
        <v>50</v>
      </c>
      <c r="AF61" s="183">
        <v>0</v>
      </c>
      <c r="AG61" s="183">
        <v>0</v>
      </c>
      <c r="AH61" s="183">
        <v>0</v>
      </c>
      <c r="AI61" s="184">
        <v>0</v>
      </c>
    </row>
    <row r="62" spans="2:35" x14ac:dyDescent="0.25">
      <c r="B62" s="68">
        <v>490</v>
      </c>
      <c r="C62" s="69" t="s">
        <v>98</v>
      </c>
      <c r="D62" s="116">
        <v>0</v>
      </c>
      <c r="E62" s="116">
        <v>238423</v>
      </c>
      <c r="F62" s="116">
        <v>247025.41</v>
      </c>
      <c r="G62" s="117">
        <v>8602.41</v>
      </c>
      <c r="H62" s="174"/>
      <c r="I62" s="68">
        <v>490</v>
      </c>
      <c r="J62" s="69" t="s">
        <v>98</v>
      </c>
      <c r="K62" s="116">
        <v>0</v>
      </c>
      <c r="L62" s="116">
        <v>650975.53</v>
      </c>
      <c r="M62" s="116">
        <v>658991.21</v>
      </c>
      <c r="N62" s="117">
        <v>8015.68</v>
      </c>
      <c r="P62" s="173">
        <v>490</v>
      </c>
      <c r="Q62" s="174" t="s">
        <v>98</v>
      </c>
      <c r="R62" s="183">
        <v>0</v>
      </c>
      <c r="S62" s="183">
        <v>0</v>
      </c>
      <c r="T62" s="183">
        <v>0</v>
      </c>
      <c r="U62" s="184">
        <v>0</v>
      </c>
      <c r="W62" s="173">
        <v>490</v>
      </c>
      <c r="X62" s="174" t="s">
        <v>98</v>
      </c>
      <c r="Y62" s="183">
        <v>0</v>
      </c>
      <c r="Z62" s="183">
        <v>0</v>
      </c>
      <c r="AA62" s="183">
        <v>0</v>
      </c>
      <c r="AB62" s="184">
        <v>0</v>
      </c>
      <c r="AD62" s="173">
        <v>490</v>
      </c>
      <c r="AE62" s="174" t="s">
        <v>98</v>
      </c>
      <c r="AF62" s="183">
        <v>0</v>
      </c>
      <c r="AG62" s="183">
        <v>0</v>
      </c>
      <c r="AH62" s="183">
        <v>0</v>
      </c>
      <c r="AI62" s="184">
        <v>0</v>
      </c>
    </row>
    <row r="63" spans="2:35" x14ac:dyDescent="0.25">
      <c r="B63" s="68">
        <v>500</v>
      </c>
      <c r="C63" s="69" t="s">
        <v>49</v>
      </c>
      <c r="D63" s="116">
        <v>0</v>
      </c>
      <c r="E63" s="116">
        <v>-70291.3</v>
      </c>
      <c r="F63" s="116">
        <v>-89467.43</v>
      </c>
      <c r="G63" s="117">
        <v>-19176.13</v>
      </c>
      <c r="H63" s="174"/>
      <c r="I63" s="68">
        <v>500</v>
      </c>
      <c r="J63" s="69" t="s">
        <v>49</v>
      </c>
      <c r="K63" s="116">
        <v>0</v>
      </c>
      <c r="L63" s="116">
        <v>-228529.67</v>
      </c>
      <c r="M63" s="116">
        <v>-228529.67</v>
      </c>
      <c r="N63" s="117">
        <v>0</v>
      </c>
      <c r="P63" s="173">
        <v>500</v>
      </c>
      <c r="Q63" s="174" t="s">
        <v>49</v>
      </c>
      <c r="R63" s="183">
        <v>0</v>
      </c>
      <c r="S63" s="183">
        <v>0</v>
      </c>
      <c r="T63" s="183">
        <v>0</v>
      </c>
      <c r="U63" s="184">
        <v>0</v>
      </c>
      <c r="W63" s="173">
        <v>500</v>
      </c>
      <c r="X63" s="174" t="s">
        <v>49</v>
      </c>
      <c r="Y63" s="183">
        <v>0</v>
      </c>
      <c r="Z63" s="183">
        <v>0</v>
      </c>
      <c r="AA63" s="183">
        <v>0</v>
      </c>
      <c r="AB63" s="184">
        <v>0</v>
      </c>
      <c r="AD63" s="173">
        <v>500</v>
      </c>
      <c r="AE63" s="174" t="s">
        <v>49</v>
      </c>
      <c r="AF63" s="183">
        <v>0</v>
      </c>
      <c r="AG63" s="183">
        <v>0</v>
      </c>
      <c r="AH63" s="183">
        <v>0</v>
      </c>
      <c r="AI63" s="184">
        <v>0</v>
      </c>
    </row>
    <row r="64" spans="2:35" x14ac:dyDescent="0.25">
      <c r="B64" s="68">
        <v>510</v>
      </c>
      <c r="C64" s="69" t="s">
        <v>99</v>
      </c>
      <c r="D64" s="116">
        <v>0</v>
      </c>
      <c r="E64" s="116">
        <v>10705.79</v>
      </c>
      <c r="F64" s="116">
        <v>12758.92</v>
      </c>
      <c r="G64" s="117">
        <v>2053.13</v>
      </c>
      <c r="H64" s="174"/>
      <c r="I64" s="68">
        <v>510</v>
      </c>
      <c r="J64" s="69" t="s">
        <v>99</v>
      </c>
      <c r="K64" s="116">
        <v>0</v>
      </c>
      <c r="L64" s="116">
        <v>177383.64</v>
      </c>
      <c r="M64" s="116">
        <v>194493.08</v>
      </c>
      <c r="N64" s="117">
        <v>17109.439999999999</v>
      </c>
      <c r="P64" s="173">
        <v>510</v>
      </c>
      <c r="Q64" s="174" t="s">
        <v>99</v>
      </c>
      <c r="R64" s="183">
        <v>0</v>
      </c>
      <c r="S64" s="183">
        <v>0</v>
      </c>
      <c r="T64" s="183">
        <v>0</v>
      </c>
      <c r="U64" s="184">
        <v>0</v>
      </c>
      <c r="W64" s="173">
        <v>510</v>
      </c>
      <c r="X64" s="174" t="s">
        <v>99</v>
      </c>
      <c r="Y64" s="183">
        <v>0</v>
      </c>
      <c r="Z64" s="183">
        <v>0</v>
      </c>
      <c r="AA64" s="183">
        <v>0</v>
      </c>
      <c r="AB64" s="184">
        <v>0</v>
      </c>
      <c r="AD64" s="173">
        <v>510</v>
      </c>
      <c r="AE64" s="174" t="s">
        <v>99</v>
      </c>
      <c r="AF64" s="183">
        <v>0</v>
      </c>
      <c r="AG64" s="183">
        <v>0</v>
      </c>
      <c r="AH64" s="183">
        <v>0</v>
      </c>
      <c r="AI64" s="184">
        <v>0</v>
      </c>
    </row>
    <row r="65" spans="2:35" x14ac:dyDescent="0.25">
      <c r="B65" s="68">
        <v>512</v>
      </c>
      <c r="C65" s="69" t="s">
        <v>591</v>
      </c>
      <c r="D65" s="116">
        <v>0</v>
      </c>
      <c r="E65" s="116">
        <v>0</v>
      </c>
      <c r="F65" s="116">
        <v>0</v>
      </c>
      <c r="G65" s="117">
        <v>0</v>
      </c>
      <c r="H65" s="174"/>
      <c r="I65" s="68">
        <v>512</v>
      </c>
      <c r="J65" s="69" t="s">
        <v>591</v>
      </c>
      <c r="K65" s="116">
        <v>0</v>
      </c>
      <c r="L65" s="116">
        <v>0</v>
      </c>
      <c r="M65" s="116">
        <v>0</v>
      </c>
      <c r="N65" s="117">
        <v>0</v>
      </c>
      <c r="P65" s="173">
        <v>512</v>
      </c>
      <c r="Q65" s="174" t="s">
        <v>100</v>
      </c>
      <c r="R65" s="183">
        <v>0</v>
      </c>
      <c r="S65" s="183">
        <v>0</v>
      </c>
      <c r="T65" s="183">
        <v>0</v>
      </c>
      <c r="U65" s="184">
        <v>0</v>
      </c>
      <c r="W65" s="173">
        <v>512</v>
      </c>
      <c r="X65" s="174" t="s">
        <v>100</v>
      </c>
      <c r="Y65" s="183">
        <v>0</v>
      </c>
      <c r="Z65" s="183">
        <v>0</v>
      </c>
      <c r="AA65" s="183">
        <v>0</v>
      </c>
      <c r="AB65" s="184">
        <v>0</v>
      </c>
      <c r="AD65" s="173">
        <v>512</v>
      </c>
      <c r="AE65" s="174" t="s">
        <v>100</v>
      </c>
      <c r="AF65" s="183">
        <v>0</v>
      </c>
      <c r="AG65" s="183">
        <v>0</v>
      </c>
      <c r="AH65" s="183">
        <v>0</v>
      </c>
      <c r="AI65" s="184">
        <v>0</v>
      </c>
    </row>
    <row r="66" spans="2:35" x14ac:dyDescent="0.25">
      <c r="B66" s="68">
        <v>514</v>
      </c>
      <c r="C66" s="69" t="s">
        <v>592</v>
      </c>
      <c r="D66" s="116">
        <v>0</v>
      </c>
      <c r="E66" s="116">
        <v>-10000</v>
      </c>
      <c r="F66" s="116">
        <v>-10000</v>
      </c>
      <c r="G66" s="117">
        <v>0</v>
      </c>
      <c r="H66" s="174"/>
      <c r="I66" s="68">
        <v>514</v>
      </c>
      <c r="J66" s="69" t="s">
        <v>592</v>
      </c>
      <c r="K66" s="116">
        <v>0</v>
      </c>
      <c r="L66" s="116">
        <v>0</v>
      </c>
      <c r="M66" s="116">
        <v>0</v>
      </c>
      <c r="N66" s="117">
        <v>0</v>
      </c>
      <c r="P66" s="173">
        <v>514</v>
      </c>
      <c r="Q66" s="174" t="s">
        <v>101</v>
      </c>
      <c r="R66" s="183">
        <v>0</v>
      </c>
      <c r="S66" s="183">
        <v>0</v>
      </c>
      <c r="T66" s="183">
        <v>0</v>
      </c>
      <c r="U66" s="184">
        <v>0</v>
      </c>
      <c r="W66" s="173">
        <v>514</v>
      </c>
      <c r="X66" s="174" t="s">
        <v>101</v>
      </c>
      <c r="Y66" s="183">
        <v>0</v>
      </c>
      <c r="Z66" s="183">
        <v>0</v>
      </c>
      <c r="AA66" s="183">
        <v>0</v>
      </c>
      <c r="AB66" s="184">
        <v>0</v>
      </c>
      <c r="AD66" s="173">
        <v>514</v>
      </c>
      <c r="AE66" s="174" t="s">
        <v>101</v>
      </c>
      <c r="AF66" s="183">
        <v>0</v>
      </c>
      <c r="AG66" s="183">
        <v>0</v>
      </c>
      <c r="AH66" s="183">
        <v>0</v>
      </c>
      <c r="AI66" s="184">
        <v>0</v>
      </c>
    </row>
    <row r="67" spans="2:35" x14ac:dyDescent="0.25">
      <c r="B67" s="68">
        <v>516</v>
      </c>
      <c r="C67" s="69" t="s">
        <v>593</v>
      </c>
      <c r="D67" s="116">
        <v>0</v>
      </c>
      <c r="E67" s="116">
        <v>0</v>
      </c>
      <c r="F67" s="116">
        <v>0</v>
      </c>
      <c r="G67" s="117">
        <v>0</v>
      </c>
      <c r="H67" s="174"/>
      <c r="I67" s="68">
        <v>516</v>
      </c>
      <c r="J67" s="69" t="s">
        <v>593</v>
      </c>
      <c r="K67" s="116">
        <v>0</v>
      </c>
      <c r="L67" s="116">
        <v>0</v>
      </c>
      <c r="M67" s="116">
        <v>0</v>
      </c>
      <c r="N67" s="117">
        <v>0</v>
      </c>
      <c r="P67" s="173">
        <v>516</v>
      </c>
      <c r="Q67" s="174" t="s">
        <v>102</v>
      </c>
      <c r="R67" s="183">
        <v>0</v>
      </c>
      <c r="S67" s="183">
        <v>0</v>
      </c>
      <c r="T67" s="183">
        <v>0</v>
      </c>
      <c r="U67" s="184">
        <v>0</v>
      </c>
      <c r="W67" s="173">
        <v>516</v>
      </c>
      <c r="X67" s="174" t="s">
        <v>102</v>
      </c>
      <c r="Y67" s="183">
        <v>0</v>
      </c>
      <c r="Z67" s="183">
        <v>0</v>
      </c>
      <c r="AA67" s="183">
        <v>0</v>
      </c>
      <c r="AB67" s="184">
        <v>0</v>
      </c>
      <c r="AD67" s="173">
        <v>516</v>
      </c>
      <c r="AE67" s="174" t="s">
        <v>102</v>
      </c>
      <c r="AF67" s="183">
        <v>0</v>
      </c>
      <c r="AG67" s="183">
        <v>0</v>
      </c>
      <c r="AH67" s="183">
        <v>0</v>
      </c>
      <c r="AI67" s="184">
        <v>0</v>
      </c>
    </row>
    <row r="68" spans="2:35" x14ac:dyDescent="0.25">
      <c r="B68" s="68">
        <v>518</v>
      </c>
      <c r="C68" s="69" t="s">
        <v>594</v>
      </c>
      <c r="D68" s="116">
        <v>0</v>
      </c>
      <c r="E68" s="116">
        <v>0</v>
      </c>
      <c r="F68" s="116">
        <v>0</v>
      </c>
      <c r="G68" s="117">
        <v>0</v>
      </c>
      <c r="H68" s="174"/>
      <c r="I68" s="68">
        <v>518</v>
      </c>
      <c r="J68" s="69" t="s">
        <v>594</v>
      </c>
      <c r="K68" s="116">
        <v>0</v>
      </c>
      <c r="L68" s="116">
        <v>0</v>
      </c>
      <c r="M68" s="116">
        <v>0</v>
      </c>
      <c r="N68" s="117">
        <v>0</v>
      </c>
      <c r="P68" s="173">
        <v>518</v>
      </c>
      <c r="Q68" s="174" t="s">
        <v>103</v>
      </c>
      <c r="R68" s="183">
        <v>0</v>
      </c>
      <c r="S68" s="183">
        <v>0</v>
      </c>
      <c r="T68" s="183">
        <v>0</v>
      </c>
      <c r="U68" s="184">
        <v>0</v>
      </c>
      <c r="W68" s="173">
        <v>518</v>
      </c>
      <c r="X68" s="174" t="s">
        <v>103</v>
      </c>
      <c r="Y68" s="183">
        <v>0</v>
      </c>
      <c r="Z68" s="183">
        <v>0</v>
      </c>
      <c r="AA68" s="183">
        <v>0</v>
      </c>
      <c r="AB68" s="184">
        <v>0</v>
      </c>
      <c r="AD68" s="173">
        <v>518</v>
      </c>
      <c r="AE68" s="174" t="s">
        <v>103</v>
      </c>
      <c r="AF68" s="183">
        <v>0</v>
      </c>
      <c r="AG68" s="183">
        <v>0</v>
      </c>
      <c r="AH68" s="183">
        <v>0</v>
      </c>
      <c r="AI68" s="184">
        <v>0</v>
      </c>
    </row>
    <row r="69" spans="2:35" x14ac:dyDescent="0.25">
      <c r="B69" s="68">
        <v>520</v>
      </c>
      <c r="C69" s="69" t="s">
        <v>104</v>
      </c>
      <c r="D69" s="116">
        <v>0</v>
      </c>
      <c r="E69" s="116">
        <v>-211525.45</v>
      </c>
      <c r="F69" s="116">
        <v>-597735.9</v>
      </c>
      <c r="G69" s="117">
        <v>-386210.45</v>
      </c>
      <c r="H69" s="174"/>
      <c r="I69" s="68">
        <v>520</v>
      </c>
      <c r="J69" s="69" t="s">
        <v>104</v>
      </c>
      <c r="K69" s="116">
        <v>0</v>
      </c>
      <c r="L69" s="116">
        <v>-1166168.82</v>
      </c>
      <c r="M69" s="116">
        <v>-995672.86</v>
      </c>
      <c r="N69" s="117">
        <v>170495.96</v>
      </c>
      <c r="P69" s="173">
        <v>520</v>
      </c>
      <c r="Q69" s="174" t="s">
        <v>104</v>
      </c>
      <c r="R69" s="183">
        <v>4683.6499999999996</v>
      </c>
      <c r="S69" s="183">
        <v>-18176226.539999999</v>
      </c>
      <c r="T69" s="183">
        <v>-18143440.989999998</v>
      </c>
      <c r="U69" s="184">
        <v>32785.550000000003</v>
      </c>
      <c r="W69" s="173">
        <v>520</v>
      </c>
      <c r="X69" s="174" t="s">
        <v>104</v>
      </c>
      <c r="Y69" s="183">
        <v>0</v>
      </c>
      <c r="Z69" s="183">
        <v>0</v>
      </c>
      <c r="AA69" s="183">
        <v>0</v>
      </c>
      <c r="AB69" s="184">
        <v>0</v>
      </c>
      <c r="AD69" s="173">
        <v>520</v>
      </c>
      <c r="AE69" s="174" t="s">
        <v>104</v>
      </c>
      <c r="AF69" s="183">
        <v>0</v>
      </c>
      <c r="AG69" s="183">
        <v>-24875880.969999999</v>
      </c>
      <c r="AH69" s="183">
        <v>-24875880.969999999</v>
      </c>
      <c r="AI69" s="184">
        <v>0</v>
      </c>
    </row>
    <row r="70" spans="2:35" x14ac:dyDescent="0.25">
      <c r="B70" s="72">
        <v>530</v>
      </c>
      <c r="C70" s="73" t="s">
        <v>105</v>
      </c>
      <c r="D70" s="211">
        <v>0</v>
      </c>
      <c r="E70" s="211">
        <v>-199701216.22999999</v>
      </c>
      <c r="F70" s="211">
        <v>-200024563.63999999</v>
      </c>
      <c r="G70" s="212">
        <v>-323347.40999999997</v>
      </c>
      <c r="H70" s="174"/>
      <c r="I70" s="68">
        <v>530</v>
      </c>
      <c r="J70" s="69" t="s">
        <v>105</v>
      </c>
      <c r="K70" s="116">
        <v>0</v>
      </c>
      <c r="L70" s="116">
        <v>1166724.48</v>
      </c>
      <c r="M70" s="116">
        <v>439103.29</v>
      </c>
      <c r="N70" s="117">
        <v>-727621.19</v>
      </c>
      <c r="P70" s="179">
        <v>530</v>
      </c>
      <c r="Q70" s="180" t="s">
        <v>105</v>
      </c>
      <c r="R70" s="186">
        <v>38677.800000000003</v>
      </c>
      <c r="S70" s="186">
        <v>603461.85</v>
      </c>
      <c r="T70" s="186">
        <v>1263061.28</v>
      </c>
      <c r="U70" s="187">
        <v>659599.43000000005</v>
      </c>
      <c r="W70" s="179">
        <v>530</v>
      </c>
      <c r="X70" s="180" t="s">
        <v>105</v>
      </c>
      <c r="Y70" s="186">
        <v>0</v>
      </c>
      <c r="Z70" s="186">
        <v>155061.35</v>
      </c>
      <c r="AA70" s="186">
        <v>155061.35</v>
      </c>
      <c r="AB70" s="187">
        <v>0</v>
      </c>
      <c r="AD70" s="179">
        <v>530</v>
      </c>
      <c r="AE70" s="180" t="s">
        <v>105</v>
      </c>
      <c r="AF70" s="186">
        <v>-22167</v>
      </c>
      <c r="AG70" s="186">
        <v>-2729069.36</v>
      </c>
      <c r="AH70" s="186">
        <v>-2641714.36</v>
      </c>
      <c r="AI70" s="187">
        <v>87355</v>
      </c>
    </row>
    <row r="71" spans="2:35" x14ac:dyDescent="0.25">
      <c r="B71" s="183"/>
      <c r="C71" s="183"/>
      <c r="D71" s="183"/>
      <c r="E71" s="183"/>
      <c r="F71" s="183"/>
      <c r="G71" s="183"/>
      <c r="H71" s="174"/>
    </row>
    <row r="72" spans="2:35" x14ac:dyDescent="0.25">
      <c r="B72" s="183"/>
      <c r="C72" s="183"/>
      <c r="D72" s="183"/>
      <c r="E72" s="183"/>
      <c r="F72" s="183"/>
      <c r="G72" s="183"/>
      <c r="H72" s="174"/>
    </row>
    <row r="73" spans="2:35" x14ac:dyDescent="0.25">
      <c r="B73" s="183"/>
      <c r="C73" s="183"/>
      <c r="D73" s="183"/>
      <c r="E73" s="183"/>
      <c r="F73" s="183"/>
      <c r="G73" s="183"/>
      <c r="H73" s="174"/>
    </row>
    <row r="74" spans="2:35" s="174" customFormat="1" x14ac:dyDescent="0.25">
      <c r="B74" s="183"/>
      <c r="C74" s="183"/>
      <c r="D74" s="183"/>
      <c r="E74" s="183"/>
      <c r="F74" s="183"/>
      <c r="G74" s="183"/>
    </row>
    <row r="75" spans="2:35" s="174" customFormat="1" x14ac:dyDescent="0.25">
      <c r="B75" s="183"/>
      <c r="C75" s="183"/>
      <c r="D75" s="183"/>
      <c r="E75" s="183"/>
      <c r="F75" s="183"/>
      <c r="G75" s="183"/>
    </row>
    <row r="76" spans="2:35" s="174" customFormat="1" x14ac:dyDescent="0.25">
      <c r="D76" s="183"/>
      <c r="E76" s="183"/>
      <c r="F76" s="183"/>
      <c r="G76" s="183"/>
    </row>
    <row r="77" spans="2:35" s="174" customFormat="1" x14ac:dyDescent="0.25">
      <c r="D77" s="183"/>
      <c r="E77" s="183"/>
      <c r="F77" s="183"/>
      <c r="G77" s="183"/>
    </row>
    <row r="78" spans="2:35" s="174" customFormat="1" x14ac:dyDescent="0.25">
      <c r="D78" s="183"/>
      <c r="E78" s="183"/>
      <c r="F78" s="183"/>
      <c r="G78" s="183"/>
    </row>
    <row r="79" spans="2:35" s="174" customFormat="1" x14ac:dyDescent="0.25">
      <c r="D79" s="183"/>
      <c r="E79" s="183"/>
      <c r="F79" s="183"/>
      <c r="G79" s="183"/>
    </row>
    <row r="80" spans="2:35" s="174" customFormat="1" x14ac:dyDescent="0.25">
      <c r="D80" s="183"/>
      <c r="E80" s="183"/>
      <c r="F80" s="183"/>
      <c r="G80" s="183"/>
      <c r="K80" s="188"/>
      <c r="M80" s="188"/>
      <c r="N80" s="188"/>
    </row>
    <row r="81" spans="4:14" s="174" customFormat="1" x14ac:dyDescent="0.25">
      <c r="D81" s="183"/>
      <c r="E81" s="183"/>
      <c r="F81" s="183"/>
      <c r="G81" s="183"/>
    </row>
    <row r="82" spans="4:14" s="174" customFormat="1" x14ac:dyDescent="0.25">
      <c r="D82" s="183"/>
      <c r="E82" s="183"/>
      <c r="F82" s="183"/>
      <c r="G82" s="183"/>
      <c r="K82" s="188"/>
      <c r="M82" s="188"/>
      <c r="N82" s="188"/>
    </row>
    <row r="83" spans="4:14" s="174" customFormat="1" x14ac:dyDescent="0.25">
      <c r="D83" s="183"/>
      <c r="E83" s="183"/>
      <c r="F83" s="183"/>
      <c r="G83" s="183"/>
    </row>
    <row r="84" spans="4:14" s="174" customFormat="1" x14ac:dyDescent="0.25">
      <c r="D84" s="183"/>
      <c r="E84" s="183"/>
      <c r="F84" s="183"/>
      <c r="G84" s="183"/>
    </row>
    <row r="85" spans="4:14" s="174" customFormat="1" x14ac:dyDescent="0.25">
      <c r="D85" s="183"/>
      <c r="E85" s="183"/>
      <c r="F85" s="183"/>
      <c r="G85" s="183"/>
      <c r="K85" s="188"/>
      <c r="M85" s="188"/>
      <c r="N85" s="188"/>
    </row>
    <row r="86" spans="4:14" s="174" customFormat="1" x14ac:dyDescent="0.25">
      <c r="D86" s="183"/>
      <c r="E86" s="183"/>
      <c r="F86" s="183"/>
      <c r="G86" s="183"/>
      <c r="K86" s="188"/>
      <c r="M86" s="188"/>
      <c r="N86" s="188"/>
    </row>
    <row r="87" spans="4:14" s="174" customFormat="1" x14ac:dyDescent="0.25">
      <c r="D87" s="183"/>
      <c r="E87" s="183"/>
      <c r="F87" s="183"/>
      <c r="G87" s="183"/>
    </row>
    <row r="88" spans="4:14" s="174" customFormat="1" x14ac:dyDescent="0.25">
      <c r="D88" s="183"/>
      <c r="E88" s="183"/>
      <c r="F88" s="183"/>
      <c r="G88" s="183"/>
    </row>
    <row r="89" spans="4:14" s="174" customFormat="1" x14ac:dyDescent="0.25">
      <c r="D89" s="183"/>
      <c r="E89" s="183"/>
      <c r="F89" s="183"/>
      <c r="G89" s="183"/>
      <c r="K89" s="188"/>
      <c r="M89" s="188"/>
      <c r="N89" s="188"/>
    </row>
    <row r="90" spans="4:14" s="174" customFormat="1" x14ac:dyDescent="0.25">
      <c r="D90" s="183"/>
      <c r="E90" s="183"/>
      <c r="F90" s="183"/>
      <c r="G90" s="183"/>
      <c r="K90" s="188"/>
      <c r="M90" s="188"/>
      <c r="N90" s="188"/>
    </row>
    <row r="91" spans="4:14" s="174" customFormat="1" x14ac:dyDescent="0.25">
      <c r="D91" s="183"/>
      <c r="E91" s="183"/>
      <c r="F91" s="183"/>
      <c r="G91" s="183"/>
    </row>
    <row r="92" spans="4:14" s="174" customFormat="1" x14ac:dyDescent="0.25">
      <c r="D92" s="183"/>
      <c r="E92" s="183"/>
      <c r="F92" s="183"/>
      <c r="G92" s="183"/>
    </row>
    <row r="93" spans="4:14" s="174" customFormat="1" x14ac:dyDescent="0.25">
      <c r="D93" s="183"/>
      <c r="E93" s="183"/>
      <c r="F93" s="183"/>
      <c r="G93" s="183"/>
      <c r="K93" s="188"/>
      <c r="M93" s="188"/>
      <c r="N93" s="188"/>
    </row>
    <row r="94" spans="4:14" s="174" customFormat="1" x14ac:dyDescent="0.25">
      <c r="D94" s="183"/>
      <c r="E94" s="183"/>
      <c r="F94" s="183"/>
      <c r="G94" s="183"/>
      <c r="K94" s="188"/>
      <c r="M94" s="188"/>
      <c r="N94" s="188"/>
    </row>
    <row r="95" spans="4:14" s="174" customFormat="1" x14ac:dyDescent="0.25">
      <c r="D95" s="183"/>
      <c r="E95" s="183"/>
      <c r="F95" s="183"/>
      <c r="G95" s="183"/>
      <c r="K95" s="188"/>
      <c r="M95" s="188"/>
      <c r="N95" s="188"/>
    </row>
    <row r="96" spans="4:14" s="174" customFormat="1" x14ac:dyDescent="0.25">
      <c r="D96" s="183"/>
      <c r="E96" s="183"/>
      <c r="F96" s="183"/>
      <c r="G96" s="183"/>
    </row>
    <row r="97" spans="4:14" s="174" customFormat="1" x14ac:dyDescent="0.25">
      <c r="D97" s="183"/>
      <c r="E97" s="183"/>
      <c r="F97" s="183"/>
      <c r="G97" s="183"/>
      <c r="K97" s="188"/>
      <c r="M97" s="188"/>
      <c r="N97" s="188"/>
    </row>
    <row r="98" spans="4:14" s="174" customFormat="1" x14ac:dyDescent="0.25">
      <c r="D98" s="183"/>
      <c r="E98" s="183"/>
      <c r="F98" s="183"/>
      <c r="G98" s="183"/>
    </row>
    <row r="99" spans="4:14" s="174" customFormat="1" x14ac:dyDescent="0.25">
      <c r="D99" s="183"/>
      <c r="E99" s="183"/>
      <c r="F99" s="183"/>
      <c r="G99" s="183"/>
      <c r="K99" s="188"/>
      <c r="M99" s="188"/>
      <c r="N99" s="188"/>
    </row>
    <row r="100" spans="4:14" s="174" customFormat="1" x14ac:dyDescent="0.25">
      <c r="D100" s="183"/>
      <c r="E100" s="183"/>
      <c r="F100" s="183"/>
      <c r="G100" s="183"/>
      <c r="K100" s="188"/>
      <c r="M100" s="188"/>
      <c r="N100" s="188"/>
    </row>
    <row r="101" spans="4:14" s="174" customFormat="1" x14ac:dyDescent="0.25">
      <c r="D101" s="183"/>
      <c r="E101" s="183"/>
      <c r="F101" s="183"/>
      <c r="G101" s="183"/>
    </row>
    <row r="102" spans="4:14" s="174" customFormat="1" x14ac:dyDescent="0.25">
      <c r="D102" s="183"/>
      <c r="E102" s="183"/>
      <c r="F102" s="183"/>
      <c r="G102" s="183"/>
      <c r="K102" s="188"/>
      <c r="L102" s="188"/>
      <c r="M102" s="188"/>
      <c r="N102" s="188"/>
    </row>
    <row r="103" spans="4:14" s="174" customFormat="1" x14ac:dyDescent="0.25">
      <c r="D103" s="183"/>
      <c r="E103" s="183"/>
      <c r="F103" s="183"/>
      <c r="G103" s="183"/>
      <c r="L103" s="188"/>
      <c r="M103" s="188"/>
    </row>
    <row r="104" spans="4:14" s="174" customFormat="1" x14ac:dyDescent="0.25">
      <c r="D104" s="183"/>
      <c r="E104" s="183"/>
      <c r="F104" s="183"/>
      <c r="G104" s="183"/>
      <c r="L104" s="188"/>
      <c r="M104" s="188"/>
    </row>
    <row r="105" spans="4:14" s="174" customFormat="1" x14ac:dyDescent="0.25">
      <c r="D105" s="183"/>
      <c r="E105" s="183"/>
      <c r="F105" s="183"/>
      <c r="G105" s="183"/>
      <c r="K105" s="188"/>
      <c r="L105" s="188"/>
      <c r="M105" s="188"/>
      <c r="N105" s="188"/>
    </row>
    <row r="106" spans="4:14" s="174" customFormat="1" x14ac:dyDescent="0.25">
      <c r="D106" s="183"/>
      <c r="E106" s="183"/>
      <c r="F106" s="183"/>
      <c r="G106" s="183"/>
      <c r="L106" s="188"/>
      <c r="M106" s="188"/>
    </row>
    <row r="107" spans="4:14" s="174" customFormat="1" x14ac:dyDescent="0.25">
      <c r="D107" s="183"/>
      <c r="E107" s="183"/>
      <c r="F107" s="183"/>
      <c r="G107" s="183"/>
    </row>
    <row r="108" spans="4:14" s="174" customFormat="1" x14ac:dyDescent="0.25">
      <c r="D108" s="183"/>
      <c r="E108" s="183"/>
      <c r="F108" s="183"/>
      <c r="G108" s="183"/>
      <c r="L108" s="188"/>
      <c r="M108" s="188"/>
    </row>
    <row r="109" spans="4:14" s="174" customFormat="1" x14ac:dyDescent="0.25">
      <c r="D109" s="183"/>
      <c r="E109" s="183"/>
      <c r="F109" s="183"/>
      <c r="G109" s="183"/>
    </row>
    <row r="110" spans="4:14" s="174" customFormat="1" x14ac:dyDescent="0.25">
      <c r="D110" s="183"/>
      <c r="E110" s="183"/>
      <c r="F110" s="183"/>
      <c r="G110" s="183"/>
      <c r="L110" s="176"/>
      <c r="M110" s="176"/>
    </row>
    <row r="111" spans="4:14" s="174" customFormat="1" x14ac:dyDescent="0.25">
      <c r="D111" s="183"/>
      <c r="E111" s="183"/>
      <c r="F111" s="183"/>
      <c r="G111" s="183"/>
      <c r="L111" s="188"/>
      <c r="M111" s="188"/>
    </row>
    <row r="112" spans="4:14" s="174" customFormat="1" x14ac:dyDescent="0.25">
      <c r="D112" s="183"/>
      <c r="E112" s="183"/>
      <c r="F112" s="183"/>
      <c r="G112" s="183"/>
      <c r="L112" s="188"/>
      <c r="M112" s="188"/>
    </row>
    <row r="113" spans="4:14" s="174" customFormat="1" x14ac:dyDescent="0.25">
      <c r="D113" s="183"/>
      <c r="E113" s="183"/>
      <c r="F113" s="183"/>
      <c r="G113" s="183"/>
      <c r="K113" s="188"/>
      <c r="L113" s="188"/>
      <c r="M113" s="188"/>
      <c r="N113" s="188"/>
    </row>
    <row r="114" spans="4:14" s="174" customFormat="1" x14ac:dyDescent="0.25">
      <c r="D114" s="183"/>
      <c r="E114" s="183"/>
      <c r="F114" s="183"/>
      <c r="G114" s="183"/>
    </row>
    <row r="115" spans="4:14" s="174" customFormat="1" x14ac:dyDescent="0.25">
      <c r="D115" s="183"/>
      <c r="E115" s="183"/>
      <c r="F115" s="183"/>
      <c r="G115" s="183"/>
      <c r="K115" s="188"/>
      <c r="L115" s="188"/>
      <c r="M115" s="188"/>
      <c r="N115" s="188"/>
    </row>
    <row r="116" spans="4:14" s="174" customFormat="1" x14ac:dyDescent="0.25">
      <c r="D116" s="183"/>
      <c r="E116" s="183"/>
      <c r="F116" s="183"/>
      <c r="G116" s="183"/>
      <c r="L116" s="188"/>
      <c r="M116" s="188"/>
    </row>
    <row r="117" spans="4:14" s="174" customFormat="1" x14ac:dyDescent="0.25">
      <c r="D117" s="183"/>
      <c r="E117" s="183"/>
      <c r="F117" s="183"/>
      <c r="G117" s="183"/>
      <c r="K117" s="188"/>
      <c r="L117" s="188"/>
      <c r="M117" s="188"/>
      <c r="N117" s="188"/>
    </row>
    <row r="118" spans="4:14" s="174" customFormat="1" x14ac:dyDescent="0.25">
      <c r="D118" s="183"/>
      <c r="E118" s="183"/>
      <c r="F118" s="183"/>
      <c r="G118" s="183"/>
    </row>
    <row r="119" spans="4:14" s="174" customFormat="1" x14ac:dyDescent="0.25">
      <c r="D119" s="183"/>
      <c r="E119" s="183"/>
      <c r="F119" s="183"/>
      <c r="G119" s="183"/>
      <c r="L119" s="188"/>
      <c r="M119" s="188"/>
    </row>
    <row r="120" spans="4:14" s="174" customFormat="1" x14ac:dyDescent="0.25">
      <c r="D120" s="183"/>
      <c r="E120" s="183"/>
      <c r="F120" s="183"/>
      <c r="G120" s="183"/>
      <c r="L120" s="176"/>
      <c r="M120" s="176"/>
    </row>
    <row r="121" spans="4:14" s="174" customFormat="1" x14ac:dyDescent="0.25">
      <c r="D121" s="183"/>
      <c r="E121" s="183"/>
      <c r="F121" s="183"/>
      <c r="G121" s="183"/>
      <c r="K121" s="176"/>
      <c r="L121" s="188"/>
      <c r="M121" s="188"/>
      <c r="N121" s="176"/>
    </row>
    <row r="122" spans="4:14" s="174" customFormat="1" x14ac:dyDescent="0.25">
      <c r="D122" s="183"/>
      <c r="E122" s="183"/>
      <c r="F122" s="183"/>
      <c r="G122" s="183"/>
      <c r="L122" s="188"/>
      <c r="M122" s="188"/>
    </row>
    <row r="123" spans="4:14" s="174" customFormat="1" x14ac:dyDescent="0.25">
      <c r="D123" s="183"/>
      <c r="E123" s="183"/>
      <c r="F123" s="183"/>
      <c r="G123" s="183"/>
      <c r="L123" s="188"/>
      <c r="M123" s="188"/>
    </row>
    <row r="124" spans="4:14" s="174" customFormat="1" x14ac:dyDescent="0.25">
      <c r="D124" s="183"/>
      <c r="E124" s="183"/>
      <c r="F124" s="183"/>
      <c r="G124" s="183"/>
      <c r="K124" s="176"/>
      <c r="L124" s="188"/>
      <c r="M124" s="188"/>
      <c r="N124" s="176"/>
    </row>
    <row r="125" spans="4:14" s="174" customFormat="1" x14ac:dyDescent="0.25">
      <c r="D125" s="183"/>
      <c r="E125" s="183"/>
      <c r="F125" s="183"/>
      <c r="G125" s="183"/>
    </row>
    <row r="126" spans="4:14" s="174" customFormat="1" x14ac:dyDescent="0.25">
      <c r="D126" s="183"/>
      <c r="E126" s="183"/>
      <c r="F126" s="183"/>
      <c r="G126" s="183"/>
      <c r="L126" s="176"/>
      <c r="M126" s="176"/>
    </row>
    <row r="127" spans="4:14" s="174" customFormat="1" x14ac:dyDescent="0.25">
      <c r="D127" s="183"/>
      <c r="E127" s="183"/>
      <c r="F127" s="183"/>
      <c r="G127" s="183"/>
    </row>
    <row r="128" spans="4:14" s="174" customFormat="1" x14ac:dyDescent="0.25">
      <c r="D128" s="183"/>
      <c r="E128" s="183"/>
      <c r="F128" s="183"/>
      <c r="G128" s="183"/>
      <c r="L128" s="188"/>
      <c r="M128" s="188"/>
    </row>
    <row r="129" spans="2:14" s="174" customFormat="1" x14ac:dyDescent="0.25">
      <c r="D129" s="183"/>
      <c r="E129" s="183"/>
      <c r="F129" s="183"/>
      <c r="G129" s="183"/>
      <c r="L129" s="188"/>
      <c r="M129" s="188"/>
    </row>
    <row r="130" spans="2:14" s="174" customFormat="1" x14ac:dyDescent="0.25">
      <c r="D130" s="183"/>
      <c r="E130" s="183"/>
      <c r="F130" s="183"/>
      <c r="G130" s="183"/>
      <c r="L130" s="188"/>
      <c r="M130" s="188"/>
    </row>
    <row r="131" spans="2:14" s="174" customFormat="1" x14ac:dyDescent="0.25">
      <c r="D131" s="183"/>
      <c r="E131" s="183"/>
      <c r="F131" s="183"/>
      <c r="G131" s="183"/>
      <c r="L131" s="188"/>
      <c r="M131" s="188"/>
    </row>
    <row r="132" spans="2:14" s="174" customFormat="1" x14ac:dyDescent="0.25">
      <c r="D132" s="183"/>
      <c r="E132" s="183"/>
      <c r="F132" s="183"/>
      <c r="G132" s="183"/>
      <c r="L132" s="188"/>
      <c r="M132" s="188"/>
    </row>
    <row r="133" spans="2:14" s="174" customFormat="1" x14ac:dyDescent="0.25">
      <c r="D133" s="183"/>
      <c r="E133" s="183"/>
      <c r="F133" s="183"/>
      <c r="G133" s="183"/>
      <c r="L133" s="188"/>
      <c r="M133" s="188"/>
    </row>
    <row r="134" spans="2:14" s="174" customFormat="1" x14ac:dyDescent="0.25">
      <c r="D134" s="183"/>
      <c r="E134" s="183"/>
      <c r="F134" s="183"/>
      <c r="G134" s="183"/>
      <c r="L134" s="188"/>
      <c r="M134" s="188"/>
    </row>
    <row r="135" spans="2:14" s="174" customFormat="1" x14ac:dyDescent="0.25">
      <c r="D135" s="183"/>
      <c r="E135" s="183"/>
      <c r="F135" s="183"/>
      <c r="G135" s="183"/>
      <c r="L135" s="188"/>
      <c r="M135" s="188"/>
    </row>
    <row r="136" spans="2:14" s="174" customFormat="1" x14ac:dyDescent="0.25">
      <c r="D136" s="183"/>
      <c r="E136" s="183"/>
      <c r="F136" s="183"/>
      <c r="G136" s="183"/>
      <c r="L136" s="188"/>
      <c r="M136" s="188"/>
    </row>
    <row r="137" spans="2:14" s="174" customFormat="1" x14ac:dyDescent="0.25">
      <c r="D137" s="183"/>
      <c r="E137" s="183"/>
      <c r="F137" s="183"/>
      <c r="G137" s="183"/>
    </row>
    <row r="138" spans="2:14" s="174" customFormat="1" x14ac:dyDescent="0.25">
      <c r="D138" s="183"/>
      <c r="E138" s="183"/>
      <c r="F138" s="183"/>
      <c r="G138" s="183"/>
      <c r="L138" s="176"/>
      <c r="M138" s="176"/>
    </row>
    <row r="139" spans="2:14" s="174" customFormat="1" x14ac:dyDescent="0.25">
      <c r="D139" s="183"/>
      <c r="E139" s="183"/>
      <c r="F139" s="183"/>
      <c r="G139" s="183"/>
      <c r="L139" s="188"/>
      <c r="M139" s="188"/>
    </row>
    <row r="140" spans="2:14" s="174" customFormat="1" x14ac:dyDescent="0.25">
      <c r="D140" s="183"/>
      <c r="E140" s="183"/>
      <c r="F140" s="183"/>
      <c r="G140" s="183"/>
    </row>
    <row r="141" spans="2:14" s="174" customFormat="1" x14ac:dyDescent="0.25">
      <c r="D141" s="183"/>
      <c r="E141" s="183"/>
      <c r="F141" s="183"/>
      <c r="G141" s="183"/>
      <c r="L141" s="188"/>
      <c r="M141" s="188"/>
    </row>
    <row r="142" spans="2:14" s="174" customFormat="1" x14ac:dyDescent="0.25">
      <c r="D142" s="183"/>
      <c r="E142" s="183"/>
      <c r="F142" s="183"/>
      <c r="G142" s="183"/>
      <c r="K142" s="188"/>
      <c r="L142" s="188"/>
      <c r="M142" s="188"/>
      <c r="N142" s="188"/>
    </row>
    <row r="143" spans="2:14" s="174" customFormat="1" x14ac:dyDescent="0.25">
      <c r="D143" s="183"/>
      <c r="E143" s="183"/>
      <c r="F143" s="183"/>
      <c r="G143" s="183"/>
    </row>
    <row r="144" spans="2:14" s="174" customFormat="1" ht="13" x14ac:dyDescent="0.3">
      <c r="B144" s="189"/>
      <c r="C144" s="190"/>
      <c r="D144" s="183"/>
      <c r="E144" s="183"/>
      <c r="F144" s="183"/>
      <c r="G144" s="183"/>
    </row>
    <row r="145" spans="4:7" s="174" customFormat="1" x14ac:dyDescent="0.25">
      <c r="D145" s="183"/>
      <c r="E145" s="183"/>
      <c r="F145" s="183"/>
      <c r="G145" s="183"/>
    </row>
    <row r="146" spans="4:7" s="174" customFormat="1" x14ac:dyDescent="0.25">
      <c r="D146" s="183"/>
      <c r="E146" s="183"/>
      <c r="F146" s="183"/>
      <c r="G146" s="183"/>
    </row>
    <row r="147" spans="4:7" s="174" customFormat="1" x14ac:dyDescent="0.25">
      <c r="D147" s="183"/>
      <c r="E147" s="183"/>
      <c r="F147" s="183"/>
      <c r="G147" s="183"/>
    </row>
    <row r="148" spans="4:7" s="174" customFormat="1" x14ac:dyDescent="0.25">
      <c r="D148" s="183"/>
      <c r="E148" s="183"/>
      <c r="F148" s="183"/>
      <c r="G148" s="183"/>
    </row>
    <row r="149" spans="4:7" s="174" customFormat="1" x14ac:dyDescent="0.25">
      <c r="D149" s="183"/>
      <c r="E149" s="183"/>
      <c r="F149" s="183"/>
      <c r="G149" s="183"/>
    </row>
    <row r="150" spans="4:7" s="174" customFormat="1" x14ac:dyDescent="0.25">
      <c r="D150" s="183"/>
      <c r="E150" s="183"/>
      <c r="F150" s="183"/>
      <c r="G150" s="183"/>
    </row>
    <row r="151" spans="4:7" s="174" customFormat="1" x14ac:dyDescent="0.25">
      <c r="D151" s="183"/>
      <c r="E151" s="183"/>
      <c r="F151" s="183"/>
      <c r="G151" s="183"/>
    </row>
    <row r="152" spans="4:7" s="174" customFormat="1" x14ac:dyDescent="0.25">
      <c r="D152" s="183"/>
      <c r="E152" s="183"/>
      <c r="F152" s="183"/>
      <c r="G152" s="183"/>
    </row>
    <row r="153" spans="4:7" s="174" customFormat="1" x14ac:dyDescent="0.25">
      <c r="D153" s="183"/>
      <c r="E153" s="183"/>
      <c r="F153" s="183"/>
      <c r="G153" s="183"/>
    </row>
    <row r="154" spans="4:7" s="174" customFormat="1" x14ac:dyDescent="0.25">
      <c r="D154" s="183"/>
      <c r="E154" s="183"/>
      <c r="F154" s="183"/>
      <c r="G154" s="183"/>
    </row>
    <row r="155" spans="4:7" s="174" customFormat="1" x14ac:dyDescent="0.25">
      <c r="D155" s="183"/>
      <c r="E155" s="183"/>
      <c r="F155" s="183"/>
      <c r="G155" s="183"/>
    </row>
    <row r="156" spans="4:7" s="174" customFormat="1" x14ac:dyDescent="0.25">
      <c r="D156" s="183"/>
      <c r="E156" s="183"/>
      <c r="F156" s="183"/>
      <c r="G156" s="183"/>
    </row>
    <row r="157" spans="4:7" s="174" customFormat="1" x14ac:dyDescent="0.25">
      <c r="D157" s="183"/>
      <c r="E157" s="183"/>
      <c r="F157" s="183"/>
      <c r="G157" s="183"/>
    </row>
    <row r="158" spans="4:7" s="174" customFormat="1" x14ac:dyDescent="0.25">
      <c r="D158" s="183"/>
      <c r="E158" s="183"/>
      <c r="F158" s="183"/>
      <c r="G158" s="183"/>
    </row>
    <row r="159" spans="4:7" s="174" customFormat="1" x14ac:dyDescent="0.25">
      <c r="D159" s="183"/>
      <c r="E159" s="183"/>
      <c r="F159" s="183"/>
      <c r="G159" s="183"/>
    </row>
    <row r="160" spans="4:7" s="174" customFormat="1" x14ac:dyDescent="0.25">
      <c r="D160" s="183"/>
      <c r="E160" s="183"/>
      <c r="F160" s="183"/>
      <c r="G160" s="183"/>
    </row>
    <row r="161" spans="4:7" s="174" customFormat="1" x14ac:dyDescent="0.25">
      <c r="D161" s="183"/>
      <c r="E161" s="183"/>
      <c r="F161" s="183"/>
      <c r="G161" s="183"/>
    </row>
    <row r="162" spans="4:7" s="174" customFormat="1" x14ac:dyDescent="0.25">
      <c r="D162" s="183"/>
      <c r="E162" s="183"/>
      <c r="F162" s="183"/>
      <c r="G162" s="183"/>
    </row>
    <row r="163" spans="4:7" s="174" customFormat="1" x14ac:dyDescent="0.25">
      <c r="D163" s="183"/>
      <c r="E163" s="183"/>
      <c r="F163" s="183"/>
      <c r="G163" s="183"/>
    </row>
    <row r="164" spans="4:7" s="174" customFormat="1" x14ac:dyDescent="0.25">
      <c r="D164" s="183"/>
      <c r="E164" s="183"/>
      <c r="F164" s="183"/>
      <c r="G164" s="183"/>
    </row>
    <row r="165" spans="4:7" s="174" customFormat="1" x14ac:dyDescent="0.25">
      <c r="D165" s="183"/>
      <c r="E165" s="183"/>
      <c r="F165" s="183"/>
      <c r="G165" s="183"/>
    </row>
    <row r="166" spans="4:7" s="174" customFormat="1" x14ac:dyDescent="0.25">
      <c r="D166" s="183"/>
      <c r="E166" s="183"/>
      <c r="F166" s="183"/>
      <c r="G166" s="183"/>
    </row>
    <row r="167" spans="4:7" s="174" customFormat="1" x14ac:dyDescent="0.25">
      <c r="D167" s="183"/>
      <c r="E167" s="183"/>
      <c r="F167" s="183"/>
      <c r="G167" s="183"/>
    </row>
    <row r="168" spans="4:7" s="174" customFormat="1" x14ac:dyDescent="0.25">
      <c r="D168" s="183"/>
      <c r="E168" s="183"/>
      <c r="F168" s="183"/>
      <c r="G168" s="183"/>
    </row>
    <row r="169" spans="4:7" s="174" customFormat="1" x14ac:dyDescent="0.25">
      <c r="D169" s="183"/>
      <c r="E169" s="183"/>
      <c r="F169" s="183"/>
      <c r="G169" s="183"/>
    </row>
    <row r="170" spans="4:7" s="174" customFormat="1" x14ac:dyDescent="0.25">
      <c r="D170" s="183"/>
      <c r="E170" s="183"/>
      <c r="F170" s="183"/>
      <c r="G170" s="183"/>
    </row>
    <row r="171" spans="4:7" s="174" customFormat="1" x14ac:dyDescent="0.25">
      <c r="D171" s="183"/>
      <c r="E171" s="183"/>
      <c r="F171" s="183"/>
      <c r="G171" s="183"/>
    </row>
    <row r="172" spans="4:7" s="174" customFormat="1" x14ac:dyDescent="0.25">
      <c r="D172" s="183"/>
      <c r="E172" s="183"/>
      <c r="F172" s="183"/>
      <c r="G172" s="183"/>
    </row>
    <row r="173" spans="4:7" s="174" customFormat="1" x14ac:dyDescent="0.25">
      <c r="D173" s="183"/>
      <c r="E173" s="183"/>
      <c r="F173" s="183"/>
      <c r="G173" s="183"/>
    </row>
    <row r="174" spans="4:7" s="174" customFormat="1" x14ac:dyDescent="0.25">
      <c r="D174" s="183"/>
      <c r="E174" s="183"/>
      <c r="F174" s="183"/>
      <c r="G174" s="183"/>
    </row>
    <row r="175" spans="4:7" s="174" customFormat="1" x14ac:dyDescent="0.25">
      <c r="D175" s="183"/>
      <c r="E175" s="183"/>
      <c r="F175" s="183"/>
      <c r="G175" s="183"/>
    </row>
    <row r="176" spans="4:7" s="174" customFormat="1" x14ac:dyDescent="0.25">
      <c r="D176" s="183"/>
      <c r="E176" s="183"/>
      <c r="F176" s="183"/>
      <c r="G176" s="183"/>
    </row>
    <row r="177" spans="4:7" s="174" customFormat="1" x14ac:dyDescent="0.25">
      <c r="D177" s="183"/>
      <c r="E177" s="183"/>
      <c r="F177" s="183"/>
      <c r="G177" s="183"/>
    </row>
    <row r="178" spans="4:7" s="174" customFormat="1" x14ac:dyDescent="0.25">
      <c r="D178" s="183"/>
      <c r="E178" s="183"/>
      <c r="F178" s="183"/>
      <c r="G178" s="183"/>
    </row>
    <row r="179" spans="4:7" s="174" customFormat="1" x14ac:dyDescent="0.25">
      <c r="D179" s="183"/>
      <c r="E179" s="183"/>
      <c r="F179" s="183"/>
      <c r="G179" s="183"/>
    </row>
    <row r="180" spans="4:7" s="174" customFormat="1" x14ac:dyDescent="0.25">
      <c r="D180" s="183"/>
      <c r="E180" s="183"/>
      <c r="F180" s="183"/>
      <c r="G180" s="183"/>
    </row>
    <row r="181" spans="4:7" s="174" customFormat="1" x14ac:dyDescent="0.25">
      <c r="D181" s="183"/>
      <c r="E181" s="183"/>
      <c r="F181" s="183"/>
      <c r="G181" s="183"/>
    </row>
    <row r="182" spans="4:7" s="174" customFormat="1" x14ac:dyDescent="0.25">
      <c r="D182" s="183"/>
      <c r="E182" s="183"/>
      <c r="F182" s="183"/>
      <c r="G182" s="183"/>
    </row>
    <row r="183" spans="4:7" s="174" customFormat="1" x14ac:dyDescent="0.25">
      <c r="D183" s="183"/>
      <c r="E183" s="183"/>
      <c r="F183" s="183"/>
      <c r="G183" s="183"/>
    </row>
    <row r="184" spans="4:7" s="174" customFormat="1" x14ac:dyDescent="0.25">
      <c r="D184" s="183"/>
      <c r="E184" s="183"/>
      <c r="F184" s="183"/>
      <c r="G184" s="183"/>
    </row>
    <row r="185" spans="4:7" s="174" customFormat="1" x14ac:dyDescent="0.25">
      <c r="D185" s="183"/>
      <c r="E185" s="183"/>
      <c r="F185" s="183"/>
      <c r="G185" s="183"/>
    </row>
    <row r="186" spans="4:7" s="174" customFormat="1" x14ac:dyDescent="0.25">
      <c r="D186" s="183"/>
      <c r="E186" s="183"/>
      <c r="F186" s="183"/>
      <c r="G186" s="183"/>
    </row>
    <row r="187" spans="4:7" s="174" customFormat="1" x14ac:dyDescent="0.25">
      <c r="D187" s="183"/>
      <c r="E187" s="183"/>
      <c r="F187" s="183"/>
      <c r="G187" s="183"/>
    </row>
    <row r="188" spans="4:7" s="174" customFormat="1" x14ac:dyDescent="0.25">
      <c r="D188" s="183"/>
      <c r="E188" s="183"/>
      <c r="F188" s="183"/>
      <c r="G188" s="183"/>
    </row>
    <row r="189" spans="4:7" s="174" customFormat="1" x14ac:dyDescent="0.25">
      <c r="D189" s="183"/>
      <c r="E189" s="183"/>
      <c r="F189" s="183"/>
      <c r="G189" s="183"/>
    </row>
    <row r="190" spans="4:7" s="174" customFormat="1" x14ac:dyDescent="0.25">
      <c r="D190" s="183"/>
      <c r="E190" s="183"/>
      <c r="F190" s="183"/>
      <c r="G190" s="183"/>
    </row>
    <row r="191" spans="4:7" s="174" customFormat="1" x14ac:dyDescent="0.25">
      <c r="D191" s="183"/>
      <c r="E191" s="183"/>
      <c r="F191" s="183"/>
      <c r="G191" s="183"/>
    </row>
    <row r="192" spans="4:7" s="174" customFormat="1" x14ac:dyDescent="0.25">
      <c r="D192" s="183"/>
      <c r="E192" s="183"/>
      <c r="F192" s="183"/>
      <c r="G192" s="183"/>
    </row>
    <row r="193" spans="4:7" s="174" customFormat="1" x14ac:dyDescent="0.25">
      <c r="D193" s="183"/>
      <c r="E193" s="183"/>
      <c r="F193" s="183"/>
      <c r="G193" s="183"/>
    </row>
    <row r="194" spans="4:7" s="174" customFormat="1" x14ac:dyDescent="0.25">
      <c r="D194" s="183"/>
      <c r="E194" s="183"/>
      <c r="F194" s="183"/>
      <c r="G194" s="183"/>
    </row>
    <row r="195" spans="4:7" s="174" customFormat="1" x14ac:dyDescent="0.25">
      <c r="D195" s="183"/>
      <c r="E195" s="183"/>
      <c r="F195" s="183"/>
      <c r="G195" s="183"/>
    </row>
    <row r="196" spans="4:7" s="174" customFormat="1" x14ac:dyDescent="0.25">
      <c r="D196" s="183"/>
      <c r="E196" s="183"/>
      <c r="F196" s="183"/>
      <c r="G196" s="183"/>
    </row>
    <row r="197" spans="4:7" s="174" customFormat="1" x14ac:dyDescent="0.25">
      <c r="D197" s="183"/>
      <c r="E197" s="183"/>
      <c r="F197" s="183"/>
      <c r="G197" s="183"/>
    </row>
    <row r="198" spans="4:7" s="174" customFormat="1" x14ac:dyDescent="0.25">
      <c r="D198" s="183"/>
      <c r="E198" s="183"/>
      <c r="F198" s="183"/>
      <c r="G198" s="183"/>
    </row>
    <row r="199" spans="4:7" s="174" customFormat="1" x14ac:dyDescent="0.25">
      <c r="D199" s="183"/>
      <c r="E199" s="183"/>
      <c r="F199" s="183"/>
      <c r="G199" s="183"/>
    </row>
    <row r="200" spans="4:7" s="174" customFormat="1" x14ac:dyDescent="0.25">
      <c r="D200" s="183"/>
      <c r="E200" s="183"/>
      <c r="F200" s="183"/>
      <c r="G200" s="183"/>
    </row>
    <row r="201" spans="4:7" s="174" customFormat="1" x14ac:dyDescent="0.25">
      <c r="D201" s="183"/>
      <c r="E201" s="183"/>
      <c r="F201" s="183"/>
      <c r="G201" s="183"/>
    </row>
    <row r="202" spans="4:7" s="174" customFormat="1" x14ac:dyDescent="0.25">
      <c r="D202" s="183"/>
      <c r="E202" s="183"/>
      <c r="F202" s="183"/>
      <c r="G202" s="183"/>
    </row>
    <row r="203" spans="4:7" s="174" customFormat="1" x14ac:dyDescent="0.25">
      <c r="D203" s="183"/>
      <c r="E203" s="183"/>
      <c r="F203" s="183"/>
      <c r="G203" s="183"/>
    </row>
    <row r="204" spans="4:7" s="174" customFormat="1" x14ac:dyDescent="0.25">
      <c r="D204" s="183"/>
      <c r="E204" s="183"/>
      <c r="F204" s="183"/>
      <c r="G204" s="183"/>
    </row>
    <row r="205" spans="4:7" s="174" customFormat="1" x14ac:dyDescent="0.25">
      <c r="D205" s="183"/>
      <c r="E205" s="183"/>
      <c r="F205" s="183"/>
      <c r="G205" s="183"/>
    </row>
    <row r="206" spans="4:7" s="174" customFormat="1" x14ac:dyDescent="0.25">
      <c r="D206" s="183"/>
      <c r="E206" s="183"/>
      <c r="F206" s="183"/>
      <c r="G206" s="183"/>
    </row>
    <row r="207" spans="4:7" s="174" customFormat="1" x14ac:dyDescent="0.25">
      <c r="D207" s="183"/>
      <c r="E207" s="183"/>
      <c r="F207" s="183"/>
      <c r="G207" s="183"/>
    </row>
    <row r="208" spans="4:7" s="174" customFormat="1" x14ac:dyDescent="0.25">
      <c r="D208" s="183"/>
      <c r="E208" s="183"/>
      <c r="F208" s="183"/>
      <c r="G208" s="183"/>
    </row>
    <row r="209" spans="2:7" s="174" customFormat="1" x14ac:dyDescent="0.25">
      <c r="D209" s="183"/>
      <c r="E209" s="183"/>
      <c r="F209" s="183"/>
      <c r="G209" s="183"/>
    </row>
    <row r="210" spans="2:7" s="174" customFormat="1" x14ac:dyDescent="0.25">
      <c r="D210" s="183"/>
      <c r="E210" s="183"/>
      <c r="F210" s="183"/>
      <c r="G210" s="183"/>
    </row>
    <row r="211" spans="2:7" s="174" customFormat="1" x14ac:dyDescent="0.25">
      <c r="D211" s="183"/>
      <c r="E211" s="183"/>
      <c r="F211" s="183"/>
      <c r="G211" s="183"/>
    </row>
    <row r="212" spans="2:7" s="174" customFormat="1" x14ac:dyDescent="0.25">
      <c r="D212" s="183"/>
      <c r="E212" s="183"/>
      <c r="F212" s="183"/>
      <c r="G212" s="183"/>
    </row>
    <row r="213" spans="2:7" s="174" customFormat="1" ht="13" x14ac:dyDescent="0.3">
      <c r="B213" s="189"/>
      <c r="C213" s="190"/>
      <c r="D213" s="183"/>
      <c r="E213" s="183"/>
      <c r="F213" s="183"/>
      <c r="G213" s="183"/>
    </row>
    <row r="214" spans="2:7" s="174" customFormat="1" x14ac:dyDescent="0.25">
      <c r="D214" s="183"/>
      <c r="E214" s="183"/>
      <c r="F214" s="183"/>
      <c r="G214" s="183"/>
    </row>
    <row r="215" spans="2:7" s="174" customFormat="1" x14ac:dyDescent="0.25">
      <c r="D215" s="183"/>
      <c r="E215" s="183"/>
      <c r="F215" s="183"/>
      <c r="G215" s="183"/>
    </row>
    <row r="216" spans="2:7" s="174" customFormat="1" x14ac:dyDescent="0.25">
      <c r="D216" s="183"/>
      <c r="E216" s="183"/>
      <c r="F216" s="183"/>
      <c r="G216" s="183"/>
    </row>
    <row r="217" spans="2:7" s="174" customFormat="1" x14ac:dyDescent="0.25">
      <c r="D217" s="183"/>
      <c r="E217" s="183"/>
      <c r="F217" s="183"/>
      <c r="G217" s="183"/>
    </row>
    <row r="218" spans="2:7" s="174" customFormat="1" x14ac:dyDescent="0.25">
      <c r="D218" s="183"/>
      <c r="E218" s="183"/>
      <c r="F218" s="183"/>
      <c r="G218" s="183"/>
    </row>
    <row r="219" spans="2:7" s="174" customFormat="1" x14ac:dyDescent="0.25">
      <c r="D219" s="183"/>
      <c r="E219" s="183"/>
      <c r="F219" s="183"/>
      <c r="G219" s="183"/>
    </row>
    <row r="220" spans="2:7" s="174" customFormat="1" x14ac:dyDescent="0.25">
      <c r="D220" s="183"/>
      <c r="E220" s="183"/>
      <c r="F220" s="183"/>
      <c r="G220" s="183"/>
    </row>
    <row r="221" spans="2:7" s="174" customFormat="1" x14ac:dyDescent="0.25">
      <c r="D221" s="183"/>
      <c r="E221" s="183"/>
      <c r="F221" s="183"/>
      <c r="G221" s="183"/>
    </row>
    <row r="222" spans="2:7" s="174" customFormat="1" x14ac:dyDescent="0.25">
      <c r="D222" s="183"/>
      <c r="E222" s="183"/>
      <c r="F222" s="183"/>
      <c r="G222" s="183"/>
    </row>
    <row r="223" spans="2:7" s="174" customFormat="1" x14ac:dyDescent="0.25">
      <c r="D223" s="183"/>
      <c r="E223" s="183"/>
      <c r="F223" s="183"/>
      <c r="G223" s="183"/>
    </row>
    <row r="224" spans="2:7" s="174" customFormat="1" x14ac:dyDescent="0.25">
      <c r="D224" s="183"/>
      <c r="E224" s="183"/>
      <c r="F224" s="183"/>
      <c r="G224" s="183"/>
    </row>
    <row r="225" spans="4:7" s="174" customFormat="1" x14ac:dyDescent="0.25">
      <c r="D225" s="183"/>
      <c r="E225" s="183"/>
      <c r="F225" s="183"/>
      <c r="G225" s="183"/>
    </row>
    <row r="226" spans="4:7" s="174" customFormat="1" x14ac:dyDescent="0.25">
      <c r="D226" s="183"/>
      <c r="E226" s="183"/>
      <c r="F226" s="183"/>
      <c r="G226" s="183"/>
    </row>
    <row r="227" spans="4:7" s="174" customFormat="1" x14ac:dyDescent="0.25">
      <c r="D227" s="183"/>
      <c r="E227" s="183"/>
      <c r="F227" s="183"/>
      <c r="G227" s="183"/>
    </row>
    <row r="228" spans="4:7" s="174" customFormat="1" x14ac:dyDescent="0.25">
      <c r="D228" s="183"/>
      <c r="E228" s="183"/>
      <c r="F228" s="183"/>
      <c r="G228" s="183"/>
    </row>
    <row r="229" spans="4:7" s="174" customFormat="1" x14ac:dyDescent="0.25">
      <c r="D229" s="183"/>
      <c r="E229" s="183"/>
      <c r="F229" s="183"/>
      <c r="G229" s="183"/>
    </row>
    <row r="230" spans="4:7" s="174" customFormat="1" x14ac:dyDescent="0.25">
      <c r="D230" s="183"/>
      <c r="E230" s="183"/>
      <c r="F230" s="183"/>
      <c r="G230" s="183"/>
    </row>
    <row r="231" spans="4:7" s="174" customFormat="1" x14ac:dyDescent="0.25">
      <c r="D231" s="183"/>
      <c r="E231" s="183"/>
      <c r="F231" s="183"/>
      <c r="G231" s="183"/>
    </row>
    <row r="232" spans="4:7" s="174" customFormat="1" x14ac:dyDescent="0.25">
      <c r="D232" s="183"/>
      <c r="E232" s="183"/>
      <c r="F232" s="183"/>
      <c r="G232" s="183"/>
    </row>
    <row r="233" spans="4:7" s="174" customFormat="1" x14ac:dyDescent="0.25">
      <c r="D233" s="183"/>
      <c r="E233" s="183"/>
      <c r="F233" s="183"/>
      <c r="G233" s="183"/>
    </row>
    <row r="234" spans="4:7" s="174" customFormat="1" x14ac:dyDescent="0.25">
      <c r="D234" s="183"/>
      <c r="E234" s="183"/>
      <c r="F234" s="183"/>
      <c r="G234" s="183"/>
    </row>
    <row r="235" spans="4:7" s="174" customFormat="1" x14ac:dyDescent="0.25">
      <c r="D235" s="183"/>
      <c r="E235" s="183"/>
      <c r="F235" s="183"/>
      <c r="G235" s="183"/>
    </row>
    <row r="236" spans="4:7" s="174" customFormat="1" x14ac:dyDescent="0.25">
      <c r="D236" s="183"/>
      <c r="E236" s="183"/>
      <c r="F236" s="183"/>
      <c r="G236" s="183"/>
    </row>
    <row r="237" spans="4:7" s="174" customFormat="1" x14ac:dyDescent="0.25">
      <c r="D237" s="183"/>
      <c r="E237" s="183"/>
      <c r="F237" s="183"/>
      <c r="G237" s="183"/>
    </row>
    <row r="238" spans="4:7" s="174" customFormat="1" x14ac:dyDescent="0.25">
      <c r="D238" s="183"/>
      <c r="E238" s="183"/>
      <c r="F238" s="183"/>
      <c r="G238" s="183"/>
    </row>
    <row r="239" spans="4:7" s="174" customFormat="1" x14ac:dyDescent="0.25">
      <c r="D239" s="183"/>
      <c r="E239" s="183"/>
      <c r="F239" s="183"/>
      <c r="G239" s="183"/>
    </row>
    <row r="240" spans="4:7" s="174" customFormat="1" x14ac:dyDescent="0.25">
      <c r="D240" s="183"/>
      <c r="E240" s="183"/>
      <c r="F240" s="183"/>
      <c r="G240" s="183"/>
    </row>
    <row r="241" spans="4:7" s="174" customFormat="1" x14ac:dyDescent="0.25">
      <c r="D241" s="183"/>
      <c r="E241" s="183"/>
      <c r="F241" s="183"/>
      <c r="G241" s="183"/>
    </row>
    <row r="242" spans="4:7" s="174" customFormat="1" x14ac:dyDescent="0.25">
      <c r="D242" s="183"/>
      <c r="E242" s="183"/>
      <c r="F242" s="183"/>
      <c r="G242" s="183"/>
    </row>
    <row r="243" spans="4:7" s="174" customFormat="1" x14ac:dyDescent="0.25">
      <c r="D243" s="183"/>
      <c r="E243" s="183"/>
      <c r="F243" s="183"/>
      <c r="G243" s="183"/>
    </row>
    <row r="244" spans="4:7" s="174" customFormat="1" x14ac:dyDescent="0.25">
      <c r="D244" s="183"/>
      <c r="E244" s="183"/>
      <c r="F244" s="183"/>
      <c r="G244" s="183"/>
    </row>
    <row r="245" spans="4:7" s="174" customFormat="1" x14ac:dyDescent="0.25">
      <c r="D245" s="183"/>
      <c r="E245" s="183"/>
      <c r="F245" s="183"/>
      <c r="G245" s="183"/>
    </row>
    <row r="246" spans="4:7" s="174" customFormat="1" x14ac:dyDescent="0.25">
      <c r="D246" s="183"/>
      <c r="E246" s="183"/>
      <c r="F246" s="183"/>
      <c r="G246" s="183"/>
    </row>
    <row r="247" spans="4:7" s="174" customFormat="1" x14ac:dyDescent="0.25">
      <c r="D247" s="183"/>
      <c r="E247" s="183"/>
      <c r="F247" s="183"/>
      <c r="G247" s="183"/>
    </row>
    <row r="248" spans="4:7" s="174" customFormat="1" x14ac:dyDescent="0.25">
      <c r="D248" s="183"/>
      <c r="E248" s="183"/>
      <c r="F248" s="183"/>
      <c r="G248" s="183"/>
    </row>
    <row r="249" spans="4:7" s="174" customFormat="1" x14ac:dyDescent="0.25">
      <c r="D249" s="183"/>
      <c r="E249" s="183"/>
      <c r="F249" s="183"/>
      <c r="G249" s="183"/>
    </row>
    <row r="250" spans="4:7" s="174" customFormat="1" x14ac:dyDescent="0.25">
      <c r="D250" s="183"/>
      <c r="E250" s="183"/>
      <c r="F250" s="183"/>
      <c r="G250" s="183"/>
    </row>
    <row r="251" spans="4:7" s="174" customFormat="1" x14ac:dyDescent="0.25">
      <c r="D251" s="183"/>
      <c r="E251" s="183"/>
      <c r="F251" s="183"/>
      <c r="G251" s="183"/>
    </row>
    <row r="252" spans="4:7" s="174" customFormat="1" x14ac:dyDescent="0.25">
      <c r="D252" s="183"/>
      <c r="E252" s="183"/>
      <c r="F252" s="183"/>
      <c r="G252" s="183"/>
    </row>
    <row r="253" spans="4:7" s="174" customFormat="1" x14ac:dyDescent="0.25">
      <c r="D253" s="183"/>
      <c r="E253" s="183"/>
      <c r="F253" s="183"/>
      <c r="G253" s="183"/>
    </row>
    <row r="254" spans="4:7" s="174" customFormat="1" x14ac:dyDescent="0.25">
      <c r="D254" s="183"/>
      <c r="E254" s="183"/>
      <c r="F254" s="183"/>
      <c r="G254" s="183"/>
    </row>
    <row r="255" spans="4:7" s="174" customFormat="1" x14ac:dyDescent="0.25">
      <c r="D255" s="183"/>
      <c r="E255" s="183"/>
      <c r="F255" s="183"/>
      <c r="G255" s="183"/>
    </row>
    <row r="256" spans="4:7" s="174" customFormat="1" x14ac:dyDescent="0.25">
      <c r="D256" s="183"/>
      <c r="E256" s="183"/>
      <c r="F256" s="183"/>
      <c r="G256" s="183"/>
    </row>
    <row r="257" spans="4:7" s="174" customFormat="1" x14ac:dyDescent="0.25">
      <c r="D257" s="183"/>
      <c r="E257" s="183"/>
      <c r="F257" s="183"/>
      <c r="G257" s="183"/>
    </row>
    <row r="258" spans="4:7" s="174" customFormat="1" x14ac:dyDescent="0.25">
      <c r="D258" s="183"/>
      <c r="E258" s="183"/>
      <c r="F258" s="183"/>
      <c r="G258" s="183"/>
    </row>
    <row r="259" spans="4:7" s="174" customFormat="1" x14ac:dyDescent="0.25">
      <c r="D259" s="183"/>
      <c r="E259" s="183"/>
      <c r="F259" s="183"/>
      <c r="G259" s="183"/>
    </row>
    <row r="260" spans="4:7" s="174" customFormat="1" x14ac:dyDescent="0.25">
      <c r="D260" s="183"/>
      <c r="E260" s="183"/>
      <c r="F260" s="183"/>
      <c r="G260" s="183"/>
    </row>
    <row r="261" spans="4:7" s="174" customFormat="1" x14ac:dyDescent="0.25">
      <c r="D261" s="183"/>
      <c r="E261" s="183"/>
      <c r="F261" s="183"/>
      <c r="G261" s="183"/>
    </row>
    <row r="262" spans="4:7" s="174" customFormat="1" x14ac:dyDescent="0.25">
      <c r="D262" s="183"/>
      <c r="E262" s="183"/>
      <c r="F262" s="183"/>
      <c r="G262" s="183"/>
    </row>
    <row r="263" spans="4:7" s="174" customFormat="1" x14ac:dyDescent="0.25">
      <c r="D263" s="183"/>
      <c r="E263" s="183"/>
      <c r="F263" s="183"/>
      <c r="G263" s="183"/>
    </row>
    <row r="264" spans="4:7" s="174" customFormat="1" x14ac:dyDescent="0.25">
      <c r="D264" s="183"/>
      <c r="E264" s="183"/>
      <c r="F264" s="183"/>
      <c r="G264" s="183"/>
    </row>
    <row r="265" spans="4:7" s="174" customFormat="1" x14ac:dyDescent="0.25">
      <c r="D265" s="183"/>
      <c r="E265" s="183"/>
      <c r="F265" s="183"/>
      <c r="G265" s="183"/>
    </row>
    <row r="266" spans="4:7" s="174" customFormat="1" x14ac:dyDescent="0.25">
      <c r="D266" s="183"/>
      <c r="E266" s="183"/>
      <c r="F266" s="183"/>
      <c r="G266" s="183"/>
    </row>
    <row r="267" spans="4:7" s="174" customFormat="1" x14ac:dyDescent="0.25">
      <c r="D267" s="183"/>
      <c r="E267" s="183"/>
      <c r="F267" s="183"/>
      <c r="G267" s="183"/>
    </row>
    <row r="268" spans="4:7" s="174" customFormat="1" x14ac:dyDescent="0.25">
      <c r="D268" s="183"/>
      <c r="E268" s="183"/>
      <c r="F268" s="183"/>
      <c r="G268" s="183"/>
    </row>
    <row r="269" spans="4:7" s="174" customFormat="1" x14ac:dyDescent="0.25">
      <c r="D269" s="183"/>
      <c r="E269" s="183"/>
      <c r="F269" s="183"/>
      <c r="G269" s="183"/>
    </row>
    <row r="270" spans="4:7" s="174" customFormat="1" x14ac:dyDescent="0.25">
      <c r="D270" s="183"/>
      <c r="E270" s="183"/>
      <c r="F270" s="183"/>
      <c r="G270" s="183"/>
    </row>
    <row r="271" spans="4:7" s="174" customFormat="1" x14ac:dyDescent="0.25">
      <c r="D271" s="183"/>
      <c r="E271" s="183"/>
      <c r="F271" s="183"/>
      <c r="G271" s="183"/>
    </row>
    <row r="272" spans="4:7" s="174" customFormat="1" x14ac:dyDescent="0.25">
      <c r="D272" s="183"/>
      <c r="E272" s="183"/>
      <c r="F272" s="183"/>
      <c r="G272" s="183"/>
    </row>
    <row r="273" spans="4:7" s="174" customFormat="1" x14ac:dyDescent="0.25">
      <c r="D273" s="183"/>
      <c r="E273" s="183"/>
      <c r="F273" s="183"/>
      <c r="G273" s="183"/>
    </row>
    <row r="274" spans="4:7" s="174" customFormat="1" x14ac:dyDescent="0.25">
      <c r="D274" s="183"/>
      <c r="E274" s="183"/>
      <c r="F274" s="183"/>
      <c r="G274" s="183"/>
    </row>
    <row r="275" spans="4:7" s="174" customFormat="1" x14ac:dyDescent="0.25">
      <c r="D275" s="183"/>
      <c r="E275" s="183"/>
      <c r="F275" s="183"/>
      <c r="G275" s="183"/>
    </row>
    <row r="276" spans="4:7" s="174" customFormat="1" x14ac:dyDescent="0.25">
      <c r="D276" s="183"/>
      <c r="E276" s="183"/>
      <c r="F276" s="183"/>
      <c r="G276" s="183"/>
    </row>
    <row r="277" spans="4:7" s="174" customFormat="1" x14ac:dyDescent="0.25">
      <c r="D277" s="183"/>
      <c r="E277" s="183"/>
      <c r="F277" s="183"/>
      <c r="G277" s="183"/>
    </row>
    <row r="278" spans="4:7" s="174" customFormat="1" x14ac:dyDescent="0.25">
      <c r="D278" s="183"/>
      <c r="E278" s="183"/>
      <c r="F278" s="183"/>
      <c r="G278" s="183"/>
    </row>
    <row r="279" spans="4:7" s="174" customFormat="1" x14ac:dyDescent="0.25">
      <c r="D279" s="183"/>
      <c r="E279" s="183"/>
      <c r="F279" s="183"/>
      <c r="G279" s="183"/>
    </row>
    <row r="280" spans="4:7" s="174" customFormat="1" x14ac:dyDescent="0.25">
      <c r="D280" s="183"/>
      <c r="E280" s="183"/>
      <c r="F280" s="183"/>
      <c r="G280" s="183"/>
    </row>
  </sheetData>
  <phoneticPr fontId="0" type="noConversion"/>
  <pageMargins left="0.74803149606299213" right="0.74803149606299213" top="0.98425196850393704" bottom="0.98425196850393704" header="0.51181102362204722" footer="0.51181102362204722"/>
  <pageSetup scale="77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>
    <pageSetUpPr fitToPage="1"/>
  </sheetPr>
  <dimension ref="C3:W82"/>
  <sheetViews>
    <sheetView topLeftCell="C1" zoomScaleNormal="69" workbookViewId="0">
      <selection activeCell="F71" sqref="F71"/>
    </sheetView>
  </sheetViews>
  <sheetFormatPr baseColWidth="10" defaultColWidth="9.1796875" defaultRowHeight="12.5" x14ac:dyDescent="0.25"/>
  <cols>
    <col min="1" max="2" width="9.1796875" style="1" customWidth="1"/>
    <col min="3" max="3" width="38.81640625" style="1" bestFit="1" customWidth="1"/>
    <col min="4" max="4" width="12.7265625" style="1" bestFit="1" customWidth="1"/>
    <col min="5" max="5" width="11" style="1" bestFit="1" customWidth="1"/>
    <col min="6" max="6" width="8.81640625" style="1" bestFit="1" customWidth="1"/>
    <col min="7" max="7" width="9.1796875" style="1" customWidth="1"/>
    <col min="8" max="8" width="12.7265625" style="1" bestFit="1" customWidth="1"/>
    <col min="9" max="9" width="8.81640625" style="1" bestFit="1" customWidth="1"/>
    <col min="10" max="10" width="12.26953125" style="1" bestFit="1" customWidth="1"/>
    <col min="11" max="13" width="9.1796875" style="1"/>
    <col min="14" max="14" width="12.453125" style="1" customWidth="1"/>
    <col min="15" max="15" width="9.1796875" style="1"/>
    <col min="16" max="17" width="9.453125" style="1" bestFit="1" customWidth="1"/>
    <col min="18" max="16384" width="9.1796875" style="1"/>
  </cols>
  <sheetData>
    <row r="3" spans="3:23" ht="14" x14ac:dyDescent="0.3">
      <c r="D3" s="4" t="s">
        <v>2</v>
      </c>
      <c r="E3" s="5"/>
      <c r="F3" s="5"/>
      <c r="G3" s="5"/>
      <c r="H3" s="4" t="s">
        <v>135</v>
      </c>
      <c r="I3" s="5"/>
      <c r="J3" s="5"/>
    </row>
    <row r="4" spans="3:23" ht="24.75" customHeight="1" x14ac:dyDescent="0.3">
      <c r="D4" s="4" t="s">
        <v>169</v>
      </c>
      <c r="E4" s="166" t="s">
        <v>161</v>
      </c>
      <c r="F4" s="166" t="s">
        <v>134</v>
      </c>
      <c r="G4" s="4"/>
      <c r="H4" s="4" t="s">
        <v>169</v>
      </c>
      <c r="I4" s="4" t="s">
        <v>161</v>
      </c>
      <c r="J4" s="166" t="s">
        <v>134</v>
      </c>
    </row>
    <row r="5" spans="3:23" ht="14" x14ac:dyDescent="0.3">
      <c r="C5" s="4" t="s">
        <v>113</v>
      </c>
      <c r="D5" s="15">
        <f>(BDFE!D28)/1000</f>
        <v>0</v>
      </c>
      <c r="E5" s="15">
        <f>(BDFE!K28)/1000</f>
        <v>0</v>
      </c>
      <c r="F5" s="15">
        <f>D5+E5</f>
        <v>0</v>
      </c>
      <c r="H5" s="15">
        <f>(BDFE!G28)/1000</f>
        <v>11497.434220000001</v>
      </c>
      <c r="I5" s="15">
        <f>(BDFE!N28)/1000</f>
        <v>1111.0912700000001</v>
      </c>
      <c r="J5" s="15">
        <f>H5+I5</f>
        <v>12608.525490000002</v>
      </c>
      <c r="N5" s="93"/>
      <c r="O5" s="93"/>
      <c r="P5" s="93"/>
      <c r="Q5" s="93"/>
      <c r="R5" s="93"/>
      <c r="S5" s="93"/>
      <c r="T5" s="93"/>
      <c r="U5" s="93"/>
      <c r="V5" s="93"/>
      <c r="W5" s="93"/>
    </row>
    <row r="6" spans="3:23" ht="14" x14ac:dyDescent="0.3">
      <c r="C6" s="4" t="s">
        <v>138</v>
      </c>
      <c r="D6" s="15">
        <f>(BDFE!D16)/1000</f>
        <v>0</v>
      </c>
      <c r="E6" s="15">
        <f>(BDFE!K16)/1000</f>
        <v>0</v>
      </c>
      <c r="F6" s="15">
        <f>D6+E6</f>
        <v>0</v>
      </c>
      <c r="H6" s="15">
        <f>(BDFE!G16)/1000</f>
        <v>12.01268</v>
      </c>
      <c r="I6" s="15">
        <f>(BDFE!N16)/1000</f>
        <v>170.49596</v>
      </c>
      <c r="J6" s="15">
        <f>H6+I6</f>
        <v>182.50863999999999</v>
      </c>
      <c r="N6" s="93"/>
      <c r="O6" s="93"/>
      <c r="P6" s="93"/>
      <c r="Q6" s="93"/>
      <c r="R6" s="93"/>
      <c r="S6" s="93"/>
      <c r="T6" s="93"/>
      <c r="U6" s="93"/>
      <c r="V6" s="93"/>
      <c r="W6" s="93"/>
    </row>
    <row r="7" spans="3:23" ht="14" x14ac:dyDescent="0.3">
      <c r="C7" s="4" t="s">
        <v>139</v>
      </c>
      <c r="D7" s="6">
        <f>SUM(D5:D6)</f>
        <v>0</v>
      </c>
      <c r="E7" s="6">
        <f t="shared" ref="E7" si="0">SUM(E5:E6)</f>
        <v>0</v>
      </c>
      <c r="F7" s="6">
        <f>D7+E7</f>
        <v>0</v>
      </c>
      <c r="H7" s="6">
        <f t="shared" ref="H7:I7" si="1">SUM(H5:H6)</f>
        <v>11509.446900000001</v>
      </c>
      <c r="I7" s="6">
        <f t="shared" si="1"/>
        <v>1281.5872300000001</v>
      </c>
      <c r="J7" s="6">
        <f>H7+I7</f>
        <v>12791.03413</v>
      </c>
      <c r="N7" s="93"/>
      <c r="O7" s="93"/>
      <c r="P7" s="93"/>
      <c r="Q7" s="93"/>
      <c r="R7" s="93"/>
      <c r="S7" s="93"/>
      <c r="T7" s="93"/>
      <c r="U7" s="93"/>
      <c r="V7" s="93"/>
      <c r="W7" s="93"/>
    </row>
    <row r="8" spans="3:23" ht="14" x14ac:dyDescent="0.3">
      <c r="D8" s="7"/>
      <c r="E8" s="7"/>
      <c r="F8" s="7"/>
      <c r="H8" s="7"/>
      <c r="I8" s="7"/>
      <c r="J8" s="7"/>
      <c r="O8" s="93"/>
      <c r="P8" s="93"/>
      <c r="Q8" s="93"/>
      <c r="R8" s="93"/>
      <c r="S8" s="93"/>
      <c r="T8" s="93"/>
      <c r="U8" s="93"/>
      <c r="V8" s="93"/>
      <c r="W8" s="93"/>
    </row>
    <row r="9" spans="3:23" ht="14" x14ac:dyDescent="0.3">
      <c r="C9" s="4" t="s">
        <v>114</v>
      </c>
      <c r="D9" s="7"/>
      <c r="E9" s="7"/>
      <c r="F9" s="7"/>
      <c r="H9" s="7"/>
      <c r="I9" s="7"/>
      <c r="J9" s="7"/>
      <c r="O9" s="93"/>
      <c r="P9" s="93"/>
      <c r="Q9" s="93"/>
      <c r="R9" s="93"/>
      <c r="S9" s="93"/>
      <c r="T9" s="93"/>
      <c r="U9" s="93"/>
      <c r="V9" s="93"/>
      <c r="W9" s="93"/>
    </row>
    <row r="10" spans="3:23" ht="14" x14ac:dyDescent="0.3">
      <c r="C10" s="5" t="s">
        <v>43</v>
      </c>
      <c r="D10" s="8">
        <f>(BDFE!D30)/1000</f>
        <v>0</v>
      </c>
      <c r="E10" s="8">
        <f>(BDFE!K30)/1000</f>
        <v>0</v>
      </c>
      <c r="F10" s="8">
        <f t="shared" ref="F10:F27" si="2">D10+E10</f>
        <v>0</v>
      </c>
      <c r="H10" s="8">
        <f>(BDFE!G30)/1000</f>
        <v>-9070.1597100000017</v>
      </c>
      <c r="I10" s="8">
        <f>(BDFE!N30)/1000</f>
        <v>262.8965</v>
      </c>
      <c r="J10" s="8">
        <f t="shared" ref="J10:J27" si="3">H10+I10</f>
        <v>-8807.263210000001</v>
      </c>
      <c r="N10" s="93"/>
      <c r="O10" s="93"/>
      <c r="P10" s="93"/>
      <c r="Q10" s="93"/>
      <c r="R10" s="93"/>
      <c r="S10" s="93"/>
      <c r="T10" s="93"/>
      <c r="U10" s="93"/>
      <c r="V10" s="93"/>
      <c r="W10" s="93"/>
    </row>
    <row r="11" spans="3:23" ht="14" x14ac:dyDescent="0.3">
      <c r="C11" s="5" t="s">
        <v>115</v>
      </c>
      <c r="D11" s="9">
        <v>0</v>
      </c>
      <c r="E11" s="9">
        <v>0</v>
      </c>
      <c r="F11" s="9">
        <f t="shared" si="2"/>
        <v>0</v>
      </c>
      <c r="H11" s="9">
        <v>0</v>
      </c>
      <c r="I11" s="9">
        <v>0</v>
      </c>
      <c r="J11" s="9">
        <f t="shared" si="3"/>
        <v>0</v>
      </c>
      <c r="N11" s="93"/>
      <c r="O11" s="93"/>
      <c r="P11" s="93"/>
      <c r="Q11" s="93"/>
      <c r="R11" s="93"/>
      <c r="S11" s="93"/>
      <c r="T11" s="93"/>
      <c r="U11" s="93"/>
      <c r="V11" s="93"/>
      <c r="W11" s="93"/>
    </row>
    <row r="12" spans="3:23" ht="14" x14ac:dyDescent="0.3">
      <c r="C12" s="5" t="s">
        <v>44</v>
      </c>
      <c r="D12" s="9">
        <f>(BDFE!D31)/1000</f>
        <v>0</v>
      </c>
      <c r="E12" s="9">
        <f>(BDFE!K31)/1000</f>
        <v>0</v>
      </c>
      <c r="F12" s="9">
        <f t="shared" si="2"/>
        <v>0</v>
      </c>
      <c r="H12" s="9">
        <f>(BDFE!G31)/1000</f>
        <v>-4440.0630999999994</v>
      </c>
      <c r="I12" s="9">
        <f>(BDFE!N31)/1000</f>
        <v>3776.7469999999998</v>
      </c>
      <c r="J12" s="9">
        <f t="shared" si="3"/>
        <v>-663.31609999999955</v>
      </c>
      <c r="N12" s="93"/>
      <c r="O12" s="93"/>
      <c r="P12" s="93"/>
      <c r="Q12" s="93"/>
      <c r="R12" s="93"/>
      <c r="S12" s="93"/>
      <c r="T12" s="93"/>
      <c r="U12" s="93"/>
      <c r="V12" s="93"/>
      <c r="W12" s="93"/>
    </row>
    <row r="13" spans="3:23" ht="14" x14ac:dyDescent="0.3">
      <c r="C13" s="5" t="s">
        <v>45</v>
      </c>
      <c r="D13" s="9">
        <f>(BDFE!D32)/1000</f>
        <v>0</v>
      </c>
      <c r="E13" s="9">
        <f>(BDFE!K32)/1000</f>
        <v>0</v>
      </c>
      <c r="F13" s="9">
        <f t="shared" si="2"/>
        <v>0</v>
      </c>
      <c r="H13" s="9">
        <f>(BDFE!G32)/1000</f>
        <v>4810.1404000000002</v>
      </c>
      <c r="I13" s="9">
        <f>(BDFE!N32)/1000</f>
        <v>0</v>
      </c>
      <c r="J13" s="9">
        <f t="shared" si="3"/>
        <v>4810.1404000000002</v>
      </c>
      <c r="N13" s="93"/>
      <c r="O13" s="93"/>
      <c r="P13" s="93"/>
      <c r="Q13" s="93"/>
      <c r="R13" s="93"/>
      <c r="S13" s="93"/>
      <c r="T13" s="93"/>
      <c r="U13" s="93"/>
      <c r="V13" s="93"/>
      <c r="W13" s="93"/>
    </row>
    <row r="14" spans="3:23" ht="14" x14ac:dyDescent="0.3">
      <c r="C14" s="5" t="s">
        <v>76</v>
      </c>
      <c r="D14" s="9">
        <f>(BDFE!D33)/1000</f>
        <v>0</v>
      </c>
      <c r="E14" s="9">
        <f>(BDFE!K33)/1000</f>
        <v>0</v>
      </c>
      <c r="F14" s="9">
        <f t="shared" si="2"/>
        <v>0</v>
      </c>
      <c r="H14" s="9">
        <f>(BDFE!G33)/1000</f>
        <v>0</v>
      </c>
      <c r="I14" s="9">
        <f>(BDFE!N33)/1000</f>
        <v>-379.73957999999999</v>
      </c>
      <c r="J14" s="9">
        <f t="shared" si="3"/>
        <v>-379.73957999999999</v>
      </c>
      <c r="N14" s="93"/>
      <c r="O14" s="93"/>
      <c r="P14" s="93"/>
      <c r="Q14" s="93"/>
      <c r="R14" s="93"/>
      <c r="S14" s="93"/>
      <c r="T14" s="93"/>
      <c r="U14" s="93"/>
      <c r="V14" s="93"/>
      <c r="W14" s="93"/>
    </row>
    <row r="15" spans="3:23" ht="14" x14ac:dyDescent="0.3">
      <c r="C15" s="5" t="s">
        <v>46</v>
      </c>
      <c r="D15" s="9">
        <f>(BDFE!D34)/1000</f>
        <v>0</v>
      </c>
      <c r="E15" s="9">
        <f>(BDFE!K34)/1000</f>
        <v>0</v>
      </c>
      <c r="F15" s="9">
        <f t="shared" si="2"/>
        <v>0</v>
      </c>
      <c r="H15" s="9">
        <f>(BDFE!G34)/1000</f>
        <v>-2191.3870000000002</v>
      </c>
      <c r="I15" s="9">
        <f>(BDFE!N34)/1000</f>
        <v>84.107289999999992</v>
      </c>
      <c r="J15" s="9">
        <f t="shared" si="3"/>
        <v>-2107.2797100000003</v>
      </c>
      <c r="N15" s="93"/>
      <c r="O15" s="93"/>
      <c r="P15" s="93"/>
      <c r="Q15" s="93"/>
      <c r="R15" s="93"/>
      <c r="S15" s="93"/>
      <c r="T15" s="93"/>
      <c r="U15" s="93"/>
      <c r="V15" s="93"/>
      <c r="W15" s="93"/>
    </row>
    <row r="16" spans="3:23" ht="14" x14ac:dyDescent="0.3">
      <c r="C16" s="5" t="s">
        <v>77</v>
      </c>
      <c r="D16" s="9">
        <f>(BDFE!D35)/1000</f>
        <v>0</v>
      </c>
      <c r="E16" s="9">
        <f>(BDFE!K35)/1000</f>
        <v>0</v>
      </c>
      <c r="F16" s="9">
        <f t="shared" si="2"/>
        <v>0</v>
      </c>
      <c r="H16" s="9">
        <f>(BDFE!G35)/1000</f>
        <v>0</v>
      </c>
      <c r="I16" s="9">
        <f>(BDFE!N35)/1000</f>
        <v>0</v>
      </c>
      <c r="J16" s="9">
        <f t="shared" si="3"/>
        <v>0</v>
      </c>
      <c r="N16" s="93"/>
      <c r="O16" s="93"/>
      <c r="P16" s="93"/>
      <c r="Q16" s="93"/>
      <c r="R16" s="93"/>
      <c r="S16" s="93"/>
      <c r="T16" s="93"/>
      <c r="U16" s="93"/>
      <c r="V16" s="93"/>
      <c r="W16" s="93"/>
    </row>
    <row r="17" spans="3:23" ht="14" x14ac:dyDescent="0.3">
      <c r="C17" s="5" t="s">
        <v>78</v>
      </c>
      <c r="D17" s="9">
        <f>(BDFE!D36)/1000</f>
        <v>0</v>
      </c>
      <c r="E17" s="9">
        <f>(BDFE!K36)/1000</f>
        <v>0</v>
      </c>
      <c r="F17" s="9">
        <f t="shared" si="2"/>
        <v>0</v>
      </c>
      <c r="H17" s="9">
        <f>(BDFE!G36)/1000</f>
        <v>766.18832999999995</v>
      </c>
      <c r="I17" s="9">
        <f>(BDFE!N36)/1000</f>
        <v>0</v>
      </c>
      <c r="J17" s="9">
        <f t="shared" si="3"/>
        <v>766.18832999999995</v>
      </c>
      <c r="N17" s="93"/>
      <c r="O17" s="93"/>
      <c r="P17" s="93"/>
      <c r="Q17" s="93"/>
      <c r="R17" s="93"/>
      <c r="S17" s="93"/>
      <c r="T17" s="93"/>
      <c r="U17" s="93"/>
      <c r="V17" s="93"/>
      <c r="W17" s="93"/>
    </row>
    <row r="18" spans="3:23" ht="14" x14ac:dyDescent="0.3">
      <c r="C18" s="5" t="s">
        <v>52</v>
      </c>
      <c r="D18" s="9">
        <f>(BDFE!D37)/1000</f>
        <v>0</v>
      </c>
      <c r="E18" s="9">
        <f>(BDFE!K37)/1000</f>
        <v>0</v>
      </c>
      <c r="F18" s="9">
        <f t="shared" si="2"/>
        <v>0</v>
      </c>
      <c r="H18" s="9">
        <f>(BDFE!G37)/1000</f>
        <v>0</v>
      </c>
      <c r="I18" s="9">
        <f>(BDFE!N37)/1000</f>
        <v>-299.99998999999997</v>
      </c>
      <c r="J18" s="9">
        <f t="shared" si="3"/>
        <v>-299.99998999999997</v>
      </c>
      <c r="N18" s="93"/>
      <c r="O18" s="93"/>
      <c r="P18" s="93"/>
      <c r="Q18" s="93"/>
      <c r="R18" s="93"/>
      <c r="S18" s="93"/>
      <c r="T18" s="93"/>
      <c r="U18" s="93"/>
      <c r="V18" s="93"/>
      <c r="W18" s="93"/>
    </row>
    <row r="19" spans="3:23" ht="14" x14ac:dyDescent="0.3">
      <c r="C19" s="5" t="s">
        <v>79</v>
      </c>
      <c r="D19" s="9">
        <f>(BDFE!D38)/1000</f>
        <v>0</v>
      </c>
      <c r="E19" s="9">
        <f>(BDFE!K38)/1000</f>
        <v>0</v>
      </c>
      <c r="F19" s="9">
        <f t="shared" si="2"/>
        <v>0</v>
      </c>
      <c r="H19" s="9">
        <f>(BDFE!G38)/1000</f>
        <v>0</v>
      </c>
      <c r="I19" s="9">
        <f>(BDFE!N38)/1000</f>
        <v>0</v>
      </c>
      <c r="J19" s="9">
        <f t="shared" si="3"/>
        <v>0</v>
      </c>
      <c r="N19" s="93"/>
      <c r="O19" s="93"/>
      <c r="P19" s="93"/>
      <c r="Q19" s="93"/>
      <c r="R19" s="93"/>
      <c r="S19" s="93"/>
      <c r="T19" s="93"/>
      <c r="U19" s="93"/>
      <c r="V19" s="93"/>
      <c r="W19" s="93"/>
    </row>
    <row r="20" spans="3:23" ht="14" x14ac:dyDescent="0.3">
      <c r="C20" s="5" t="s">
        <v>80</v>
      </c>
      <c r="D20" s="9">
        <f>(BDFE!D39)/1000</f>
        <v>0</v>
      </c>
      <c r="E20" s="9">
        <f>(BDFE!K39)/1000</f>
        <v>0</v>
      </c>
      <c r="F20" s="9">
        <f t="shared" si="2"/>
        <v>0</v>
      </c>
      <c r="H20" s="9">
        <f>(BDFE!G39)/1000</f>
        <v>-331.53876000000002</v>
      </c>
      <c r="I20" s="9">
        <f>(BDFE!N39)/1000</f>
        <v>84.353679999999997</v>
      </c>
      <c r="J20" s="9">
        <f t="shared" si="3"/>
        <v>-247.18508000000003</v>
      </c>
      <c r="N20" s="93"/>
      <c r="O20" s="93"/>
      <c r="P20" s="93"/>
      <c r="Q20" s="93"/>
      <c r="R20" s="93"/>
      <c r="S20" s="93"/>
      <c r="T20" s="93"/>
      <c r="U20" s="93"/>
      <c r="V20" s="93"/>
      <c r="W20" s="93"/>
    </row>
    <row r="21" spans="3:23" ht="14" x14ac:dyDescent="0.3">
      <c r="C21" s="5" t="s">
        <v>116</v>
      </c>
      <c r="D21" s="9">
        <v>0</v>
      </c>
      <c r="E21" s="9">
        <v>0</v>
      </c>
      <c r="F21" s="9">
        <f t="shared" si="2"/>
        <v>0</v>
      </c>
      <c r="H21" s="9">
        <v>0</v>
      </c>
      <c r="I21" s="9">
        <v>0</v>
      </c>
      <c r="J21" s="9">
        <f t="shared" si="3"/>
        <v>0</v>
      </c>
      <c r="N21" s="93"/>
      <c r="O21" s="93"/>
      <c r="P21" s="93"/>
      <c r="Q21" s="93"/>
      <c r="R21" s="93"/>
      <c r="S21" s="93"/>
      <c r="T21" s="93"/>
      <c r="U21" s="93"/>
      <c r="V21" s="93"/>
      <c r="W21" s="93"/>
    </row>
    <row r="22" spans="3:23" ht="14" x14ac:dyDescent="0.3">
      <c r="C22" s="5" t="s">
        <v>81</v>
      </c>
      <c r="D22" s="9">
        <f>(BDFE!D40)/1000</f>
        <v>0</v>
      </c>
      <c r="E22" s="9">
        <f>(BDFE!K40)/1000</f>
        <v>0</v>
      </c>
      <c r="F22" s="9">
        <f t="shared" si="2"/>
        <v>0</v>
      </c>
      <c r="H22" s="9">
        <f>(BDFE!G40)/1000</f>
        <v>-57.835680000000004</v>
      </c>
      <c r="I22" s="9">
        <f>(BDFE!N40)/1000</f>
        <v>-68.742919999999998</v>
      </c>
      <c r="J22" s="9">
        <f t="shared" si="3"/>
        <v>-126.57859999999999</v>
      </c>
      <c r="N22" s="93"/>
      <c r="O22" s="93"/>
      <c r="P22" s="93"/>
      <c r="Q22" s="93"/>
      <c r="R22" s="93"/>
      <c r="S22" s="93"/>
      <c r="T22" s="93"/>
      <c r="U22" s="93"/>
      <c r="V22" s="93"/>
      <c r="W22" s="93"/>
    </row>
    <row r="23" spans="3:23" ht="14" x14ac:dyDescent="0.3">
      <c r="C23" s="5" t="s">
        <v>82</v>
      </c>
      <c r="D23" s="9">
        <f>(BDFE!D41)/1000</f>
        <v>0</v>
      </c>
      <c r="E23" s="9">
        <f>(BDFE!K41)/1000</f>
        <v>0</v>
      </c>
      <c r="F23" s="9">
        <f t="shared" si="2"/>
        <v>0</v>
      </c>
      <c r="H23" s="9">
        <f>(BDFE!G41)/1000</f>
        <v>0</v>
      </c>
      <c r="I23" s="9">
        <f>(BDFE!N41)/1000</f>
        <v>-62.492290000000004</v>
      </c>
      <c r="J23" s="9">
        <f t="shared" si="3"/>
        <v>-62.492290000000004</v>
      </c>
      <c r="N23" s="93"/>
      <c r="O23" s="93"/>
      <c r="P23" s="93"/>
      <c r="Q23" s="93"/>
      <c r="R23" s="93"/>
      <c r="S23" s="93"/>
      <c r="T23" s="93"/>
      <c r="U23" s="93"/>
      <c r="V23" s="93"/>
      <c r="W23" s="93"/>
    </row>
    <row r="24" spans="3:23" ht="14" x14ac:dyDescent="0.3">
      <c r="C24" s="5" t="s">
        <v>83</v>
      </c>
      <c r="D24" s="9">
        <f>(BDFE!D42)/1000</f>
        <v>0</v>
      </c>
      <c r="E24" s="9">
        <f>(BDFE!K42)/1000</f>
        <v>0</v>
      </c>
      <c r="F24" s="9">
        <f t="shared" si="2"/>
        <v>0</v>
      </c>
      <c r="H24" s="9">
        <f>(BDFE!G42)/1000</f>
        <v>0</v>
      </c>
      <c r="I24" s="9">
        <f>(BDFE!N42)/1000</f>
        <v>0</v>
      </c>
      <c r="J24" s="9">
        <f t="shared" si="3"/>
        <v>0</v>
      </c>
      <c r="N24" s="93"/>
      <c r="O24" s="93"/>
      <c r="P24" s="93"/>
      <c r="Q24" s="93"/>
      <c r="R24" s="93"/>
      <c r="S24" s="93"/>
      <c r="T24" s="93"/>
      <c r="U24" s="93"/>
      <c r="V24" s="93"/>
      <c r="W24" s="93"/>
    </row>
    <row r="25" spans="3:23" ht="14" x14ac:dyDescent="0.3">
      <c r="C25" s="5" t="s">
        <v>84</v>
      </c>
      <c r="D25" s="9">
        <f>(BDFE!D43)/1000</f>
        <v>0</v>
      </c>
      <c r="E25" s="9">
        <f>(BDFE!K43)/1000</f>
        <v>0</v>
      </c>
      <c r="F25" s="9">
        <f t="shared" si="2"/>
        <v>0</v>
      </c>
      <c r="H25" s="9">
        <f>(BDFE!G43)/1000</f>
        <v>-153.72732999999999</v>
      </c>
      <c r="I25" s="9">
        <f>(BDFE!N43)/1000</f>
        <v>0</v>
      </c>
      <c r="J25" s="9">
        <f t="shared" si="3"/>
        <v>-153.72732999999999</v>
      </c>
      <c r="N25" s="93"/>
      <c r="O25" s="93"/>
      <c r="P25" s="93"/>
      <c r="Q25" s="93"/>
      <c r="R25" s="93"/>
      <c r="S25" s="93"/>
      <c r="T25" s="93"/>
      <c r="U25" s="93"/>
      <c r="V25" s="93"/>
      <c r="W25" s="93"/>
    </row>
    <row r="26" spans="3:23" ht="14" x14ac:dyDescent="0.3">
      <c r="C26" s="5" t="s">
        <v>85</v>
      </c>
      <c r="D26" s="9">
        <f>(BDFE!D44)/1000</f>
        <v>0</v>
      </c>
      <c r="E26" s="9">
        <f>(BDFE!K44)/1000</f>
        <v>0</v>
      </c>
      <c r="F26" s="9">
        <f t="shared" si="2"/>
        <v>0</v>
      </c>
      <c r="H26" s="9">
        <f>(BDFE!G44)/1000</f>
        <v>-766.18832999999995</v>
      </c>
      <c r="I26" s="9">
        <f>(BDFE!N44)/1000</f>
        <v>0</v>
      </c>
      <c r="J26" s="9">
        <f t="shared" si="3"/>
        <v>-766.18832999999995</v>
      </c>
      <c r="N26" s="93"/>
      <c r="O26" s="93"/>
      <c r="P26" s="93"/>
      <c r="Q26" s="93"/>
      <c r="R26" s="93"/>
      <c r="S26" s="93"/>
      <c r="T26" s="93"/>
      <c r="U26" s="93"/>
      <c r="V26" s="93"/>
      <c r="W26" s="93"/>
    </row>
    <row r="27" spans="3:23" ht="14" x14ac:dyDescent="0.3">
      <c r="C27" s="4" t="s">
        <v>114</v>
      </c>
      <c r="D27" s="6">
        <f>SUM(D10:D26)</f>
        <v>0</v>
      </c>
      <c r="E27" s="6">
        <f>SUM(E10:E26)</f>
        <v>0</v>
      </c>
      <c r="F27" s="6">
        <f t="shared" si="2"/>
        <v>0</v>
      </c>
      <c r="H27" s="6">
        <f>SUM(H10:H26)</f>
        <v>-11434.571179999999</v>
      </c>
      <c r="I27" s="6">
        <f>SUM(I10:I26)</f>
        <v>3397.1296899999998</v>
      </c>
      <c r="J27" s="6">
        <f t="shared" si="3"/>
        <v>-8037.4414899999992</v>
      </c>
      <c r="N27" s="93"/>
      <c r="O27" s="93"/>
      <c r="P27" s="93"/>
      <c r="Q27" s="93"/>
      <c r="R27" s="93"/>
      <c r="S27" s="93"/>
      <c r="T27" s="93"/>
      <c r="U27" s="93"/>
      <c r="V27" s="93"/>
      <c r="W27" s="93"/>
    </row>
    <row r="28" spans="3:23" ht="14" x14ac:dyDescent="0.3">
      <c r="C28" s="5"/>
      <c r="D28" s="10"/>
      <c r="E28" s="10"/>
      <c r="F28" s="10"/>
      <c r="H28" s="10"/>
      <c r="I28" s="10"/>
      <c r="J28" s="10"/>
      <c r="O28" s="93"/>
      <c r="P28" s="93"/>
      <c r="Q28" s="93"/>
      <c r="R28" s="93"/>
      <c r="S28" s="93"/>
      <c r="T28" s="93"/>
      <c r="U28" s="93"/>
      <c r="V28" s="93"/>
      <c r="W28" s="93"/>
    </row>
    <row r="29" spans="3:23" ht="14" x14ac:dyDescent="0.3">
      <c r="C29" s="4" t="s">
        <v>87</v>
      </c>
      <c r="D29" s="11"/>
      <c r="E29" s="11"/>
      <c r="F29" s="11"/>
      <c r="H29" s="11"/>
      <c r="I29" s="11"/>
      <c r="J29" s="11"/>
      <c r="O29" s="93"/>
      <c r="P29" s="93"/>
      <c r="Q29" s="93"/>
      <c r="R29" s="93"/>
      <c r="S29" s="93"/>
      <c r="T29" s="93"/>
      <c r="U29" s="93"/>
      <c r="V29" s="93"/>
      <c r="W29" s="93"/>
    </row>
    <row r="30" spans="3:23" ht="14" x14ac:dyDescent="0.3">
      <c r="C30" s="5" t="s">
        <v>88</v>
      </c>
      <c r="D30" s="8">
        <f>(BDFE!D47)/1000</f>
        <v>0</v>
      </c>
      <c r="E30" s="8">
        <f>(BDFE!K47)/1000</f>
        <v>0</v>
      </c>
      <c r="F30" s="8">
        <f t="shared" ref="F30:F37" si="4">D30+E30</f>
        <v>0</v>
      </c>
      <c r="H30" s="8">
        <f>(BDFE!G47)/1000</f>
        <v>0</v>
      </c>
      <c r="I30" s="8">
        <f>(BDFE!N47)/1000</f>
        <v>-5406.3381100000006</v>
      </c>
      <c r="J30" s="8">
        <f t="shared" ref="J30:J37" si="5">H30+I30</f>
        <v>-5406.3381100000006</v>
      </c>
      <c r="N30" s="93"/>
      <c r="O30" s="93"/>
      <c r="P30" s="93"/>
      <c r="Q30" s="93"/>
      <c r="R30" s="93"/>
      <c r="S30" s="93"/>
      <c r="T30" s="93"/>
      <c r="U30" s="93"/>
      <c r="V30" s="93"/>
      <c r="W30" s="93"/>
    </row>
    <row r="31" spans="3:23" ht="14" x14ac:dyDescent="0.3">
      <c r="C31" s="5" t="s">
        <v>117</v>
      </c>
      <c r="D31" s="9">
        <v>0</v>
      </c>
      <c r="E31" s="9">
        <v>0</v>
      </c>
      <c r="F31" s="9">
        <f t="shared" si="4"/>
        <v>0</v>
      </c>
      <c r="H31" s="9">
        <v>0</v>
      </c>
      <c r="I31" s="9">
        <v>0</v>
      </c>
      <c r="J31" s="9">
        <f t="shared" si="5"/>
        <v>0</v>
      </c>
      <c r="N31" s="93"/>
      <c r="O31" s="93"/>
      <c r="P31" s="93"/>
      <c r="Q31" s="93"/>
      <c r="R31" s="93"/>
      <c r="S31" s="93"/>
      <c r="T31" s="93"/>
      <c r="U31" s="93"/>
      <c r="V31" s="93"/>
      <c r="W31" s="93"/>
    </row>
    <row r="32" spans="3:23" ht="14" x14ac:dyDescent="0.3">
      <c r="C32" s="5" t="s">
        <v>53</v>
      </c>
      <c r="D32" s="9">
        <f>(BDFE!D48)/1000</f>
        <v>0</v>
      </c>
      <c r="E32" s="9">
        <f>(BDFE!K48)/1000</f>
        <v>0</v>
      </c>
      <c r="F32" s="9">
        <f t="shared" si="4"/>
        <v>0</v>
      </c>
      <c r="H32" s="9">
        <f>(BDFE!G48)/1000</f>
        <v>0</v>
      </c>
      <c r="I32" s="9">
        <f>(BDFE!N48)/1000</f>
        <v>0</v>
      </c>
      <c r="J32" s="9">
        <f t="shared" si="5"/>
        <v>0</v>
      </c>
      <c r="N32" s="93"/>
      <c r="O32" s="93"/>
      <c r="P32" s="93"/>
      <c r="Q32" s="93"/>
      <c r="R32" s="93"/>
      <c r="S32" s="93"/>
      <c r="T32" s="93"/>
      <c r="U32" s="93"/>
      <c r="V32" s="93"/>
      <c r="W32" s="93"/>
    </row>
    <row r="33" spans="3:23" ht="14" x14ac:dyDescent="0.3">
      <c r="C33" s="5" t="s">
        <v>89</v>
      </c>
      <c r="D33" s="9">
        <f>(BDFE!D49)/1000</f>
        <v>0</v>
      </c>
      <c r="E33" s="9">
        <f>(BDFE!K49)/1000</f>
        <v>0</v>
      </c>
      <c r="F33" s="9">
        <f t="shared" si="4"/>
        <v>0</v>
      </c>
      <c r="H33" s="9">
        <f>(BDFE!G49)/1000</f>
        <v>0</v>
      </c>
      <c r="I33" s="9">
        <f>(BDFE!N49)/1000</f>
        <v>0</v>
      </c>
      <c r="J33" s="9">
        <f t="shared" si="5"/>
        <v>0</v>
      </c>
      <c r="N33" s="93"/>
      <c r="O33" s="93"/>
      <c r="P33" s="93"/>
      <c r="Q33" s="93"/>
      <c r="R33" s="93"/>
      <c r="S33" s="93"/>
      <c r="T33" s="93"/>
      <c r="U33" s="93"/>
      <c r="V33" s="93"/>
      <c r="W33" s="93"/>
    </row>
    <row r="34" spans="3:23" ht="14" x14ac:dyDescent="0.3">
      <c r="C34" s="5" t="s">
        <v>90</v>
      </c>
      <c r="D34" s="9">
        <f>(BDFE!D50)/1000</f>
        <v>0</v>
      </c>
      <c r="E34" s="9">
        <f>(BDFE!K50)/1000</f>
        <v>0</v>
      </c>
      <c r="F34" s="9">
        <f t="shared" si="4"/>
        <v>0</v>
      </c>
      <c r="H34" s="9">
        <f>(BDFE!G50)/1000</f>
        <v>0</v>
      </c>
      <c r="I34" s="9">
        <f>(BDFE!N50)/1000</f>
        <v>0</v>
      </c>
      <c r="J34" s="9">
        <f t="shared" si="5"/>
        <v>0</v>
      </c>
      <c r="N34" s="93"/>
      <c r="O34" s="93"/>
      <c r="P34" s="93"/>
      <c r="Q34" s="93"/>
      <c r="R34" s="93"/>
      <c r="S34" s="93"/>
      <c r="T34" s="93"/>
      <c r="U34" s="93"/>
      <c r="V34" s="93"/>
      <c r="W34" s="93"/>
    </row>
    <row r="35" spans="3:23" ht="14" x14ac:dyDescent="0.3">
      <c r="C35" s="5" t="s">
        <v>118</v>
      </c>
      <c r="D35" s="9">
        <v>0</v>
      </c>
      <c r="E35" s="9">
        <v>0</v>
      </c>
      <c r="F35" s="9">
        <f t="shared" si="4"/>
        <v>0</v>
      </c>
      <c r="H35" s="9">
        <v>0</v>
      </c>
      <c r="I35" s="9">
        <v>0</v>
      </c>
      <c r="J35" s="9">
        <f t="shared" si="5"/>
        <v>0</v>
      </c>
      <c r="N35" s="93"/>
      <c r="O35" s="93"/>
      <c r="P35" s="93"/>
      <c r="Q35" s="93"/>
      <c r="R35" s="93"/>
      <c r="S35" s="93"/>
      <c r="T35" s="93"/>
      <c r="U35" s="93"/>
      <c r="V35" s="93"/>
      <c r="W35" s="93"/>
    </row>
    <row r="36" spans="3:23" ht="14" x14ac:dyDescent="0.3">
      <c r="C36" s="5" t="s">
        <v>119</v>
      </c>
      <c r="D36" s="9">
        <f>(BDFE!D51)/1000</f>
        <v>0</v>
      </c>
      <c r="E36" s="9">
        <f>(BDFE!K51)/1000</f>
        <v>0</v>
      </c>
      <c r="F36" s="9">
        <f t="shared" si="4"/>
        <v>0</v>
      </c>
      <c r="H36" s="9">
        <f>(BDFE!G51)/1000</f>
        <v>0</v>
      </c>
      <c r="I36" s="9">
        <f>(BDFE!N51)/1000</f>
        <v>0</v>
      </c>
      <c r="J36" s="9">
        <f t="shared" si="5"/>
        <v>0</v>
      </c>
      <c r="N36" s="93"/>
      <c r="O36" s="93"/>
      <c r="P36" s="93"/>
      <c r="Q36" s="93"/>
      <c r="R36" s="93"/>
      <c r="S36" s="93"/>
      <c r="T36" s="93"/>
      <c r="U36" s="93"/>
      <c r="V36" s="93"/>
      <c r="W36" s="93"/>
    </row>
    <row r="37" spans="3:23" ht="14" x14ac:dyDescent="0.3">
      <c r="C37" s="4" t="s">
        <v>92</v>
      </c>
      <c r="D37" s="6">
        <f>SUM(D30:D36)</f>
        <v>0</v>
      </c>
      <c r="E37" s="6">
        <f>SUM(E30:E36)</f>
        <v>0</v>
      </c>
      <c r="F37" s="6">
        <f t="shared" si="4"/>
        <v>0</v>
      </c>
      <c r="H37" s="6">
        <f>SUM(H30:H36)</f>
        <v>0</v>
      </c>
      <c r="I37" s="6">
        <f>SUM(I30:I36)</f>
        <v>-5406.3381100000006</v>
      </c>
      <c r="J37" s="6">
        <f t="shared" si="5"/>
        <v>-5406.3381100000006</v>
      </c>
      <c r="N37" s="93"/>
      <c r="O37" s="93"/>
      <c r="P37" s="93"/>
      <c r="Q37" s="93"/>
      <c r="R37" s="93"/>
      <c r="S37" s="93"/>
      <c r="T37" s="93"/>
      <c r="U37" s="93"/>
      <c r="V37" s="93"/>
      <c r="W37" s="93"/>
    </row>
    <row r="38" spans="3:23" ht="14" x14ac:dyDescent="0.3">
      <c r="C38" s="4"/>
      <c r="D38" s="10"/>
      <c r="E38" s="10"/>
      <c r="F38" s="10"/>
      <c r="H38" s="10"/>
      <c r="I38" s="10"/>
      <c r="J38" s="10"/>
      <c r="O38" s="93"/>
      <c r="P38" s="93"/>
      <c r="Q38" s="93"/>
      <c r="R38" s="93"/>
      <c r="S38" s="93"/>
      <c r="T38" s="93"/>
      <c r="U38" s="93"/>
      <c r="V38" s="93"/>
      <c r="W38" s="93"/>
    </row>
    <row r="39" spans="3:23" ht="14" x14ac:dyDescent="0.3">
      <c r="C39" s="4" t="s">
        <v>93</v>
      </c>
      <c r="D39" s="11"/>
      <c r="E39" s="11"/>
      <c r="F39" s="11"/>
      <c r="H39" s="11"/>
      <c r="I39" s="11"/>
      <c r="J39" s="11"/>
      <c r="O39" s="93"/>
      <c r="P39" s="93"/>
      <c r="Q39" s="93"/>
      <c r="R39" s="93"/>
      <c r="S39" s="93"/>
      <c r="T39" s="93"/>
      <c r="U39" s="93"/>
      <c r="V39" s="93"/>
      <c r="W39" s="93"/>
    </row>
    <row r="40" spans="3:23" ht="14" x14ac:dyDescent="0.3">
      <c r="C40" s="5" t="s">
        <v>47</v>
      </c>
      <c r="D40" s="8">
        <f>(BDFE!D54)/1000</f>
        <v>0</v>
      </c>
      <c r="E40" s="8">
        <f>(BDFE!K54)/1000</f>
        <v>0</v>
      </c>
      <c r="F40" s="8">
        <f t="shared" ref="F40:F63" si="6">D40+E40</f>
        <v>0</v>
      </c>
      <c r="H40" s="8">
        <f>(BDFE!G54)/1000</f>
        <v>0</v>
      </c>
      <c r="I40" s="8">
        <f>-(BDFE!N54)/1000</f>
        <v>0</v>
      </c>
      <c r="J40" s="8">
        <f t="shared" ref="J40:J63" si="7">H40+I40</f>
        <v>0</v>
      </c>
      <c r="N40" s="93"/>
      <c r="O40" s="93"/>
      <c r="P40" s="93"/>
      <c r="Q40" s="93"/>
      <c r="R40" s="93"/>
      <c r="S40" s="93"/>
      <c r="T40" s="93"/>
      <c r="U40" s="93"/>
      <c r="V40" s="93"/>
      <c r="W40" s="93"/>
    </row>
    <row r="41" spans="3:23" ht="14" x14ac:dyDescent="0.3">
      <c r="C41" s="5" t="s">
        <v>48</v>
      </c>
      <c r="D41" s="9">
        <f>(BDFE!D55)/1000</f>
        <v>0</v>
      </c>
      <c r="E41" s="9">
        <f>(BDFE!K55)/1000</f>
        <v>0</v>
      </c>
      <c r="F41" s="9">
        <f t="shared" si="6"/>
        <v>0</v>
      </c>
      <c r="H41" s="9">
        <f>(BDFE!G55)/1000</f>
        <v>0</v>
      </c>
      <c r="I41" s="9">
        <f>(BDFE!N55)/1000</f>
        <v>0</v>
      </c>
      <c r="J41" s="9">
        <f t="shared" si="7"/>
        <v>0</v>
      </c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3:23" ht="14" x14ac:dyDescent="0.3">
      <c r="C42" s="5" t="s">
        <v>94</v>
      </c>
      <c r="D42" s="9">
        <f>(BDFE!D56)/1000</f>
        <v>0</v>
      </c>
      <c r="E42" s="9">
        <f>(BDFE!K56)/1000</f>
        <v>0</v>
      </c>
      <c r="F42" s="9">
        <f t="shared" si="6"/>
        <v>0</v>
      </c>
      <c r="H42" s="9">
        <f>(BDFE!G56)/1000</f>
        <v>0</v>
      </c>
      <c r="I42" s="9">
        <f>(BDFE!N56)/1000</f>
        <v>76.870149999999995</v>
      </c>
      <c r="J42" s="9">
        <f t="shared" si="7"/>
        <v>76.870149999999995</v>
      </c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3:23" ht="14" x14ac:dyDescent="0.3">
      <c r="C43" s="5" t="s">
        <v>51</v>
      </c>
      <c r="D43" s="9">
        <f>(BDFE!D57)/1000</f>
        <v>0</v>
      </c>
      <c r="E43" s="9">
        <f>(BDFE!K57)/1000</f>
        <v>0</v>
      </c>
      <c r="F43" s="9">
        <f t="shared" si="6"/>
        <v>0</v>
      </c>
      <c r="H43" s="9">
        <f>(BDFE!G57)/1000</f>
        <v>-35</v>
      </c>
      <c r="I43" s="9">
        <f>(BDFE!N57)/1000</f>
        <v>0</v>
      </c>
      <c r="J43" s="9">
        <f t="shared" si="7"/>
        <v>-35</v>
      </c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3:23" ht="14" x14ac:dyDescent="0.3">
      <c r="C44" s="5" t="s">
        <v>97</v>
      </c>
      <c r="D44" s="9">
        <f>(BDFE!D60)/1000</f>
        <v>0</v>
      </c>
      <c r="E44" s="9">
        <f>(BDFE!K60)/1000</f>
        <v>0</v>
      </c>
      <c r="F44" s="9">
        <f t="shared" si="6"/>
        <v>0</v>
      </c>
      <c r="H44" s="9">
        <f>(BDFE!G60)/1000</f>
        <v>1.25834</v>
      </c>
      <c r="I44" s="9">
        <f>(BDFE!N60)/1000</f>
        <v>59.573029999999996</v>
      </c>
      <c r="J44" s="9">
        <f t="shared" si="7"/>
        <v>60.831369999999993</v>
      </c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3:23" ht="14" x14ac:dyDescent="0.3">
      <c r="C45" s="5" t="s">
        <v>50</v>
      </c>
      <c r="D45" s="9">
        <f>(BDFE!D61)/1000</f>
        <v>0</v>
      </c>
      <c r="E45" s="9">
        <f>(BDFE!K61)/1000</f>
        <v>0</v>
      </c>
      <c r="F45" s="9">
        <f t="shared" si="6"/>
        <v>0</v>
      </c>
      <c r="H45" s="9">
        <f>(BDFE!G61)/1000</f>
        <v>-344.04700000000003</v>
      </c>
      <c r="I45" s="9">
        <f>(BDFE!N61)/1000</f>
        <v>0</v>
      </c>
      <c r="J45" s="9">
        <f t="shared" si="7"/>
        <v>-344.04700000000003</v>
      </c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3:23" ht="14" x14ac:dyDescent="0.3">
      <c r="C46" s="5" t="s">
        <v>98</v>
      </c>
      <c r="D46" s="9">
        <f>(BDFE!D62)/1000</f>
        <v>0</v>
      </c>
      <c r="E46" s="9">
        <f>(BDFE!K62)/1000</f>
        <v>0</v>
      </c>
      <c r="F46" s="9">
        <f t="shared" si="6"/>
        <v>0</v>
      </c>
      <c r="H46" s="9">
        <f>(BDFE!G62)/1000</f>
        <v>8.602409999999999</v>
      </c>
      <c r="I46" s="9">
        <f>(BDFE!N62)/1000</f>
        <v>8.0156799999999997</v>
      </c>
      <c r="J46" s="9">
        <f t="shared" si="7"/>
        <v>16.618089999999999</v>
      </c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3:23" ht="14" x14ac:dyDescent="0.3">
      <c r="C47" s="5" t="s">
        <v>49</v>
      </c>
      <c r="D47" s="9">
        <f>(BDFE!D63)/1000</f>
        <v>0</v>
      </c>
      <c r="E47" s="9">
        <f>(BDFE!K63)/1000</f>
        <v>0</v>
      </c>
      <c r="F47" s="9">
        <f t="shared" si="6"/>
        <v>0</v>
      </c>
      <c r="H47" s="9">
        <f>(BDFE!G63)/1000</f>
        <v>-19.176130000000001</v>
      </c>
      <c r="I47" s="9">
        <f>(BDFE!N63)/1000</f>
        <v>0</v>
      </c>
      <c r="J47" s="9">
        <f t="shared" si="7"/>
        <v>-19.176130000000001</v>
      </c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3:23" ht="14" x14ac:dyDescent="0.3">
      <c r="C48" s="5" t="s">
        <v>99</v>
      </c>
      <c r="D48" s="9">
        <f>(BDFE!D64)/1000</f>
        <v>0</v>
      </c>
      <c r="E48" s="9">
        <f>(BDFE!K64)/1000</f>
        <v>0</v>
      </c>
      <c r="F48" s="9">
        <f t="shared" si="6"/>
        <v>0</v>
      </c>
      <c r="H48" s="9">
        <f>(BDFE!G64)/1000</f>
        <v>2.0531299999999999</v>
      </c>
      <c r="I48" s="9">
        <f>(BDFE!N64)/1000</f>
        <v>17.109439999999999</v>
      </c>
      <c r="J48" s="9">
        <f t="shared" si="7"/>
        <v>19.162569999999999</v>
      </c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3:23" ht="14" x14ac:dyDescent="0.3">
      <c r="C49" s="5" t="s">
        <v>95</v>
      </c>
      <c r="D49" s="9">
        <f>(BDFE!D58)/1000</f>
        <v>0</v>
      </c>
      <c r="E49" s="9">
        <f>(BDFE!K58)/1000</f>
        <v>0</v>
      </c>
      <c r="F49" s="9">
        <f t="shared" si="6"/>
        <v>0</v>
      </c>
      <c r="H49" s="9">
        <f>(BDFE!G58)/1000</f>
        <v>0</v>
      </c>
      <c r="I49" s="9">
        <f>(BDFE!N58)/1000</f>
        <v>0</v>
      </c>
      <c r="J49" s="9">
        <f t="shared" si="7"/>
        <v>0</v>
      </c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3:23" ht="14" x14ac:dyDescent="0.3">
      <c r="C50" s="5" t="s">
        <v>120</v>
      </c>
      <c r="D50" s="9">
        <f>(BDFE!D59)/1000</f>
        <v>0</v>
      </c>
      <c r="E50" s="9">
        <f>(BDFE!K59)/1000</f>
        <v>0</v>
      </c>
      <c r="F50" s="9">
        <f t="shared" si="6"/>
        <v>0</v>
      </c>
      <c r="H50" s="9">
        <f>(BDFE!G59)/1000</f>
        <v>9.8799999999999999E-2</v>
      </c>
      <c r="I50" s="9">
        <f>(BDFE!N59)/1000</f>
        <v>8.9276599999999995</v>
      </c>
      <c r="J50" s="9">
        <f t="shared" si="7"/>
        <v>9.0264600000000002</v>
      </c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3:23" ht="14" x14ac:dyDescent="0.3">
      <c r="C51" s="5" t="s">
        <v>121</v>
      </c>
      <c r="D51" s="9">
        <f>(BDFE!D65)/1000</f>
        <v>0</v>
      </c>
      <c r="E51" s="9">
        <f>(BDFE!K65)/1000</f>
        <v>0</v>
      </c>
      <c r="F51" s="9">
        <f t="shared" si="6"/>
        <v>0</v>
      </c>
      <c r="H51" s="9">
        <f>(BDFE!G65)/1000</f>
        <v>0</v>
      </c>
      <c r="I51" s="9">
        <f>(BDFE!N65)/1000</f>
        <v>0</v>
      </c>
      <c r="J51" s="9">
        <f t="shared" si="7"/>
        <v>0</v>
      </c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3:23" ht="14" x14ac:dyDescent="0.3">
      <c r="C52" s="5" t="s">
        <v>122</v>
      </c>
      <c r="D52" s="9">
        <v>0</v>
      </c>
      <c r="E52" s="9">
        <v>0</v>
      </c>
      <c r="F52" s="9">
        <f t="shared" si="6"/>
        <v>0</v>
      </c>
      <c r="H52" s="9">
        <v>0</v>
      </c>
      <c r="I52" s="9">
        <v>0</v>
      </c>
      <c r="J52" s="9">
        <f t="shared" si="7"/>
        <v>0</v>
      </c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3:23" ht="14" x14ac:dyDescent="0.3">
      <c r="C53" s="5" t="s">
        <v>123</v>
      </c>
      <c r="D53" s="9">
        <v>0</v>
      </c>
      <c r="E53" s="9">
        <f>(BDFE!K66)/1000</f>
        <v>0</v>
      </c>
      <c r="F53" s="9">
        <f t="shared" si="6"/>
        <v>0</v>
      </c>
      <c r="H53" s="9">
        <v>0</v>
      </c>
      <c r="I53" s="9">
        <f>(BDFE!N66)/1000</f>
        <v>0</v>
      </c>
      <c r="J53" s="9">
        <f t="shared" si="7"/>
        <v>0</v>
      </c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3:23" ht="14" x14ac:dyDescent="0.3">
      <c r="C54" s="5" t="s">
        <v>124</v>
      </c>
      <c r="D54" s="9">
        <f>(BDFE!D67)/1000</f>
        <v>0</v>
      </c>
      <c r="E54" s="9">
        <f>(BDFE!K67)/1000</f>
        <v>0</v>
      </c>
      <c r="F54" s="9">
        <f t="shared" si="6"/>
        <v>0</v>
      </c>
      <c r="H54" s="9">
        <f>(BDFE!G67)/1000</f>
        <v>0</v>
      </c>
      <c r="I54" s="9">
        <f>(BDFE!N67)/1000</f>
        <v>0</v>
      </c>
      <c r="J54" s="9">
        <f t="shared" si="7"/>
        <v>0</v>
      </c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3:23" ht="14" x14ac:dyDescent="0.3">
      <c r="C55" s="5" t="s">
        <v>125</v>
      </c>
      <c r="D55" s="9">
        <v>0</v>
      </c>
      <c r="E55" s="9">
        <v>0</v>
      </c>
      <c r="F55" s="9">
        <f t="shared" si="6"/>
        <v>0</v>
      </c>
      <c r="H55" s="9">
        <v>0</v>
      </c>
      <c r="I55" s="9">
        <v>0</v>
      </c>
      <c r="J55" s="9">
        <f t="shared" si="7"/>
        <v>0</v>
      </c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3:23" ht="14" x14ac:dyDescent="0.3">
      <c r="C56" s="5" t="s">
        <v>126</v>
      </c>
      <c r="D56" s="9">
        <v>0</v>
      </c>
      <c r="E56" s="9">
        <v>0</v>
      </c>
      <c r="F56" s="9">
        <f t="shared" si="6"/>
        <v>0</v>
      </c>
      <c r="H56" s="9">
        <v>0</v>
      </c>
      <c r="I56" s="9">
        <v>0</v>
      </c>
      <c r="J56" s="9">
        <f t="shared" si="7"/>
        <v>0</v>
      </c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3:23" ht="14" x14ac:dyDescent="0.3">
      <c r="C57" s="5" t="s">
        <v>127</v>
      </c>
      <c r="D57" s="9">
        <v>0</v>
      </c>
      <c r="E57" s="9">
        <v>0</v>
      </c>
      <c r="F57" s="9">
        <f t="shared" si="6"/>
        <v>0</v>
      </c>
      <c r="G57" s="14"/>
      <c r="H57" s="9">
        <v>0</v>
      </c>
      <c r="I57" s="9">
        <v>0</v>
      </c>
      <c r="J57" s="9">
        <f t="shared" si="7"/>
        <v>0</v>
      </c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3:23" ht="14" x14ac:dyDescent="0.3">
      <c r="C58" s="5" t="s">
        <v>128</v>
      </c>
      <c r="D58" s="9">
        <v>0</v>
      </c>
      <c r="E58" s="9">
        <v>0</v>
      </c>
      <c r="F58" s="9">
        <f t="shared" si="6"/>
        <v>0</v>
      </c>
      <c r="G58" s="14"/>
      <c r="H58" s="9">
        <v>0</v>
      </c>
      <c r="I58" s="9">
        <v>0</v>
      </c>
      <c r="J58" s="9">
        <f t="shared" si="7"/>
        <v>0</v>
      </c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3:23" ht="14" x14ac:dyDescent="0.3">
      <c r="C59" s="5" t="s">
        <v>129</v>
      </c>
      <c r="D59" s="9">
        <v>0</v>
      </c>
      <c r="E59" s="9">
        <v>0</v>
      </c>
      <c r="F59" s="9">
        <f t="shared" si="6"/>
        <v>0</v>
      </c>
      <c r="G59" s="14"/>
      <c r="H59" s="9">
        <v>0</v>
      </c>
      <c r="I59" s="9">
        <v>0</v>
      </c>
      <c r="J59" s="9">
        <f t="shared" si="7"/>
        <v>0</v>
      </c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3:23" ht="14" x14ac:dyDescent="0.3">
      <c r="C60" s="5" t="s">
        <v>130</v>
      </c>
      <c r="D60" s="9">
        <v>0</v>
      </c>
      <c r="E60" s="9">
        <v>0</v>
      </c>
      <c r="F60" s="9">
        <f t="shared" si="6"/>
        <v>0</v>
      </c>
      <c r="G60" s="14"/>
      <c r="H60" s="9">
        <v>0</v>
      </c>
      <c r="I60" s="9">
        <v>0</v>
      </c>
      <c r="J60" s="9">
        <f t="shared" si="7"/>
        <v>0</v>
      </c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3:23" ht="14" x14ac:dyDescent="0.3">
      <c r="C61" s="5" t="s">
        <v>170</v>
      </c>
      <c r="D61" s="9">
        <f>(BDFE!D66)/1000</f>
        <v>0</v>
      </c>
      <c r="E61" s="9">
        <v>0</v>
      </c>
      <c r="F61" s="9">
        <f t="shared" si="6"/>
        <v>0</v>
      </c>
      <c r="G61" s="14"/>
      <c r="H61" s="9">
        <f>(BDFE!G66)/1000</f>
        <v>0</v>
      </c>
      <c r="I61" s="9">
        <v>0</v>
      </c>
      <c r="J61" s="9">
        <f t="shared" si="7"/>
        <v>0</v>
      </c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3:23" ht="14" x14ac:dyDescent="0.3">
      <c r="C62" s="5" t="s">
        <v>131</v>
      </c>
      <c r="D62" s="12">
        <v>0</v>
      </c>
      <c r="E62" s="12">
        <v>0</v>
      </c>
      <c r="F62" s="12">
        <f t="shared" si="6"/>
        <v>0</v>
      </c>
      <c r="G62" s="14"/>
      <c r="H62" s="12">
        <v>0</v>
      </c>
      <c r="I62" s="12">
        <v>0</v>
      </c>
      <c r="J62" s="12">
        <f t="shared" si="7"/>
        <v>0</v>
      </c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3:23" ht="14" x14ac:dyDescent="0.3">
      <c r="C63" s="5" t="s">
        <v>103</v>
      </c>
      <c r="D63" s="12">
        <f>(BDFE!D68)/1000</f>
        <v>0</v>
      </c>
      <c r="E63" s="92">
        <v>0</v>
      </c>
      <c r="F63" s="92">
        <f t="shared" si="6"/>
        <v>0</v>
      </c>
      <c r="G63" s="93"/>
      <c r="H63" s="92">
        <f>(BDFE!G68)/1000</f>
        <v>0</v>
      </c>
      <c r="I63" s="92">
        <f>(BDFE!N68)/1000</f>
        <v>0</v>
      </c>
      <c r="J63" s="92">
        <f t="shared" si="7"/>
        <v>0</v>
      </c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3:23" ht="14" x14ac:dyDescent="0.3">
      <c r="C64" s="4" t="s">
        <v>104</v>
      </c>
      <c r="D64" s="6">
        <f>SUM(D40:D63)-D6</f>
        <v>0</v>
      </c>
      <c r="E64" s="6">
        <f t="shared" ref="E64:F64" si="8">SUM(E40:E63)-E6</f>
        <v>0</v>
      </c>
      <c r="F64" s="6">
        <f t="shared" si="8"/>
        <v>0</v>
      </c>
      <c r="H64" s="6">
        <f t="shared" ref="H64:J64" si="9">SUM(H40:H63)-H6</f>
        <v>-398.22313000000003</v>
      </c>
      <c r="I64" s="6">
        <f t="shared" si="9"/>
        <v>0</v>
      </c>
      <c r="J64" s="6">
        <f t="shared" si="9"/>
        <v>-398.22313000000008</v>
      </c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3:23" ht="14" x14ac:dyDescent="0.3">
      <c r="C65" s="5"/>
      <c r="O65" s="93"/>
      <c r="P65" s="93"/>
      <c r="Q65" s="93"/>
      <c r="R65" s="93"/>
      <c r="S65" s="93"/>
      <c r="T65" s="93"/>
      <c r="U65" s="93"/>
      <c r="V65" s="93"/>
      <c r="W65" s="93"/>
    </row>
    <row r="66" spans="3:23" ht="14" x14ac:dyDescent="0.3">
      <c r="C66" s="4" t="s">
        <v>105</v>
      </c>
      <c r="D66" s="6">
        <f>D7+D27+D37+D64</f>
        <v>0</v>
      </c>
      <c r="E66" s="95">
        <f>E7+E27+E37+E64</f>
        <v>0</v>
      </c>
      <c r="F66" s="6">
        <f t="shared" ref="F66" si="10">F7+F27+F37+F64</f>
        <v>0</v>
      </c>
      <c r="H66" s="6">
        <f>H7+H27+H37+H64</f>
        <v>-323.34740999999821</v>
      </c>
      <c r="I66" s="6">
        <f t="shared" ref="I66:J66" si="11">I7+I27+I37+I64</f>
        <v>-727.62119000000075</v>
      </c>
      <c r="J66" s="6">
        <f t="shared" si="11"/>
        <v>-1050.9685999999999</v>
      </c>
      <c r="O66" s="93"/>
      <c r="P66" s="93"/>
      <c r="Q66" s="93"/>
      <c r="R66" s="93"/>
      <c r="S66" s="93"/>
      <c r="T66" s="93"/>
      <c r="U66" s="93"/>
      <c r="V66" s="93"/>
      <c r="W66" s="93"/>
    </row>
    <row r="67" spans="3:23" ht="14" x14ac:dyDescent="0.3">
      <c r="C67" s="2" t="s">
        <v>132</v>
      </c>
      <c r="D67" s="6">
        <f>BDBG!L8/1000</f>
        <v>3712.7095399999998</v>
      </c>
      <c r="E67" s="95">
        <f>BDBG!Y8/1000+BDBG!Y9/1000</f>
        <v>103.78941999999999</v>
      </c>
      <c r="F67" s="6">
        <f>D67+E67</f>
        <v>3816.4989599999999</v>
      </c>
      <c r="G67" s="5"/>
      <c r="H67" s="6">
        <f>BDBG!M8/1000</f>
        <v>4036.0569500000001</v>
      </c>
      <c r="I67" s="6">
        <f>BDBG!Z8/1000+BDBG!Z9/1000</f>
        <v>831.41061000000002</v>
      </c>
      <c r="J67" s="6">
        <f>H67+I67</f>
        <v>4867.46756</v>
      </c>
      <c r="O67" s="93"/>
      <c r="P67" s="93"/>
      <c r="Q67" s="93"/>
      <c r="R67" s="93"/>
      <c r="S67" s="93"/>
      <c r="T67" s="93"/>
      <c r="U67" s="93"/>
      <c r="V67" s="93"/>
      <c r="W67" s="93"/>
    </row>
    <row r="68" spans="3:23" ht="14" x14ac:dyDescent="0.3">
      <c r="C68" s="2" t="s">
        <v>133</v>
      </c>
      <c r="D68" s="6">
        <f>D66+D67</f>
        <v>3712.7095399999998</v>
      </c>
      <c r="E68" s="95">
        <f t="shared" ref="E68" si="12">E66+E67</f>
        <v>103.78941999999999</v>
      </c>
      <c r="F68" s="6">
        <f>F66+F67</f>
        <v>3816.4989599999999</v>
      </c>
      <c r="G68" s="5"/>
      <c r="H68" s="6">
        <f t="shared" ref="H68:I68" si="13">H66+H67</f>
        <v>3712.7095400000021</v>
      </c>
      <c r="I68" s="6">
        <f t="shared" si="13"/>
        <v>103.78941999999927</v>
      </c>
      <c r="J68" s="6">
        <f>H68+I68</f>
        <v>3816.4989600000013</v>
      </c>
      <c r="O68" s="93"/>
      <c r="P68" s="93"/>
      <c r="Q68" s="93"/>
      <c r="R68" s="93"/>
      <c r="S68" s="93"/>
      <c r="T68" s="93"/>
      <c r="U68" s="93"/>
      <c r="V68" s="93"/>
      <c r="W68" s="93"/>
    </row>
    <row r="69" spans="3:23" ht="14" x14ac:dyDescent="0.3">
      <c r="D69" s="5"/>
      <c r="E69" s="5"/>
      <c r="F69" s="5"/>
      <c r="G69" s="5"/>
      <c r="H69" s="5"/>
      <c r="I69" s="5"/>
      <c r="O69" s="93"/>
      <c r="P69" s="93"/>
      <c r="Q69" s="93"/>
      <c r="R69" s="93"/>
      <c r="S69" s="93"/>
      <c r="T69" s="93"/>
      <c r="U69" s="93"/>
      <c r="V69" s="93"/>
      <c r="W69" s="93"/>
    </row>
    <row r="70" spans="3:23" ht="14" x14ac:dyDescent="0.3">
      <c r="D70" s="6">
        <f>BG!D5+BG!D6</f>
        <v>3712.7095399999998</v>
      </c>
      <c r="E70" s="95">
        <f>BG!E5+BG!E6</f>
        <v>103.78941999999999</v>
      </c>
      <c r="F70" s="6">
        <f>BG!F5+BG!F6</f>
        <v>3816.4989599999999</v>
      </c>
      <c r="G70" s="5"/>
      <c r="H70" s="36"/>
      <c r="I70" s="5"/>
      <c r="O70" s="93"/>
      <c r="P70" s="93"/>
      <c r="Q70" s="93"/>
      <c r="R70" s="93"/>
      <c r="S70" s="93"/>
      <c r="T70" s="93"/>
      <c r="U70" s="93"/>
      <c r="V70" s="93"/>
      <c r="W70" s="93"/>
    </row>
    <row r="71" spans="3:23" ht="14" x14ac:dyDescent="0.3">
      <c r="D71" s="6">
        <f>D68-D70</f>
        <v>0</v>
      </c>
      <c r="E71" s="95">
        <f>E68-E70</f>
        <v>0</v>
      </c>
      <c r="F71" s="6">
        <f>F68-F70</f>
        <v>0</v>
      </c>
      <c r="G71" s="5"/>
      <c r="H71" s="36"/>
      <c r="I71" s="36"/>
      <c r="J71" s="36"/>
      <c r="O71" s="93"/>
      <c r="P71" s="93"/>
      <c r="Q71" s="93"/>
      <c r="R71" s="93"/>
      <c r="S71" s="93"/>
      <c r="T71" s="93"/>
      <c r="U71" s="93"/>
      <c r="V71" s="93"/>
      <c r="W71" s="93"/>
    </row>
    <row r="72" spans="3:23" ht="14" x14ac:dyDescent="0.3">
      <c r="D72" s="6"/>
      <c r="E72" s="95"/>
      <c r="F72" s="6"/>
      <c r="G72" s="94"/>
      <c r="H72" s="5"/>
      <c r="I72" s="5"/>
      <c r="O72" s="93"/>
      <c r="P72" s="93"/>
      <c r="Q72" s="93"/>
      <c r="R72" s="93"/>
      <c r="S72" s="93"/>
      <c r="T72" s="93"/>
      <c r="U72" s="93"/>
      <c r="V72" s="93"/>
      <c r="W72" s="93"/>
    </row>
    <row r="73" spans="3:23" ht="14" x14ac:dyDescent="0.3">
      <c r="D73" s="103"/>
      <c r="E73" s="103"/>
      <c r="F73" s="103"/>
      <c r="G73" s="94"/>
      <c r="H73" s="5"/>
      <c r="I73" s="5"/>
      <c r="O73" s="93"/>
      <c r="P73" s="93"/>
      <c r="Q73" s="93"/>
      <c r="R73" s="93"/>
      <c r="S73" s="93"/>
      <c r="T73" s="93"/>
      <c r="U73" s="93"/>
      <c r="V73" s="93"/>
      <c r="W73" s="93"/>
    </row>
    <row r="74" spans="3:23" ht="14" x14ac:dyDescent="0.3">
      <c r="D74" s="103"/>
      <c r="E74" s="103"/>
      <c r="F74" s="103"/>
      <c r="G74" s="94"/>
      <c r="H74" s="5"/>
      <c r="I74" s="5"/>
      <c r="O74" s="93"/>
      <c r="P74" s="93"/>
      <c r="Q74" s="93"/>
      <c r="R74" s="93"/>
      <c r="S74" s="93"/>
      <c r="T74" s="93"/>
      <c r="U74" s="93"/>
      <c r="V74" s="93"/>
      <c r="W74" s="93"/>
    </row>
    <row r="75" spans="3:23" ht="14" x14ac:dyDescent="0.3">
      <c r="D75" s="94"/>
      <c r="E75" s="94"/>
      <c r="F75" s="94"/>
      <c r="G75" s="94"/>
      <c r="H75" s="5"/>
      <c r="I75" s="5"/>
      <c r="J75" s="107"/>
      <c r="O75" s="93"/>
      <c r="P75" s="93"/>
      <c r="Q75" s="93"/>
      <c r="R75" s="93"/>
      <c r="S75" s="93"/>
      <c r="T75" s="93"/>
      <c r="U75" s="93"/>
      <c r="V75" s="93"/>
      <c r="W75" s="93"/>
    </row>
    <row r="76" spans="3:23" ht="14" x14ac:dyDescent="0.3">
      <c r="D76" s="94"/>
      <c r="E76" s="94"/>
      <c r="F76" s="94"/>
      <c r="G76" s="94"/>
      <c r="H76" s="5"/>
      <c r="I76" s="5"/>
      <c r="O76" s="93"/>
      <c r="P76" s="93"/>
      <c r="Q76" s="93"/>
      <c r="R76" s="93"/>
      <c r="S76" s="93"/>
      <c r="T76" s="93"/>
      <c r="U76" s="93"/>
      <c r="V76" s="93"/>
      <c r="W76" s="93"/>
    </row>
    <row r="77" spans="3:23" ht="14" x14ac:dyDescent="0.3">
      <c r="D77" s="5"/>
      <c r="E77" s="5"/>
      <c r="F77" s="5"/>
      <c r="G77" s="5"/>
      <c r="H77" s="5"/>
      <c r="I77" s="5"/>
      <c r="O77" s="93"/>
      <c r="P77" s="93"/>
      <c r="Q77" s="93"/>
      <c r="R77" s="93"/>
      <c r="S77" s="93"/>
      <c r="T77" s="93"/>
      <c r="U77" s="93"/>
      <c r="V77" s="93"/>
      <c r="W77" s="93"/>
    </row>
    <row r="78" spans="3:23" ht="14" x14ac:dyDescent="0.3">
      <c r="D78" s="5"/>
      <c r="E78" s="5"/>
      <c r="F78" s="5"/>
      <c r="G78" s="5"/>
      <c r="H78" s="5"/>
      <c r="I78" s="5"/>
      <c r="O78" s="93"/>
      <c r="P78" s="93"/>
      <c r="Q78" s="93"/>
      <c r="R78" s="93"/>
      <c r="S78" s="93"/>
      <c r="T78" s="93"/>
      <c r="U78" s="93"/>
      <c r="V78" s="93"/>
      <c r="W78" s="93"/>
    </row>
    <row r="79" spans="3:23" ht="14" x14ac:dyDescent="0.3">
      <c r="D79" s="5"/>
      <c r="E79" s="5"/>
      <c r="F79" s="5"/>
      <c r="G79" s="5"/>
      <c r="H79" s="5"/>
      <c r="I79" s="5"/>
    </row>
    <row r="80" spans="3:23" ht="14" x14ac:dyDescent="0.3">
      <c r="D80" s="5"/>
      <c r="E80" s="5"/>
      <c r="F80" s="5"/>
      <c r="G80" s="5"/>
      <c r="H80" s="5"/>
      <c r="I80" s="5"/>
    </row>
    <row r="81" spans="4:9" ht="14" x14ac:dyDescent="0.3">
      <c r="D81" s="5"/>
      <c r="E81" s="5"/>
      <c r="F81" s="5"/>
      <c r="G81" s="5"/>
      <c r="H81" s="5"/>
      <c r="I81" s="5"/>
    </row>
    <row r="82" spans="4:9" ht="14" x14ac:dyDescent="0.3">
      <c r="D82" s="5"/>
      <c r="E82" s="5"/>
      <c r="F82" s="5"/>
      <c r="G82" s="5"/>
      <c r="H82" s="5"/>
      <c r="I82" s="5"/>
    </row>
  </sheetData>
  <phoneticPr fontId="0" type="noConversion"/>
  <pageMargins left="0.74803149606299213" right="0.74803149606299213" top="0.39370078740157483" bottom="0.51181102362204722" header="0.31496062992125984" footer="0.39370078740157483"/>
  <pageSetup scale="73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d">
    <pageSetUpPr fitToPage="1"/>
  </sheetPr>
  <dimension ref="B3:K51"/>
  <sheetViews>
    <sheetView topLeftCell="B1" zoomScale="67" zoomScaleNormal="69" workbookViewId="0">
      <pane xSplit="1" topLeftCell="C1" activePane="topRight" state="frozen"/>
      <selection activeCell="B34" sqref="B34:T54"/>
      <selection pane="topRight" activeCell="H43" sqref="H43"/>
    </sheetView>
  </sheetViews>
  <sheetFormatPr baseColWidth="10" defaultColWidth="9.1796875" defaultRowHeight="12.5" x14ac:dyDescent="0.25"/>
  <cols>
    <col min="1" max="1" width="9.1796875" style="1" customWidth="1"/>
    <col min="2" max="2" width="38.81640625" style="1" bestFit="1" customWidth="1"/>
    <col min="3" max="3" width="12.7265625" style="1" bestFit="1" customWidth="1"/>
    <col min="4" max="4" width="8.26953125" style="1" bestFit="1" customWidth="1"/>
    <col min="5" max="5" width="8.81640625" style="1" bestFit="1" customWidth="1"/>
    <col min="6" max="6" width="3.54296875" style="1" customWidth="1"/>
    <col min="7" max="7" width="4.1796875" style="18" customWidth="1"/>
    <col min="8" max="8" width="38.81640625" style="18" bestFit="1" customWidth="1"/>
    <col min="9" max="9" width="12.7265625" style="1" bestFit="1" customWidth="1"/>
    <col min="10" max="10" width="8.26953125" style="1" bestFit="1" customWidth="1"/>
    <col min="11" max="11" width="12.26953125" style="1" customWidth="1"/>
    <col min="12" max="16384" width="9.1796875" style="1"/>
  </cols>
  <sheetData>
    <row r="3" spans="2:11" ht="14" x14ac:dyDescent="0.3">
      <c r="C3" s="4" t="str">
        <f>FE!D3</f>
        <v>Mes</v>
      </c>
      <c r="D3" s="5"/>
      <c r="E3" s="5"/>
      <c r="F3" s="5"/>
      <c r="G3" s="19"/>
      <c r="H3" s="19"/>
      <c r="I3" s="4" t="str">
        <f>FE!H3</f>
        <v>Ac.</v>
      </c>
      <c r="J3" s="5"/>
      <c r="K3" s="5"/>
    </row>
    <row r="4" spans="2:11" ht="14" x14ac:dyDescent="0.3">
      <c r="C4" s="4" t="str">
        <f>FE!D4</f>
        <v>Inm. Exelco</v>
      </c>
      <c r="D4" s="4" t="str">
        <f>FE!E4</f>
        <v>SILN</v>
      </c>
      <c r="E4" s="166" t="str">
        <f>FE!F4</f>
        <v>Div</v>
      </c>
      <c r="F4" s="166"/>
      <c r="G4" s="167"/>
      <c r="H4" s="168"/>
      <c r="I4" s="4" t="str">
        <f>FE!H4</f>
        <v>Inm. Exelco</v>
      </c>
      <c r="J4" s="4" t="str">
        <f>FE!I4</f>
        <v>SILN</v>
      </c>
      <c r="K4" s="166" t="str">
        <f>FE!J4</f>
        <v>Div</v>
      </c>
    </row>
    <row r="5" spans="2:11" ht="14" x14ac:dyDescent="0.3">
      <c r="B5" s="4" t="s">
        <v>139</v>
      </c>
      <c r="C5" s="6">
        <f>FE!D7</f>
        <v>0</v>
      </c>
      <c r="D5" s="6">
        <f>FE!E7</f>
        <v>0</v>
      </c>
      <c r="E5" s="6">
        <f>FE!F7</f>
        <v>0</v>
      </c>
      <c r="F5" s="34"/>
      <c r="G5" s="32"/>
      <c r="H5" s="4" t="s">
        <v>139</v>
      </c>
      <c r="I5" s="6">
        <f>FE!H7</f>
        <v>11509.446900000001</v>
      </c>
      <c r="J5" s="6">
        <f>FE!I7</f>
        <v>1281.5872300000001</v>
      </c>
      <c r="K5" s="6">
        <f>FE!J7</f>
        <v>12791.03413</v>
      </c>
    </row>
    <row r="6" spans="2:11" ht="14" x14ac:dyDescent="0.3">
      <c r="B6" s="5"/>
      <c r="C6" s="7"/>
      <c r="D6" s="7"/>
      <c r="E6" s="7"/>
      <c r="F6" s="7"/>
      <c r="G6" s="7"/>
      <c r="H6" s="5"/>
      <c r="I6" s="7"/>
      <c r="J6" s="7"/>
      <c r="K6" s="7"/>
    </row>
    <row r="7" spans="2:11" ht="14" x14ac:dyDescent="0.3">
      <c r="B7" s="4" t="s">
        <v>114</v>
      </c>
      <c r="C7" s="7"/>
      <c r="D7" s="7"/>
      <c r="E7" s="7"/>
      <c r="F7" s="7"/>
      <c r="G7" s="7"/>
      <c r="H7" s="4" t="s">
        <v>114</v>
      </c>
      <c r="I7" s="7"/>
      <c r="J7" s="7"/>
      <c r="K7" s="7"/>
    </row>
    <row r="8" spans="2:11" ht="14" x14ac:dyDescent="0.3">
      <c r="B8" s="5" t="s">
        <v>43</v>
      </c>
      <c r="C8" s="8">
        <f>FE!D10</f>
        <v>0</v>
      </c>
      <c r="D8" s="8">
        <f>FE!E10</f>
        <v>0</v>
      </c>
      <c r="E8" s="8">
        <f>FE!F10</f>
        <v>0</v>
      </c>
      <c r="F8" s="7"/>
      <c r="G8" s="7"/>
      <c r="H8" s="5" t="s">
        <v>43</v>
      </c>
      <c r="I8" s="8">
        <f>FE!H10</f>
        <v>-9070.1597100000017</v>
      </c>
      <c r="J8" s="8">
        <f>FE!I10</f>
        <v>262.8965</v>
      </c>
      <c r="K8" s="8">
        <f>FE!J10</f>
        <v>-8807.263210000001</v>
      </c>
    </row>
    <row r="9" spans="2:11" ht="14" x14ac:dyDescent="0.3">
      <c r="B9" s="5" t="s">
        <v>44</v>
      </c>
      <c r="C9" s="9">
        <f>FE!D11+FE!D12</f>
        <v>0</v>
      </c>
      <c r="D9" s="9">
        <f>FE!E11+FE!E12</f>
        <v>0</v>
      </c>
      <c r="E9" s="9">
        <f>FE!F11+FE!F12</f>
        <v>0</v>
      </c>
      <c r="F9" s="35"/>
      <c r="G9" s="7"/>
      <c r="H9" s="5" t="s">
        <v>44</v>
      </c>
      <c r="I9" s="9">
        <f>FE!H11+FE!H12</f>
        <v>-4440.0630999999994</v>
      </c>
      <c r="J9" s="9">
        <f>FE!I11+FE!I12</f>
        <v>3776.7469999999998</v>
      </c>
      <c r="K9" s="9">
        <f>FE!J11+FE!J12</f>
        <v>-663.31609999999955</v>
      </c>
    </row>
    <row r="10" spans="2:11" ht="14" x14ac:dyDescent="0.3">
      <c r="B10" s="5" t="s">
        <v>45</v>
      </c>
      <c r="C10" s="9">
        <f>FE!D13</f>
        <v>0</v>
      </c>
      <c r="D10" s="9">
        <f>FE!E13</f>
        <v>0</v>
      </c>
      <c r="E10" s="9">
        <f>FE!F13</f>
        <v>0</v>
      </c>
      <c r="F10" s="7"/>
      <c r="G10" s="7"/>
      <c r="H10" s="5" t="s">
        <v>45</v>
      </c>
      <c r="I10" s="9">
        <f>FE!H13</f>
        <v>4810.1404000000002</v>
      </c>
      <c r="J10" s="9">
        <f>FE!I13</f>
        <v>0</v>
      </c>
      <c r="K10" s="9">
        <f>FE!J13</f>
        <v>4810.1404000000002</v>
      </c>
    </row>
    <row r="11" spans="2:11" ht="14" x14ac:dyDescent="0.3">
      <c r="B11" s="5" t="s">
        <v>46</v>
      </c>
      <c r="C11" s="9">
        <f>FE!D14+FE!D15</f>
        <v>0</v>
      </c>
      <c r="D11" s="9">
        <f>FE!E14+FE!E15</f>
        <v>0</v>
      </c>
      <c r="E11" s="9">
        <f>FE!F14+FE!F15</f>
        <v>0</v>
      </c>
      <c r="F11" s="35"/>
      <c r="G11" s="7"/>
      <c r="H11" s="5" t="s">
        <v>46</v>
      </c>
      <c r="I11" s="9">
        <f>FE!H14+FE!H15</f>
        <v>-2191.3870000000002</v>
      </c>
      <c r="J11" s="9">
        <f>FE!I14+FE!I15</f>
        <v>-295.63229000000001</v>
      </c>
      <c r="K11" s="9">
        <f>FE!J14+FE!J15</f>
        <v>-2487.0192900000002</v>
      </c>
    </row>
    <row r="12" spans="2:11" ht="14" x14ac:dyDescent="0.3">
      <c r="B12" s="5" t="s">
        <v>77</v>
      </c>
      <c r="C12" s="9">
        <f>FE!D16</f>
        <v>0</v>
      </c>
      <c r="D12" s="9">
        <f>FE!E16</f>
        <v>0</v>
      </c>
      <c r="E12" s="9">
        <f>FE!F16</f>
        <v>0</v>
      </c>
      <c r="F12" s="7"/>
      <c r="G12" s="7"/>
      <c r="H12" s="5" t="s">
        <v>77</v>
      </c>
      <c r="I12" s="9">
        <f>FE!H16</f>
        <v>0</v>
      </c>
      <c r="J12" s="9">
        <f>FE!I16</f>
        <v>0</v>
      </c>
      <c r="K12" s="9">
        <f>FE!J16</f>
        <v>0</v>
      </c>
    </row>
    <row r="13" spans="2:11" ht="14" x14ac:dyDescent="0.3">
      <c r="B13" s="5" t="s">
        <v>78</v>
      </c>
      <c r="C13" s="9">
        <f>FE!D17</f>
        <v>0</v>
      </c>
      <c r="D13" s="9">
        <f>FE!E17</f>
        <v>0</v>
      </c>
      <c r="E13" s="9">
        <f>FE!F17</f>
        <v>0</v>
      </c>
      <c r="F13" s="7"/>
      <c r="G13" s="7"/>
      <c r="H13" s="5" t="s">
        <v>78</v>
      </c>
      <c r="I13" s="9">
        <f>FE!H17</f>
        <v>766.18832999999995</v>
      </c>
      <c r="J13" s="9">
        <f>FE!I17</f>
        <v>0</v>
      </c>
      <c r="K13" s="9">
        <f>FE!J17</f>
        <v>766.18832999999995</v>
      </c>
    </row>
    <row r="14" spans="2:11" ht="14" x14ac:dyDescent="0.3">
      <c r="B14" s="5" t="s">
        <v>52</v>
      </c>
      <c r="C14" s="9">
        <f>FE!D18</f>
        <v>0</v>
      </c>
      <c r="D14" s="9">
        <f>FE!E18</f>
        <v>0</v>
      </c>
      <c r="E14" s="9">
        <f>FE!F18</f>
        <v>0</v>
      </c>
      <c r="F14" s="7"/>
      <c r="G14" s="7"/>
      <c r="H14" s="5" t="s">
        <v>52</v>
      </c>
      <c r="I14" s="9">
        <f>FE!H18</f>
        <v>0</v>
      </c>
      <c r="J14" s="9">
        <f>FE!I18</f>
        <v>-299.99998999999997</v>
      </c>
      <c r="K14" s="9">
        <f>FE!J18</f>
        <v>-299.99998999999997</v>
      </c>
    </row>
    <row r="15" spans="2:11" ht="14" x14ac:dyDescent="0.3">
      <c r="B15" s="5" t="s">
        <v>80</v>
      </c>
      <c r="C15" s="9">
        <f>FE!D19+FE!D20</f>
        <v>0</v>
      </c>
      <c r="D15" s="9">
        <f>FE!E19+FE!E20</f>
        <v>0</v>
      </c>
      <c r="E15" s="9">
        <f>FE!F19+FE!F20</f>
        <v>0</v>
      </c>
      <c r="F15" s="35"/>
      <c r="G15" s="7"/>
      <c r="H15" s="5" t="s">
        <v>80</v>
      </c>
      <c r="I15" s="9">
        <f>FE!H19+FE!H20</f>
        <v>-331.53876000000002</v>
      </c>
      <c r="J15" s="9">
        <f>FE!I19+FE!I20</f>
        <v>84.353679999999997</v>
      </c>
      <c r="K15" s="9">
        <f>FE!J19+FE!J20</f>
        <v>-247.18508000000003</v>
      </c>
    </row>
    <row r="16" spans="2:11" ht="14" x14ac:dyDescent="0.3">
      <c r="B16" s="5" t="s">
        <v>116</v>
      </c>
      <c r="C16" s="9">
        <f>FE!D21+FE!D22+FE!D23</f>
        <v>0</v>
      </c>
      <c r="D16" s="9">
        <f>FE!E21+FE!E22+FE!E23</f>
        <v>0</v>
      </c>
      <c r="E16" s="9">
        <f>FE!F21+FE!F22+FE!F23</f>
        <v>0</v>
      </c>
      <c r="F16" s="35"/>
      <c r="G16" s="7"/>
      <c r="H16" s="5" t="s">
        <v>116</v>
      </c>
      <c r="I16" s="9">
        <f>FE!H21+FE!H22+FE!H23</f>
        <v>-57.835680000000004</v>
      </c>
      <c r="J16" s="9">
        <f>FE!I21+FE!I22+FE!I23</f>
        <v>-131.23521</v>
      </c>
      <c r="K16" s="9">
        <f>FE!J21+FE!J22+FE!J23</f>
        <v>-189.07088999999999</v>
      </c>
    </row>
    <row r="17" spans="2:11" ht="14" x14ac:dyDescent="0.3">
      <c r="B17" s="5" t="s">
        <v>83</v>
      </c>
      <c r="C17" s="9">
        <f>FE!D24</f>
        <v>0</v>
      </c>
      <c r="D17" s="9">
        <f>FE!E24</f>
        <v>0</v>
      </c>
      <c r="E17" s="9">
        <f>FE!F24</f>
        <v>0</v>
      </c>
      <c r="F17" s="7"/>
      <c r="G17" s="7"/>
      <c r="H17" s="5" t="s">
        <v>83</v>
      </c>
      <c r="I17" s="9">
        <f>FE!H24</f>
        <v>0</v>
      </c>
      <c r="J17" s="9">
        <f>FE!I24</f>
        <v>0</v>
      </c>
      <c r="K17" s="9">
        <f>FE!J24</f>
        <v>0</v>
      </c>
    </row>
    <row r="18" spans="2:11" ht="14" x14ac:dyDescent="0.3">
      <c r="B18" s="5" t="s">
        <v>136</v>
      </c>
      <c r="C18" s="9">
        <f>FE!D25+FE!D26</f>
        <v>0</v>
      </c>
      <c r="D18" s="9">
        <f>FE!E25+FE!E26</f>
        <v>0</v>
      </c>
      <c r="E18" s="9">
        <f>FE!F25+FE!F26</f>
        <v>0</v>
      </c>
      <c r="F18" s="35"/>
      <c r="G18" s="7"/>
      <c r="H18" s="5" t="s">
        <v>136</v>
      </c>
      <c r="I18" s="16">
        <f>FE!H25+FE!H26</f>
        <v>-919.91565999999989</v>
      </c>
      <c r="J18" s="9">
        <f>FE!I25+FE!I26</f>
        <v>0</v>
      </c>
      <c r="K18" s="9">
        <f>FE!J25+FE!J26</f>
        <v>-919.91565999999989</v>
      </c>
    </row>
    <row r="19" spans="2:11" ht="14" x14ac:dyDescent="0.3">
      <c r="B19" s="4" t="s">
        <v>114</v>
      </c>
      <c r="C19" s="6">
        <f>FE!D27</f>
        <v>0</v>
      </c>
      <c r="D19" s="6">
        <f>FE!E27</f>
        <v>0</v>
      </c>
      <c r="E19" s="6">
        <f>FE!F27</f>
        <v>0</v>
      </c>
      <c r="F19" s="32"/>
      <c r="G19" s="32"/>
      <c r="H19" s="4" t="s">
        <v>114</v>
      </c>
      <c r="I19" s="6">
        <f>FE!H27</f>
        <v>-11434.571179999999</v>
      </c>
      <c r="J19" s="6">
        <f>FE!I27</f>
        <v>3397.1296899999998</v>
      </c>
      <c r="K19" s="6">
        <f>FE!J27</f>
        <v>-8037.4414899999992</v>
      </c>
    </row>
    <row r="20" spans="2:11" ht="14" x14ac:dyDescent="0.3">
      <c r="B20" s="5"/>
      <c r="C20" s="10"/>
      <c r="D20" s="10"/>
      <c r="E20" s="10"/>
      <c r="F20" s="7"/>
      <c r="G20" s="7"/>
      <c r="H20" s="5"/>
      <c r="I20" s="10"/>
      <c r="J20" s="10"/>
      <c r="K20" s="10"/>
    </row>
    <row r="21" spans="2:11" ht="14" x14ac:dyDescent="0.3">
      <c r="B21" s="4" t="s">
        <v>87</v>
      </c>
      <c r="C21" s="11"/>
      <c r="D21" s="11"/>
      <c r="E21" s="11"/>
      <c r="F21" s="7"/>
      <c r="G21" s="7"/>
      <c r="H21" s="4" t="s">
        <v>87</v>
      </c>
      <c r="I21" s="7"/>
      <c r="J21" s="11"/>
      <c r="K21" s="11"/>
    </row>
    <row r="22" spans="2:11" ht="14" x14ac:dyDescent="0.3">
      <c r="B22" s="5" t="s">
        <v>88</v>
      </c>
      <c r="C22" s="8">
        <f>FE!D30</f>
        <v>0</v>
      </c>
      <c r="D22" s="8">
        <f>FE!E30</f>
        <v>0</v>
      </c>
      <c r="E22" s="8">
        <f>FE!F30</f>
        <v>0</v>
      </c>
      <c r="F22" s="7"/>
      <c r="G22" s="7"/>
      <c r="H22" s="5" t="s">
        <v>88</v>
      </c>
      <c r="I22" s="8">
        <f>FE!H30</f>
        <v>0</v>
      </c>
      <c r="J22" s="8">
        <f>FE!I30</f>
        <v>-5406.3381100000006</v>
      </c>
      <c r="K22" s="8">
        <f>FE!J30</f>
        <v>-5406.3381100000006</v>
      </c>
    </row>
    <row r="23" spans="2:11" ht="14" x14ac:dyDescent="0.3">
      <c r="B23" s="5" t="s">
        <v>117</v>
      </c>
      <c r="C23" s="9">
        <f>FE!D31</f>
        <v>0</v>
      </c>
      <c r="D23" s="9">
        <f>FE!E31</f>
        <v>0</v>
      </c>
      <c r="E23" s="9">
        <f>FE!F31</f>
        <v>0</v>
      </c>
      <c r="F23" s="7"/>
      <c r="G23" s="7"/>
      <c r="H23" s="5" t="s">
        <v>117</v>
      </c>
      <c r="I23" s="9">
        <f>FE!H31</f>
        <v>0</v>
      </c>
      <c r="J23" s="9">
        <f>FE!I31</f>
        <v>0</v>
      </c>
      <c r="K23" s="9">
        <f>FE!J31</f>
        <v>0</v>
      </c>
    </row>
    <row r="24" spans="2:11" ht="14" x14ac:dyDescent="0.3">
      <c r="B24" s="5" t="s">
        <v>53</v>
      </c>
      <c r="C24" s="9">
        <f>FE!D32</f>
        <v>0</v>
      </c>
      <c r="D24" s="9">
        <f>FE!E32</f>
        <v>0</v>
      </c>
      <c r="E24" s="9">
        <f>FE!F32</f>
        <v>0</v>
      </c>
      <c r="F24" s="7"/>
      <c r="G24" s="7"/>
      <c r="H24" s="5" t="s">
        <v>53</v>
      </c>
      <c r="I24" s="9">
        <f>FE!H32</f>
        <v>0</v>
      </c>
      <c r="J24" s="9">
        <f>FE!I32</f>
        <v>0</v>
      </c>
      <c r="K24" s="9">
        <f>FE!J32</f>
        <v>0</v>
      </c>
    </row>
    <row r="25" spans="2:11" ht="14" x14ac:dyDescent="0.3">
      <c r="B25" s="5" t="s">
        <v>89</v>
      </c>
      <c r="C25" s="9">
        <f>FE!D33</f>
        <v>0</v>
      </c>
      <c r="D25" s="9">
        <f>FE!E33</f>
        <v>0</v>
      </c>
      <c r="E25" s="9">
        <f>FE!F33</f>
        <v>0</v>
      </c>
      <c r="F25" s="7"/>
      <c r="G25" s="7"/>
      <c r="H25" s="5" t="s">
        <v>89</v>
      </c>
      <c r="I25" s="9">
        <f>FE!H33</f>
        <v>0</v>
      </c>
      <c r="J25" s="9">
        <f>FE!I33</f>
        <v>0</v>
      </c>
      <c r="K25" s="9">
        <f>FE!J33</f>
        <v>0</v>
      </c>
    </row>
    <row r="26" spans="2:11" ht="14" x14ac:dyDescent="0.3">
      <c r="B26" s="5" t="s">
        <v>137</v>
      </c>
      <c r="C26" s="9">
        <f>FE!D34+FE!D35</f>
        <v>0</v>
      </c>
      <c r="D26" s="9">
        <f>FE!E34+FE!E35</f>
        <v>0</v>
      </c>
      <c r="E26" s="9">
        <f>FE!F34+FE!F35</f>
        <v>0</v>
      </c>
      <c r="F26" s="35"/>
      <c r="G26" s="7"/>
      <c r="H26" s="5" t="s">
        <v>137</v>
      </c>
      <c r="I26" s="9">
        <f>FE!H34+FE!H35</f>
        <v>0</v>
      </c>
      <c r="J26" s="9">
        <f>FE!I34+FE!I35</f>
        <v>0</v>
      </c>
      <c r="K26" s="9">
        <f>FE!J34+FE!J35</f>
        <v>0</v>
      </c>
    </row>
    <row r="27" spans="2:11" ht="14" x14ac:dyDescent="0.3">
      <c r="B27" s="5" t="s">
        <v>119</v>
      </c>
      <c r="C27" s="9">
        <f>FE!D36</f>
        <v>0</v>
      </c>
      <c r="D27" s="9">
        <f>FE!E36</f>
        <v>0</v>
      </c>
      <c r="E27" s="9">
        <f>FE!F36</f>
        <v>0</v>
      </c>
      <c r="F27" s="7"/>
      <c r="G27" s="7"/>
      <c r="H27" s="5" t="s">
        <v>119</v>
      </c>
      <c r="I27" s="9">
        <f>FE!H36</f>
        <v>0</v>
      </c>
      <c r="J27" s="9">
        <f>FE!I36</f>
        <v>0</v>
      </c>
      <c r="K27" s="9">
        <f>FE!J36</f>
        <v>0</v>
      </c>
    </row>
    <row r="28" spans="2:11" ht="14" x14ac:dyDescent="0.3">
      <c r="B28" s="4" t="s">
        <v>92</v>
      </c>
      <c r="C28" s="6">
        <f>FE!D37</f>
        <v>0</v>
      </c>
      <c r="D28" s="6">
        <f>FE!E37</f>
        <v>0</v>
      </c>
      <c r="E28" s="6">
        <f>FE!F37</f>
        <v>0</v>
      </c>
      <c r="F28" s="32"/>
      <c r="G28" s="32"/>
      <c r="H28" s="4" t="s">
        <v>92</v>
      </c>
      <c r="I28" s="6">
        <f>FE!H37</f>
        <v>0</v>
      </c>
      <c r="J28" s="6">
        <f>FE!I37</f>
        <v>-5406.3381100000006</v>
      </c>
      <c r="K28" s="6">
        <f>FE!J37</f>
        <v>-5406.3381100000006</v>
      </c>
    </row>
    <row r="29" spans="2:11" ht="14" x14ac:dyDescent="0.3">
      <c r="B29" s="4"/>
      <c r="C29" s="10"/>
      <c r="D29" s="10"/>
      <c r="E29" s="10"/>
      <c r="F29" s="7"/>
      <c r="G29" s="7"/>
      <c r="H29" s="4"/>
      <c r="I29" s="10"/>
      <c r="J29" s="10"/>
      <c r="K29" s="10"/>
    </row>
    <row r="30" spans="2:11" ht="14" x14ac:dyDescent="0.3">
      <c r="B30" s="4" t="s">
        <v>93</v>
      </c>
      <c r="C30" s="11"/>
      <c r="D30" s="11"/>
      <c r="E30" s="11"/>
      <c r="F30" s="7"/>
      <c r="G30" s="7"/>
      <c r="H30" s="4" t="s">
        <v>93</v>
      </c>
      <c r="I30" s="7"/>
      <c r="J30" s="11"/>
      <c r="K30" s="11"/>
    </row>
    <row r="31" spans="2:11" ht="14" x14ac:dyDescent="0.3">
      <c r="B31" s="5" t="s">
        <v>47</v>
      </c>
      <c r="C31" s="8">
        <f>FE!D40</f>
        <v>0</v>
      </c>
      <c r="D31" s="8">
        <f>FE!E40</f>
        <v>0</v>
      </c>
      <c r="E31" s="8">
        <f>FE!F40</f>
        <v>0</v>
      </c>
      <c r="F31" s="7"/>
      <c r="G31" s="7"/>
      <c r="H31" s="5" t="s">
        <v>47</v>
      </c>
      <c r="I31" s="8">
        <f>FE!H40</f>
        <v>0</v>
      </c>
      <c r="J31" s="8">
        <f>FE!I40</f>
        <v>0</v>
      </c>
      <c r="K31" s="8">
        <f>FE!J40</f>
        <v>0</v>
      </c>
    </row>
    <row r="32" spans="2:11" ht="14" hidden="1" x14ac:dyDescent="0.3">
      <c r="B32" s="5" t="s">
        <v>48</v>
      </c>
      <c r="C32" s="9">
        <f>FE!D41</f>
        <v>0</v>
      </c>
      <c r="D32" s="9">
        <f>FE!E41</f>
        <v>0</v>
      </c>
      <c r="E32" s="9">
        <f>FE!F41</f>
        <v>0</v>
      </c>
      <c r="F32" s="7"/>
      <c r="G32" s="7"/>
      <c r="H32" s="5" t="s">
        <v>48</v>
      </c>
      <c r="I32" s="9">
        <f>FE!H41</f>
        <v>0</v>
      </c>
      <c r="J32" s="9">
        <f>FE!I41</f>
        <v>0</v>
      </c>
      <c r="K32" s="9">
        <f>FE!J41</f>
        <v>0</v>
      </c>
    </row>
    <row r="33" spans="2:11" ht="14" hidden="1" x14ac:dyDescent="0.3">
      <c r="B33" s="5" t="s">
        <v>51</v>
      </c>
      <c r="C33" s="9">
        <f>FE!D43</f>
        <v>0</v>
      </c>
      <c r="D33" s="9">
        <f>FE!E43</f>
        <v>0</v>
      </c>
      <c r="E33" s="9">
        <f>FE!F43</f>
        <v>0</v>
      </c>
      <c r="F33" s="7"/>
      <c r="G33" s="7"/>
      <c r="H33" s="5" t="s">
        <v>51</v>
      </c>
      <c r="I33" s="9">
        <f>FE!H43</f>
        <v>-35</v>
      </c>
      <c r="J33" s="9">
        <f>FE!I43</f>
        <v>0</v>
      </c>
      <c r="K33" s="9">
        <f>FE!J43</f>
        <v>-35</v>
      </c>
    </row>
    <row r="34" spans="2:11" ht="14" hidden="1" x14ac:dyDescent="0.3">
      <c r="B34" s="5" t="s">
        <v>50</v>
      </c>
      <c r="C34" s="9">
        <f>FE!D45</f>
        <v>0</v>
      </c>
      <c r="D34" s="9">
        <f>FE!E45</f>
        <v>0</v>
      </c>
      <c r="E34" s="9">
        <f>FE!F45</f>
        <v>0</v>
      </c>
      <c r="F34" s="7"/>
      <c r="G34" s="7"/>
      <c r="H34" s="5" t="s">
        <v>50</v>
      </c>
      <c r="I34" s="9">
        <f>FE!H45</f>
        <v>-344.04700000000003</v>
      </c>
      <c r="J34" s="9">
        <f>FE!I45</f>
        <v>0</v>
      </c>
      <c r="K34" s="9">
        <f>FE!J45</f>
        <v>-344.04700000000003</v>
      </c>
    </row>
    <row r="35" spans="2:11" ht="14" x14ac:dyDescent="0.3">
      <c r="B35" s="5" t="s">
        <v>49</v>
      </c>
      <c r="C35" s="9">
        <f>FE!D47</f>
        <v>0</v>
      </c>
      <c r="D35" s="9">
        <f>FE!E47</f>
        <v>0</v>
      </c>
      <c r="E35" s="9">
        <f>FE!F47</f>
        <v>0</v>
      </c>
      <c r="F35" s="7"/>
      <c r="G35" s="7"/>
      <c r="H35" s="5" t="s">
        <v>49</v>
      </c>
      <c r="I35" s="9">
        <f>FE!H47</f>
        <v>-19.176130000000001</v>
      </c>
      <c r="J35" s="9">
        <f>FE!I47</f>
        <v>0</v>
      </c>
      <c r="K35" s="9">
        <f>FE!J47</f>
        <v>-19.176130000000001</v>
      </c>
    </row>
    <row r="36" spans="2:11" ht="14" x14ac:dyDescent="0.3">
      <c r="B36" s="5" t="s">
        <v>95</v>
      </c>
      <c r="C36" s="9">
        <f>FE!D49</f>
        <v>0</v>
      </c>
      <c r="D36" s="9">
        <f>FE!E49</f>
        <v>0</v>
      </c>
      <c r="E36" s="9">
        <f>FE!F49</f>
        <v>0</v>
      </c>
      <c r="F36" s="7"/>
      <c r="G36" s="7"/>
      <c r="H36" s="5" t="s">
        <v>95</v>
      </c>
      <c r="I36" s="9">
        <f>FE!H49</f>
        <v>0</v>
      </c>
      <c r="J36" s="9">
        <f>FE!I49</f>
        <v>0</v>
      </c>
      <c r="K36" s="9">
        <f>FE!J49</f>
        <v>0</v>
      </c>
    </row>
    <row r="37" spans="2:11" ht="14" x14ac:dyDescent="0.3">
      <c r="B37" s="5" t="s">
        <v>121</v>
      </c>
      <c r="C37" s="9">
        <f>FE!D51</f>
        <v>0</v>
      </c>
      <c r="D37" s="9">
        <f>FE!E51</f>
        <v>0</v>
      </c>
      <c r="E37" s="9">
        <f>FE!F51</f>
        <v>0</v>
      </c>
      <c r="F37" s="7"/>
      <c r="G37" s="7"/>
      <c r="H37" s="5" t="s">
        <v>121</v>
      </c>
      <c r="I37" s="9">
        <f>FE!H51</f>
        <v>0</v>
      </c>
      <c r="J37" s="9">
        <f>FE!I51</f>
        <v>0</v>
      </c>
      <c r="K37" s="9">
        <f>FE!J51</f>
        <v>0</v>
      </c>
    </row>
    <row r="38" spans="2:11" ht="14" hidden="1" x14ac:dyDescent="0.3">
      <c r="B38" s="5" t="s">
        <v>123</v>
      </c>
      <c r="C38" s="9">
        <f>FE!D53</f>
        <v>0</v>
      </c>
      <c r="D38" s="9">
        <f>FE!E53</f>
        <v>0</v>
      </c>
      <c r="E38" s="9">
        <f>FE!F53</f>
        <v>0</v>
      </c>
      <c r="F38" s="7"/>
      <c r="G38" s="7"/>
      <c r="H38" s="5" t="s">
        <v>123</v>
      </c>
      <c r="I38" s="9">
        <f>FE!H53</f>
        <v>0</v>
      </c>
      <c r="J38" s="9">
        <f>FE!I53</f>
        <v>0</v>
      </c>
      <c r="K38" s="9">
        <f>FE!J53</f>
        <v>0</v>
      </c>
    </row>
    <row r="39" spans="2:11" ht="14" hidden="1" x14ac:dyDescent="0.3">
      <c r="B39" s="5" t="s">
        <v>125</v>
      </c>
      <c r="C39" s="9">
        <f>FE!D55</f>
        <v>0</v>
      </c>
      <c r="D39" s="9">
        <f>FE!E55</f>
        <v>0</v>
      </c>
      <c r="E39" s="9">
        <f>FE!F55</f>
        <v>0</v>
      </c>
      <c r="F39" s="7"/>
      <c r="G39" s="7"/>
      <c r="H39" s="5" t="s">
        <v>125</v>
      </c>
      <c r="I39" s="9">
        <f>FE!H55</f>
        <v>0</v>
      </c>
      <c r="J39" s="9">
        <f>FE!I55</f>
        <v>0</v>
      </c>
      <c r="K39" s="9">
        <f>FE!J55</f>
        <v>0</v>
      </c>
    </row>
    <row r="40" spans="2:11" ht="14" hidden="1" x14ac:dyDescent="0.3">
      <c r="B40" s="5" t="s">
        <v>127</v>
      </c>
      <c r="C40" s="9">
        <f>FE!D57</f>
        <v>0</v>
      </c>
      <c r="D40" s="9">
        <f>FE!E57</f>
        <v>0</v>
      </c>
      <c r="E40" s="9">
        <f>FE!F57</f>
        <v>0</v>
      </c>
      <c r="F40" s="7"/>
      <c r="G40" s="7"/>
      <c r="H40" s="5" t="s">
        <v>127</v>
      </c>
      <c r="I40" s="9">
        <f>FE!H57</f>
        <v>0</v>
      </c>
      <c r="J40" s="9">
        <f>FE!I57</f>
        <v>0</v>
      </c>
      <c r="K40" s="9">
        <f>FE!J57</f>
        <v>0</v>
      </c>
    </row>
    <row r="41" spans="2:11" ht="14" hidden="1" x14ac:dyDescent="0.3">
      <c r="B41" s="5" t="s">
        <v>129</v>
      </c>
      <c r="C41" s="9">
        <f>FE!D59</f>
        <v>0</v>
      </c>
      <c r="D41" s="9">
        <f>FE!E59</f>
        <v>0</v>
      </c>
      <c r="E41" s="9">
        <f>FE!F59</f>
        <v>0</v>
      </c>
      <c r="F41" s="7"/>
      <c r="G41" s="7"/>
      <c r="H41" s="5" t="s">
        <v>129</v>
      </c>
      <c r="I41" s="9">
        <f>FE!H59</f>
        <v>0</v>
      </c>
      <c r="J41" s="9">
        <f>FE!I59</f>
        <v>0</v>
      </c>
      <c r="K41" s="9">
        <f>FE!J59</f>
        <v>0</v>
      </c>
    </row>
    <row r="42" spans="2:11" ht="14" x14ac:dyDescent="0.3">
      <c r="B42" s="5" t="s">
        <v>170</v>
      </c>
      <c r="C42" s="9">
        <f>FE!D61</f>
        <v>0</v>
      </c>
      <c r="D42" s="9">
        <f>FE!E61</f>
        <v>0</v>
      </c>
      <c r="E42" s="9">
        <f>FE!F61</f>
        <v>0</v>
      </c>
      <c r="F42" s="7"/>
      <c r="G42" s="7"/>
      <c r="H42" s="5" t="s">
        <v>170</v>
      </c>
      <c r="I42" s="9">
        <f>FE!H61</f>
        <v>0</v>
      </c>
      <c r="J42" s="9">
        <f>FE!I61</f>
        <v>0</v>
      </c>
      <c r="K42" s="9">
        <f>FE!J61</f>
        <v>0</v>
      </c>
    </row>
    <row r="43" spans="2:11" ht="14" x14ac:dyDescent="0.3">
      <c r="B43" s="5" t="s">
        <v>131</v>
      </c>
      <c r="C43" s="12">
        <f>FE!D62</f>
        <v>0</v>
      </c>
      <c r="D43" s="12">
        <f>FE!E62</f>
        <v>0</v>
      </c>
      <c r="E43" s="12">
        <f>FE!F62</f>
        <v>0</v>
      </c>
      <c r="F43" s="19"/>
      <c r="G43" s="19"/>
      <c r="H43" s="5" t="s">
        <v>131</v>
      </c>
      <c r="I43" s="12">
        <f>FE!H62</f>
        <v>0</v>
      </c>
      <c r="J43" s="12">
        <f>FE!I62</f>
        <v>0</v>
      </c>
      <c r="K43" s="12">
        <f>FE!J62</f>
        <v>0</v>
      </c>
    </row>
    <row r="44" spans="2:11" ht="14" x14ac:dyDescent="0.3">
      <c r="B44" s="5" t="s">
        <v>103</v>
      </c>
      <c r="C44" s="12">
        <f>FE!D63</f>
        <v>0</v>
      </c>
      <c r="D44" s="12">
        <f>FE!E63</f>
        <v>0</v>
      </c>
      <c r="E44" s="12">
        <f>FE!F63</f>
        <v>0</v>
      </c>
      <c r="F44" s="19"/>
      <c r="G44" s="19"/>
      <c r="H44" s="5" t="s">
        <v>103</v>
      </c>
      <c r="I44" s="12">
        <f>FE!H63</f>
        <v>0</v>
      </c>
      <c r="J44" s="12">
        <f>FE!I63</f>
        <v>0</v>
      </c>
      <c r="K44" s="12">
        <f>FE!J63</f>
        <v>0</v>
      </c>
    </row>
    <row r="45" spans="2:11" ht="14" x14ac:dyDescent="0.3">
      <c r="B45" s="5" t="s">
        <v>140</v>
      </c>
      <c r="C45" s="16">
        <f>FE!D42+FE!D44+FE!D46+FE!D48+FE!D50+FE!D52+FE!D54+FE!D56+FE!D58+FE!D60-FE!D6</f>
        <v>0</v>
      </c>
      <c r="D45" s="16">
        <f>FE!E42+FE!E44+FE!E46+FE!E48+FE!E50+FE!E52+FE!E54+FE!E56+FE!E58+FE!E60-FE!E6</f>
        <v>0</v>
      </c>
      <c r="E45" s="16">
        <f>FE!F42+FE!F44+FE!F46+FE!F48+FE!F50+FE!F52+FE!F54+FE!F56+FE!F58+FE!F60-FE!F6</f>
        <v>0</v>
      </c>
      <c r="F45" s="35"/>
      <c r="G45" s="7"/>
      <c r="H45" s="5" t="s">
        <v>140</v>
      </c>
      <c r="I45" s="16">
        <f>FE!H42+FE!H44+FE!H46+FE!H48+FE!H50+FE!H52+FE!H54+FE!H56+FE!H58+FE!H60-FE!H6</f>
        <v>0</v>
      </c>
      <c r="J45" s="9">
        <f>FE!I42+FE!I44+FE!I46+FE!I48+FE!I50+FE!I52+FE!I54+FE!I56+FE!I58+FE!I60-FE!I6</f>
        <v>0</v>
      </c>
      <c r="K45" s="9">
        <f>FE!J42+FE!J44+FE!J46+FE!J48+FE!J50+FE!J52+FE!J54+FE!J56+FE!J58+FE!J60-FE!J6</f>
        <v>0</v>
      </c>
    </row>
    <row r="46" spans="2:11" ht="14" x14ac:dyDescent="0.3">
      <c r="B46" s="4" t="s">
        <v>104</v>
      </c>
      <c r="C46" s="6">
        <f>SUM(C31:C45)</f>
        <v>0</v>
      </c>
      <c r="D46" s="6">
        <f t="shared" ref="D46:E46" si="0">SUM(D31:D45)</f>
        <v>0</v>
      </c>
      <c r="E46" s="6">
        <f t="shared" si="0"/>
        <v>0</v>
      </c>
      <c r="F46" s="32"/>
      <c r="G46" s="32"/>
      <c r="H46" s="4" t="s">
        <v>104</v>
      </c>
      <c r="I46" s="6">
        <f t="shared" ref="I46:K46" si="1">SUM(I31:I45)</f>
        <v>-398.22313000000003</v>
      </c>
      <c r="J46" s="6">
        <f t="shared" si="1"/>
        <v>0</v>
      </c>
      <c r="K46" s="6">
        <f t="shared" si="1"/>
        <v>-398.22313000000003</v>
      </c>
    </row>
    <row r="47" spans="2:11" ht="14" x14ac:dyDescent="0.3">
      <c r="B47" s="5"/>
      <c r="H47" s="5"/>
    </row>
    <row r="48" spans="2:11" ht="14" x14ac:dyDescent="0.3">
      <c r="B48" s="4" t="s">
        <v>105</v>
      </c>
      <c r="C48" s="17">
        <f t="shared" ref="C48:E48" si="2">+C5+C19+C28+C46</f>
        <v>0</v>
      </c>
      <c r="D48" s="17">
        <f t="shared" si="2"/>
        <v>0</v>
      </c>
      <c r="E48" s="17">
        <f t="shared" si="2"/>
        <v>0</v>
      </c>
      <c r="F48" s="33"/>
      <c r="G48" s="33"/>
      <c r="H48" s="4" t="s">
        <v>105</v>
      </c>
      <c r="I48" s="17">
        <f t="shared" ref="I48:K48" si="3">+I5+I19+I28+I46</f>
        <v>-323.34740999999821</v>
      </c>
      <c r="J48" s="17">
        <f t="shared" si="3"/>
        <v>-727.62119000000075</v>
      </c>
      <c r="K48" s="17">
        <f t="shared" si="3"/>
        <v>-1050.9685999999999</v>
      </c>
    </row>
    <row r="49" spans="2:11" ht="14" x14ac:dyDescent="0.3">
      <c r="B49" s="2" t="s">
        <v>132</v>
      </c>
      <c r="C49" s="6">
        <f>FE!D67</f>
        <v>3712.7095399999998</v>
      </c>
      <c r="D49" s="6">
        <f>FE!E67</f>
        <v>103.78941999999999</v>
      </c>
      <c r="E49" s="6">
        <f>C49+D49</f>
        <v>3816.4989599999999</v>
      </c>
      <c r="F49" s="32"/>
      <c r="G49" s="32"/>
      <c r="H49" s="2" t="s">
        <v>132</v>
      </c>
      <c r="I49" s="6">
        <f>FE!H67</f>
        <v>4036.0569500000001</v>
      </c>
      <c r="J49" s="6">
        <f>FE!I67</f>
        <v>831.41061000000002</v>
      </c>
      <c r="K49" s="6">
        <f>I49+J49</f>
        <v>4867.46756</v>
      </c>
    </row>
    <row r="50" spans="2:11" ht="14" x14ac:dyDescent="0.3">
      <c r="B50" s="2" t="s">
        <v>133</v>
      </c>
      <c r="C50" s="6">
        <f>C48+C49</f>
        <v>3712.7095399999998</v>
      </c>
      <c r="D50" s="6">
        <f t="shared" ref="D50:E50" si="4">D48+D49</f>
        <v>103.78941999999999</v>
      </c>
      <c r="E50" s="6">
        <f t="shared" si="4"/>
        <v>3816.4989599999999</v>
      </c>
      <c r="F50" s="32"/>
      <c r="G50" s="32"/>
      <c r="H50" s="2" t="s">
        <v>133</v>
      </c>
      <c r="I50" s="6">
        <f t="shared" ref="I50:K50" si="5">I48+I49</f>
        <v>3712.7095400000021</v>
      </c>
      <c r="J50" s="6">
        <f t="shared" si="5"/>
        <v>103.78941999999927</v>
      </c>
      <c r="K50" s="6">
        <f t="shared" si="5"/>
        <v>3816.4989599999999</v>
      </c>
    </row>
    <row r="51" spans="2:11" x14ac:dyDescent="0.25">
      <c r="D51" s="3"/>
    </row>
  </sheetData>
  <phoneticPr fontId="0" type="noConversion"/>
  <pageMargins left="0.75" right="0.75" top="1" bottom="1" header="0.5" footer="0.5"/>
  <pageSetup scale="5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C4:F56"/>
  <sheetViews>
    <sheetView zoomScale="109" zoomScaleNormal="69" workbookViewId="0">
      <selection activeCell="F5" sqref="F5"/>
    </sheetView>
  </sheetViews>
  <sheetFormatPr baseColWidth="10" defaultColWidth="9.1796875" defaultRowHeight="12.5" x14ac:dyDescent="0.25"/>
  <cols>
    <col min="1" max="2" width="9.1796875" style="1" customWidth="1"/>
    <col min="3" max="3" width="33.54296875" style="1" bestFit="1" customWidth="1"/>
    <col min="4" max="4" width="12.7265625" style="1" bestFit="1" customWidth="1"/>
    <col min="5" max="5" width="11.453125" style="1" customWidth="1"/>
    <col min="6" max="6" width="12" style="1" customWidth="1"/>
    <col min="7" max="16384" width="9.1796875" style="1"/>
  </cols>
  <sheetData>
    <row r="4" spans="3:6" ht="13" x14ac:dyDescent="0.3">
      <c r="C4" s="29" t="s">
        <v>197</v>
      </c>
      <c r="D4" s="13" t="s">
        <v>169</v>
      </c>
      <c r="E4" s="13" t="s">
        <v>161</v>
      </c>
      <c r="F4" s="13" t="s">
        <v>134</v>
      </c>
    </row>
    <row r="5" spans="3:6" x14ac:dyDescent="0.25">
      <c r="C5" s="20" t="s">
        <v>147</v>
      </c>
      <c r="D5" s="21">
        <f>(BDBG!D8)/1000</f>
        <v>3712.7095399999998</v>
      </c>
      <c r="E5" s="21">
        <f>(BDBG!Q8)/1000</f>
        <v>103.78941999999999</v>
      </c>
      <c r="F5" s="21">
        <f t="shared" ref="F5:F12" si="0">D5+E5</f>
        <v>3816.4989599999999</v>
      </c>
    </row>
    <row r="6" spans="3:6" x14ac:dyDescent="0.25">
      <c r="C6" s="20" t="s">
        <v>148</v>
      </c>
      <c r="D6" s="22">
        <f>(BDBG!D9)/1000</f>
        <v>0</v>
      </c>
      <c r="E6" s="22">
        <f>(BDBG!Q9)/1000</f>
        <v>0</v>
      </c>
      <c r="F6" s="22">
        <f t="shared" si="0"/>
        <v>0</v>
      </c>
    </row>
    <row r="7" spans="3:6" x14ac:dyDescent="0.25">
      <c r="C7" s="20" t="s">
        <v>198</v>
      </c>
      <c r="D7" s="22">
        <f>(BDBG!D10)/1000</f>
        <v>130064.0153</v>
      </c>
      <c r="E7" s="22">
        <f>(BDBG!Q10)/1000</f>
        <v>8402.2438699999984</v>
      </c>
      <c r="F7" s="22">
        <f t="shared" si="0"/>
        <v>138466.25917</v>
      </c>
    </row>
    <row r="8" spans="3:6" x14ac:dyDescent="0.25">
      <c r="C8" s="20" t="s">
        <v>149</v>
      </c>
      <c r="D8" s="22">
        <f>(BDBG!D11)/1000</f>
        <v>26836.664960000002</v>
      </c>
      <c r="E8" s="22">
        <f>(BDBG!Q11)/1000</f>
        <v>6850.9775499999996</v>
      </c>
      <c r="F8" s="22">
        <f t="shared" si="0"/>
        <v>33687.642510000005</v>
      </c>
    </row>
    <row r="9" spans="3:6" x14ac:dyDescent="0.25">
      <c r="C9" s="20" t="s">
        <v>150</v>
      </c>
      <c r="D9" s="22">
        <f>(BDBG!D12)/1000</f>
        <v>159251.15862</v>
      </c>
      <c r="E9" s="22">
        <f>(BDBG!Q12)/1000</f>
        <v>0</v>
      </c>
      <c r="F9" s="22">
        <f t="shared" si="0"/>
        <v>159251.15862</v>
      </c>
    </row>
    <row r="10" spans="3:6" x14ac:dyDescent="0.25">
      <c r="C10" s="20" t="s">
        <v>151</v>
      </c>
      <c r="D10" s="22">
        <f>(BDBG!D13)/1000</f>
        <v>4829.9624299999996</v>
      </c>
      <c r="E10" s="22">
        <f>(BDBG!Q13)/1000</f>
        <v>-277.28765999999996</v>
      </c>
      <c r="F10" s="22">
        <f t="shared" si="0"/>
        <v>4552.6747699999996</v>
      </c>
    </row>
    <row r="11" spans="3:6" x14ac:dyDescent="0.25">
      <c r="C11" s="20" t="s">
        <v>199</v>
      </c>
      <c r="D11" s="22">
        <f>(BDBG!D14)/1000</f>
        <v>0</v>
      </c>
      <c r="E11" s="22">
        <f>(BDBG!Q14)/1000</f>
        <v>601.12201000000005</v>
      </c>
      <c r="F11" s="22">
        <f t="shared" si="0"/>
        <v>601.12201000000005</v>
      </c>
    </row>
    <row r="12" spans="3:6" ht="13" x14ac:dyDescent="0.3">
      <c r="C12" s="23" t="s">
        <v>200</v>
      </c>
      <c r="D12" s="24">
        <f>(BDBG!D15)/1000</f>
        <v>324694.51085000002</v>
      </c>
      <c r="E12" s="24">
        <f>(BDBG!Q15)/1000</f>
        <v>15680.84519</v>
      </c>
      <c r="F12" s="24">
        <f t="shared" si="0"/>
        <v>340375.35604000004</v>
      </c>
    </row>
    <row r="13" spans="3:6" ht="13" x14ac:dyDescent="0.3">
      <c r="C13" s="23" t="s">
        <v>201</v>
      </c>
      <c r="D13" s="25"/>
      <c r="E13" s="25"/>
      <c r="F13" s="25"/>
    </row>
    <row r="14" spans="3:6" x14ac:dyDescent="0.25">
      <c r="C14" s="20" t="s">
        <v>152</v>
      </c>
      <c r="D14" s="22">
        <f>(BDBG!D17)/1000</f>
        <v>0</v>
      </c>
      <c r="E14" s="22">
        <f>(BDBG!Q17)/1000</f>
        <v>9566.747949999999</v>
      </c>
      <c r="F14" s="22">
        <f t="shared" ref="F14:F22" si="1">D14+E14</f>
        <v>9566.747949999999</v>
      </c>
    </row>
    <row r="15" spans="3:6" x14ac:dyDescent="0.25">
      <c r="C15" s="20" t="s">
        <v>202</v>
      </c>
      <c r="D15" s="22">
        <f>(BDBG!D18)/1000</f>
        <v>0</v>
      </c>
      <c r="E15" s="22">
        <f>(BDBG!Q18)/1000</f>
        <v>5283.6811100000004</v>
      </c>
      <c r="F15" s="22">
        <f t="shared" si="1"/>
        <v>5283.6811100000004</v>
      </c>
    </row>
    <row r="16" spans="3:6" x14ac:dyDescent="0.25">
      <c r="C16" s="20" t="s">
        <v>203</v>
      </c>
      <c r="D16" s="22">
        <f>(BDBG!D19)/1000</f>
        <v>13.94786</v>
      </c>
      <c r="E16" s="22">
        <f>(BDBG!Q19)/1000</f>
        <v>209.60568000000001</v>
      </c>
      <c r="F16" s="22">
        <f t="shared" si="1"/>
        <v>223.55354</v>
      </c>
    </row>
    <row r="17" spans="3:6" x14ac:dyDescent="0.25">
      <c r="C17" s="20" t="s">
        <v>204</v>
      </c>
      <c r="D17" s="22">
        <f>(BDBG!D20)/1000</f>
        <v>89.467429999999993</v>
      </c>
      <c r="E17" s="22">
        <f>(BDBG!Q20)/1000</f>
        <v>228.78382999999999</v>
      </c>
      <c r="F17" s="22">
        <f t="shared" si="1"/>
        <v>318.25126</v>
      </c>
    </row>
    <row r="18" spans="3:6" x14ac:dyDescent="0.25">
      <c r="C18" s="20" t="s">
        <v>153</v>
      </c>
      <c r="D18" s="22">
        <f>(BDBG!D21)/1000</f>
        <v>695.47189000000003</v>
      </c>
      <c r="E18" s="22">
        <f>(BDBG!Q21)/1000</f>
        <v>672.62381999999991</v>
      </c>
      <c r="F18" s="22">
        <f t="shared" si="1"/>
        <v>1368.0957100000001</v>
      </c>
    </row>
    <row r="19" spans="3:6" x14ac:dyDescent="0.25">
      <c r="C19" s="20" t="s">
        <v>205</v>
      </c>
      <c r="D19" s="22">
        <f>(BDBG!D22)/1000</f>
        <v>146.10493</v>
      </c>
      <c r="E19" s="22">
        <f>(BDBG!Q22)/1000</f>
        <v>2028.79071</v>
      </c>
      <c r="F19" s="22">
        <f t="shared" si="1"/>
        <v>2174.8956400000002</v>
      </c>
    </row>
    <row r="20" spans="3:6" x14ac:dyDescent="0.25">
      <c r="C20" s="20" t="s">
        <v>206</v>
      </c>
      <c r="D20" s="22">
        <f>(BDBG!D23)/1000</f>
        <v>0</v>
      </c>
      <c r="E20" s="22">
        <f>(BDBG!Q23)/1000</f>
        <v>0</v>
      </c>
      <c r="F20" s="22">
        <f t="shared" si="1"/>
        <v>0</v>
      </c>
    </row>
    <row r="21" spans="3:6" x14ac:dyDescent="0.25">
      <c r="C21" s="20" t="s">
        <v>207</v>
      </c>
      <c r="D21" s="22">
        <f>(BDBG!D24)/1000</f>
        <v>-427.37339000000003</v>
      </c>
      <c r="E21" s="22">
        <f>(BDBG!Q24)/1000</f>
        <v>-2282.83212</v>
      </c>
      <c r="F21" s="22">
        <f t="shared" si="1"/>
        <v>-2710.2055100000002</v>
      </c>
    </row>
    <row r="22" spans="3:6" ht="13" x14ac:dyDescent="0.3">
      <c r="C22" s="23" t="s">
        <v>208</v>
      </c>
      <c r="D22" s="24">
        <f>(BDBG!D25)/1000</f>
        <v>517.61871999999994</v>
      </c>
      <c r="E22" s="24">
        <f>(BDBG!Q25)/1000</f>
        <v>15707.40098</v>
      </c>
      <c r="F22" s="24">
        <f t="shared" si="1"/>
        <v>16225.019700000001</v>
      </c>
    </row>
    <row r="23" spans="3:6" ht="13" x14ac:dyDescent="0.3">
      <c r="C23" s="23" t="s">
        <v>209</v>
      </c>
      <c r="D23" s="25"/>
      <c r="E23" s="25"/>
      <c r="F23" s="25"/>
    </row>
    <row r="24" spans="3:6" x14ac:dyDescent="0.25">
      <c r="C24" s="20" t="s">
        <v>210</v>
      </c>
      <c r="D24" s="22">
        <f>(BDBG!D27)/1000</f>
        <v>25.658660000000001</v>
      </c>
      <c r="E24" s="22">
        <f>(BDBG!Q27)/1000</f>
        <v>0</v>
      </c>
      <c r="F24" s="22">
        <f t="shared" ref="F24:F31" si="2">D24+E24</f>
        <v>25.658660000000001</v>
      </c>
    </row>
    <row r="25" spans="3:6" x14ac:dyDescent="0.25">
      <c r="C25" s="20" t="s">
        <v>211</v>
      </c>
      <c r="D25" s="22">
        <f>(BDBG!D28)/1000</f>
        <v>36684.473259999999</v>
      </c>
      <c r="E25" s="22">
        <f>(BDBG!Q28)/1000</f>
        <v>0</v>
      </c>
      <c r="F25" s="22">
        <f t="shared" si="2"/>
        <v>36684.473259999999</v>
      </c>
    </row>
    <row r="26" spans="3:6" x14ac:dyDescent="0.25">
      <c r="C26" s="20" t="s">
        <v>212</v>
      </c>
      <c r="D26" s="22">
        <f>(BDBG!D29)/1000</f>
        <v>0</v>
      </c>
      <c r="E26" s="22">
        <f>(BDBG!Q29)/1000</f>
        <v>0</v>
      </c>
      <c r="F26" s="22">
        <f t="shared" si="2"/>
        <v>0</v>
      </c>
    </row>
    <row r="27" spans="3:6" ht="13" x14ac:dyDescent="0.3">
      <c r="C27" s="23" t="s">
        <v>213</v>
      </c>
      <c r="D27" s="24">
        <f>(BDBG!D30)/1000</f>
        <v>36710.13192</v>
      </c>
      <c r="E27" s="24">
        <f>(BDBG!Q30)/1000</f>
        <v>0</v>
      </c>
      <c r="F27" s="24">
        <f t="shared" si="2"/>
        <v>36710.13192</v>
      </c>
    </row>
    <row r="28" spans="3:6" ht="13" x14ac:dyDescent="0.3">
      <c r="C28" s="23" t="s">
        <v>214</v>
      </c>
      <c r="D28" s="21">
        <f>(BDBG!D31)/1000</f>
        <v>0</v>
      </c>
      <c r="E28" s="21">
        <f>(BDBG!Q31)/1000</f>
        <v>0</v>
      </c>
      <c r="F28" s="21">
        <f t="shared" si="2"/>
        <v>0</v>
      </c>
    </row>
    <row r="29" spans="3:6" x14ac:dyDescent="0.25">
      <c r="C29" s="20" t="s">
        <v>215</v>
      </c>
      <c r="D29" s="26">
        <f>(BDBG!D32)/1000</f>
        <v>0</v>
      </c>
      <c r="E29" s="26">
        <f>(BDBG!Q32)/1000</f>
        <v>0</v>
      </c>
      <c r="F29" s="26">
        <f t="shared" si="2"/>
        <v>0</v>
      </c>
    </row>
    <row r="30" spans="3:6" ht="13" x14ac:dyDescent="0.3">
      <c r="C30" s="23" t="s">
        <v>216</v>
      </c>
      <c r="D30" s="31">
        <f>(BDBG!D33)/1000</f>
        <v>0</v>
      </c>
      <c r="E30" s="31">
        <f>(BDBG!Q33)/1000</f>
        <v>0</v>
      </c>
      <c r="F30" s="31">
        <f t="shared" si="2"/>
        <v>0</v>
      </c>
    </row>
    <row r="31" spans="3:6" ht="13" x14ac:dyDescent="0.3">
      <c r="C31" s="30" t="s">
        <v>217</v>
      </c>
      <c r="D31" s="27">
        <f>(BDBG!D34)/1000</f>
        <v>361922.26149</v>
      </c>
      <c r="E31" s="27">
        <f>(BDBG!Q34)/1000</f>
        <v>31388.246170000002</v>
      </c>
      <c r="F31" s="27">
        <f t="shared" si="2"/>
        <v>393310.50766</v>
      </c>
    </row>
    <row r="32" spans="3:6" ht="13" x14ac:dyDescent="0.3">
      <c r="C32" s="29" t="s">
        <v>218</v>
      </c>
      <c r="D32" s="28"/>
      <c r="E32" s="28"/>
      <c r="F32" s="28"/>
    </row>
    <row r="33" spans="3:6" x14ac:dyDescent="0.25">
      <c r="C33" s="20" t="s">
        <v>154</v>
      </c>
      <c r="D33" s="21">
        <f>(BDBG!D36)/1000</f>
        <v>0</v>
      </c>
      <c r="E33" s="21">
        <f>(BDBG!Q36)/1000</f>
        <v>7.23841</v>
      </c>
      <c r="F33" s="21">
        <f t="shared" ref="F33:F38" si="3">D33+E33</f>
        <v>7.23841</v>
      </c>
    </row>
    <row r="34" spans="3:6" x14ac:dyDescent="0.25">
      <c r="C34" s="20" t="s">
        <v>155</v>
      </c>
      <c r="D34" s="22">
        <f>(BDBG!D37)/1000</f>
        <v>7185.9580599999999</v>
      </c>
      <c r="E34" s="22">
        <f>(BDBG!Q37)/1000</f>
        <v>2333.6813399999996</v>
      </c>
      <c r="F34" s="22">
        <f t="shared" si="3"/>
        <v>9519.6394</v>
      </c>
    </row>
    <row r="35" spans="3:6" x14ac:dyDescent="0.25">
      <c r="C35" s="20" t="s">
        <v>219</v>
      </c>
      <c r="D35" s="22">
        <f>(BDBG!D38)/1000</f>
        <v>0</v>
      </c>
      <c r="E35" s="22">
        <f>(BDBG!Q38)/1000</f>
        <v>0</v>
      </c>
      <c r="F35" s="22">
        <f t="shared" si="3"/>
        <v>0</v>
      </c>
    </row>
    <row r="36" spans="3:6" x14ac:dyDescent="0.25">
      <c r="C36" s="20" t="s">
        <v>220</v>
      </c>
      <c r="D36" s="22">
        <f>(BDBG!D39)/1000</f>
        <v>2828.8200099999999</v>
      </c>
      <c r="E36" s="22">
        <f>(BDBG!Q39)/1000</f>
        <v>746.65035</v>
      </c>
      <c r="F36" s="22">
        <f t="shared" si="3"/>
        <v>3575.4703599999998</v>
      </c>
    </row>
    <row r="37" spans="3:6" x14ac:dyDescent="0.25">
      <c r="C37" s="20" t="s">
        <v>221</v>
      </c>
      <c r="D37" s="26">
        <f>(BDBG!D40)/1000</f>
        <v>0</v>
      </c>
      <c r="E37" s="26">
        <f>(BDBG!Q40)/1000</f>
        <v>0</v>
      </c>
      <c r="F37" s="26">
        <f t="shared" si="3"/>
        <v>0</v>
      </c>
    </row>
    <row r="38" spans="3:6" ht="13" x14ac:dyDescent="0.3">
      <c r="C38" s="23" t="s">
        <v>222</v>
      </c>
      <c r="D38" s="24">
        <f>(BDBG!D41)/1000</f>
        <v>10014.77807</v>
      </c>
      <c r="E38" s="24">
        <f>(BDBG!Q41)/1000</f>
        <v>3087.5700999999999</v>
      </c>
      <c r="F38" s="24">
        <f t="shared" si="3"/>
        <v>13102.348170000001</v>
      </c>
    </row>
    <row r="39" spans="3:6" ht="13" x14ac:dyDescent="0.3">
      <c r="C39" s="23" t="s">
        <v>223</v>
      </c>
      <c r="D39" s="28"/>
      <c r="E39" s="28"/>
      <c r="F39" s="28"/>
    </row>
    <row r="40" spans="3:6" x14ac:dyDescent="0.25">
      <c r="C40" s="20" t="s">
        <v>224</v>
      </c>
      <c r="D40" s="21">
        <f>(BDBG!D43)/1000</f>
        <v>0</v>
      </c>
      <c r="E40" s="21">
        <f>(BDBG!Q43)/1000</f>
        <v>0</v>
      </c>
      <c r="F40" s="21">
        <f>D40+E40</f>
        <v>0</v>
      </c>
    </row>
    <row r="41" spans="3:6" x14ac:dyDescent="0.25">
      <c r="C41" s="20" t="s">
        <v>156</v>
      </c>
      <c r="D41" s="22">
        <f>(BDBG!D44)/1000</f>
        <v>0</v>
      </c>
      <c r="E41" s="22">
        <f>(BDBG!Q44)/1000</f>
        <v>-2.0000000000000002E-5</v>
      </c>
      <c r="F41" s="22">
        <f>D41+E41</f>
        <v>-2.0000000000000002E-5</v>
      </c>
    </row>
    <row r="42" spans="3:6" x14ac:dyDescent="0.25">
      <c r="C42" s="20" t="s">
        <v>225</v>
      </c>
      <c r="D42" s="26">
        <f>(BDBG!D45)/1000</f>
        <v>0</v>
      </c>
      <c r="E42" s="26">
        <f>(BDBG!Q45)/1000</f>
        <v>0</v>
      </c>
      <c r="F42" s="26">
        <f>D42+E42</f>
        <v>0</v>
      </c>
    </row>
    <row r="43" spans="3:6" ht="13" x14ac:dyDescent="0.3">
      <c r="C43" s="23" t="s">
        <v>226</v>
      </c>
      <c r="D43" s="24">
        <f>(BDBG!D46)/1000</f>
        <v>0</v>
      </c>
      <c r="E43" s="24">
        <f>(BDBG!Q46)/1000</f>
        <v>-2.0000000000000002E-5</v>
      </c>
      <c r="F43" s="24">
        <f>D43+E43</f>
        <v>-2.0000000000000002E-5</v>
      </c>
    </row>
    <row r="44" spans="3:6" ht="13" x14ac:dyDescent="0.3">
      <c r="C44" s="23" t="s">
        <v>157</v>
      </c>
      <c r="D44" s="25"/>
      <c r="E44" s="25"/>
      <c r="F44" s="25"/>
    </row>
    <row r="45" spans="3:6" x14ac:dyDescent="0.25">
      <c r="C45" s="20" t="s">
        <v>227</v>
      </c>
      <c r="D45" s="22">
        <f>(BDBG!D48)/1000</f>
        <v>57517.399270000002</v>
      </c>
      <c r="E45" s="22">
        <f>(BDBG!Q48)/1000</f>
        <v>0</v>
      </c>
      <c r="F45" s="22">
        <f>D45+E45</f>
        <v>57517.399270000002</v>
      </c>
    </row>
    <row r="46" spans="3:6" ht="13" x14ac:dyDescent="0.3">
      <c r="C46" s="23" t="s">
        <v>228</v>
      </c>
      <c r="D46" s="24">
        <f>(BDBG!D49)/1000</f>
        <v>57517.399270000002</v>
      </c>
      <c r="E46" s="24">
        <f>(BDBG!Q49)/1000</f>
        <v>0</v>
      </c>
      <c r="F46" s="24">
        <f>D46+E46</f>
        <v>57517.399270000002</v>
      </c>
    </row>
    <row r="47" spans="3:6" ht="13" x14ac:dyDescent="0.3">
      <c r="C47" s="23" t="s">
        <v>229</v>
      </c>
      <c r="D47" s="25"/>
      <c r="E47" s="25"/>
      <c r="F47" s="25"/>
    </row>
    <row r="48" spans="3:6" x14ac:dyDescent="0.25">
      <c r="C48" s="20" t="s">
        <v>158</v>
      </c>
      <c r="D48" s="21">
        <f>(BDBG!D51)/1000</f>
        <v>44066.631249999999</v>
      </c>
      <c r="E48" s="21">
        <f>(BDBG!Q51)/1000</f>
        <v>8311.7523299999993</v>
      </c>
      <c r="F48" s="21">
        <f t="shared" ref="F48:F55" si="4">D48+E48</f>
        <v>52378.383579999994</v>
      </c>
    </row>
    <row r="49" spans="3:6" x14ac:dyDescent="0.25">
      <c r="C49" s="20" t="s">
        <v>230</v>
      </c>
      <c r="D49" s="22">
        <f>(BDBG!D52)/1000</f>
        <v>1417.7467900000001</v>
      </c>
      <c r="E49" s="22">
        <f>(BDBG!Q52)/1000</f>
        <v>8.7489599999999985</v>
      </c>
      <c r="F49" s="22">
        <f t="shared" si="4"/>
        <v>1426.49575</v>
      </c>
    </row>
    <row r="50" spans="3:6" x14ac:dyDescent="0.25">
      <c r="C50" s="20" t="s">
        <v>231</v>
      </c>
      <c r="D50" s="22">
        <f>(BDBG!D53)/1000</f>
        <v>237449.36403</v>
      </c>
      <c r="E50" s="22">
        <f>(BDBG!Q53)/1000</f>
        <v>18869.08353</v>
      </c>
      <c r="F50" s="22">
        <f t="shared" si="4"/>
        <v>256318.44756</v>
      </c>
    </row>
    <row r="51" spans="3:6" x14ac:dyDescent="0.25">
      <c r="C51" s="20" t="s">
        <v>232</v>
      </c>
      <c r="D51" s="22">
        <f>(BDBG!D54)/1000</f>
        <v>11497.434220000001</v>
      </c>
      <c r="E51" s="22">
        <f>(BDBG!Q54)/1000</f>
        <v>1111.0912700000001</v>
      </c>
      <c r="F51" s="22">
        <f t="shared" si="4"/>
        <v>12608.525490000002</v>
      </c>
    </row>
    <row r="52" spans="3:6" x14ac:dyDescent="0.25">
      <c r="C52" s="20" t="s">
        <v>160</v>
      </c>
      <c r="D52" s="22">
        <f>(BDBG!D55)/1000</f>
        <v>-41.092140000000001</v>
      </c>
      <c r="E52" s="22">
        <f>(BDBG!Q55)/1000</f>
        <v>0</v>
      </c>
      <c r="F52" s="22">
        <f t="shared" si="4"/>
        <v>-41.092140000000001</v>
      </c>
    </row>
    <row r="53" spans="3:6" x14ac:dyDescent="0.25">
      <c r="C53" s="20" t="s">
        <v>233</v>
      </c>
      <c r="D53" s="26">
        <f>(BDBG!D56)/1000</f>
        <v>0</v>
      </c>
      <c r="E53" s="26">
        <f>(BDBG!Q56)/1000</f>
        <v>0</v>
      </c>
      <c r="F53" s="26">
        <f t="shared" si="4"/>
        <v>0</v>
      </c>
    </row>
    <row r="54" spans="3:6" ht="13" x14ac:dyDescent="0.3">
      <c r="C54" s="23" t="s">
        <v>234</v>
      </c>
      <c r="D54" s="31">
        <f>(BDBG!D57)/1000</f>
        <v>294390.08414999995</v>
      </c>
      <c r="E54" s="31">
        <f>(BDBG!Q57)/1000</f>
        <v>28300.676090000001</v>
      </c>
      <c r="F54" s="31">
        <f t="shared" si="4"/>
        <v>322690.76023999997</v>
      </c>
    </row>
    <row r="55" spans="3:6" ht="13" x14ac:dyDescent="0.3">
      <c r="C55" s="30" t="s">
        <v>159</v>
      </c>
      <c r="D55" s="27">
        <f>(BDBG!D58)/1000</f>
        <v>361922.26149</v>
      </c>
      <c r="E55" s="27">
        <f>(BDBG!Q58)/1000</f>
        <v>31388.246170000002</v>
      </c>
      <c r="F55" s="27">
        <f t="shared" si="4"/>
        <v>393310.50766</v>
      </c>
    </row>
    <row r="56" spans="3:6" x14ac:dyDescent="0.25">
      <c r="C56" s="1" t="s">
        <v>235</v>
      </c>
      <c r="D56" s="1">
        <f>(BDBG!D59)/1000</f>
        <v>0</v>
      </c>
      <c r="E56" s="1">
        <f>(BDBG!Q59)/1000</f>
        <v>0</v>
      </c>
      <c r="F56" s="1">
        <f>D56+E56</f>
        <v>0</v>
      </c>
    </row>
  </sheetData>
  <phoneticPr fontId="0" type="noConversion"/>
  <pageMargins left="0.74803149606299213" right="0.74803149606299213" top="0.51181102362204722" bottom="0.43307086614173229" header="0.51181102362204722" footer="0.27559055118110237"/>
  <pageSetup scale="70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">
    <pageSetUpPr fitToPage="1"/>
  </sheetPr>
  <dimension ref="A2:AJ139"/>
  <sheetViews>
    <sheetView showGridLines="0" topLeftCell="F1" zoomScale="110" zoomScaleNormal="110" workbookViewId="0">
      <selection activeCell="N7" sqref="N7:X29"/>
    </sheetView>
  </sheetViews>
  <sheetFormatPr baseColWidth="10" defaultColWidth="9.1796875" defaultRowHeight="12.65" customHeight="1" x14ac:dyDescent="0.25"/>
  <cols>
    <col min="1" max="1" width="9.1796875" style="356" customWidth="1"/>
    <col min="2" max="2" width="25.1796875" style="356" customWidth="1"/>
    <col min="3" max="3" width="8.26953125" style="356" customWidth="1"/>
    <col min="4" max="4" width="9.1796875" style="361" bestFit="1" customWidth="1"/>
    <col min="5" max="5" width="9.1796875" style="356" customWidth="1"/>
    <col min="6" max="6" width="7.453125" style="361" customWidth="1"/>
    <col min="7" max="7" width="8.54296875" style="356" customWidth="1"/>
    <col min="8" max="8" width="9.453125" style="361" customWidth="1"/>
    <col min="9" max="9" width="9.26953125" style="356" customWidth="1"/>
    <col min="10" max="10" width="11.453125" style="361" customWidth="1"/>
    <col min="11" max="11" width="8.1796875" style="356" bestFit="1" customWidth="1"/>
    <col min="12" max="12" width="10.26953125" style="361" customWidth="1"/>
    <col min="13" max="13" width="7.54296875" style="356" customWidth="1"/>
    <col min="14" max="14" width="25.1796875" style="356" customWidth="1"/>
    <col min="15" max="15" width="8.26953125" style="356" customWidth="1"/>
    <col min="16" max="16" width="9.1796875" style="356" bestFit="1" customWidth="1"/>
    <col min="17" max="17" width="9.1796875" style="356" customWidth="1"/>
    <col min="18" max="18" width="7.453125" style="356" customWidth="1"/>
    <col min="19" max="19" width="8.54296875" style="356" customWidth="1"/>
    <col min="20" max="20" width="9.453125" style="356" customWidth="1"/>
    <col min="21" max="21" width="9.26953125" style="356" customWidth="1"/>
    <col min="22" max="22" width="11.453125" style="356" customWidth="1"/>
    <col min="23" max="23" width="8.1796875" style="356" bestFit="1" customWidth="1"/>
    <col min="24" max="24" width="10.26953125" style="356" customWidth="1"/>
    <col min="25" max="25" width="8.453125" style="356" customWidth="1"/>
    <col min="26" max="26" width="25.1796875" style="356" customWidth="1"/>
    <col min="27" max="27" width="8.26953125" style="356" customWidth="1"/>
    <col min="28" max="28" width="9.1796875" style="361" bestFit="1" customWidth="1"/>
    <col min="29" max="29" width="9.1796875" style="356" customWidth="1"/>
    <col min="30" max="30" width="7.453125" style="361" customWidth="1"/>
    <col min="31" max="31" width="8.54296875" style="356" customWidth="1"/>
    <col min="32" max="32" width="9.453125" style="361" customWidth="1"/>
    <col min="33" max="33" width="9.26953125" style="356" customWidth="1"/>
    <col min="34" max="34" width="11.453125" style="361" customWidth="1"/>
    <col min="35" max="35" width="8.1796875" style="356" bestFit="1" customWidth="1"/>
    <col min="36" max="36" width="10.26953125" style="361" customWidth="1"/>
    <col min="37" max="16384" width="9.1796875" style="356"/>
  </cols>
  <sheetData>
    <row r="2" spans="2:36" ht="12.65" customHeight="1" x14ac:dyDescent="0.3">
      <c r="B2" s="489" t="s">
        <v>109</v>
      </c>
      <c r="C2" s="490"/>
      <c r="D2" s="490"/>
      <c r="E2" s="490"/>
      <c r="F2" s="490"/>
      <c r="G2" s="490"/>
      <c r="H2" s="490"/>
      <c r="I2" s="490"/>
      <c r="J2" s="490"/>
      <c r="K2" s="490"/>
      <c r="L2" s="491"/>
      <c r="M2" s="201"/>
      <c r="N2" s="492" t="s">
        <v>109</v>
      </c>
      <c r="O2" s="493"/>
      <c r="P2" s="493"/>
      <c r="Q2" s="493"/>
      <c r="R2" s="493"/>
      <c r="S2" s="493"/>
      <c r="T2" s="493"/>
      <c r="U2" s="493"/>
      <c r="V2" s="493"/>
      <c r="W2" s="493"/>
      <c r="X2" s="494"/>
      <c r="Z2" s="479" t="s">
        <v>109</v>
      </c>
      <c r="AA2" s="480"/>
      <c r="AB2" s="480"/>
      <c r="AC2" s="480"/>
      <c r="AD2" s="480"/>
      <c r="AE2" s="480"/>
      <c r="AF2" s="480"/>
      <c r="AG2" s="480"/>
      <c r="AH2" s="480"/>
      <c r="AI2" s="480"/>
      <c r="AJ2" s="481"/>
    </row>
    <row r="3" spans="2:36" ht="12.65" customHeight="1" x14ac:dyDescent="0.3">
      <c r="B3" s="486" t="s">
        <v>255</v>
      </c>
      <c r="C3" s="487"/>
      <c r="D3" s="487"/>
      <c r="E3" s="487"/>
      <c r="F3" s="487"/>
      <c r="G3" s="487"/>
      <c r="H3" s="487"/>
      <c r="I3" s="487"/>
      <c r="J3" s="487"/>
      <c r="K3" s="487"/>
      <c r="L3" s="488"/>
      <c r="M3" s="201"/>
      <c r="N3" s="495" t="s">
        <v>256</v>
      </c>
      <c r="O3" s="496"/>
      <c r="P3" s="496"/>
      <c r="Q3" s="496"/>
      <c r="R3" s="496"/>
      <c r="S3" s="496"/>
      <c r="T3" s="496"/>
      <c r="U3" s="496"/>
      <c r="V3" s="496"/>
      <c r="W3" s="496"/>
      <c r="X3" s="497"/>
      <c r="Z3" s="482" t="s">
        <v>257</v>
      </c>
      <c r="AA3" s="483"/>
      <c r="AB3" s="483"/>
      <c r="AC3" s="483"/>
      <c r="AD3" s="483"/>
      <c r="AE3" s="483"/>
      <c r="AF3" s="483"/>
      <c r="AG3" s="483"/>
      <c r="AH3" s="483"/>
      <c r="AI3" s="483"/>
      <c r="AJ3" s="484"/>
    </row>
    <row r="4" spans="2:36" ht="12.65" customHeight="1" x14ac:dyDescent="0.3">
      <c r="B4" s="485"/>
      <c r="C4" s="485"/>
      <c r="D4" s="485"/>
      <c r="E4" s="485"/>
      <c r="F4" s="485"/>
      <c r="G4" s="485"/>
      <c r="H4" s="485"/>
      <c r="I4" s="485"/>
      <c r="J4" s="485"/>
      <c r="K4" s="485"/>
      <c r="L4" s="485"/>
      <c r="M4" s="123"/>
      <c r="N4" s="123"/>
      <c r="Z4" s="485"/>
      <c r="AA4" s="485"/>
      <c r="AB4" s="485"/>
      <c r="AC4" s="485"/>
      <c r="AD4" s="485"/>
      <c r="AE4" s="485"/>
      <c r="AF4" s="485"/>
      <c r="AG4" s="485"/>
      <c r="AH4" s="485"/>
      <c r="AI4" s="485"/>
      <c r="AJ4" s="485"/>
    </row>
    <row r="5" spans="2:36" ht="12.65" customHeight="1" x14ac:dyDescent="0.3">
      <c r="B5" s="357" t="s">
        <v>109</v>
      </c>
      <c r="C5" s="339"/>
      <c r="D5" s="339"/>
      <c r="E5" s="339"/>
      <c r="F5" s="339"/>
      <c r="G5" s="339"/>
      <c r="H5" s="339"/>
      <c r="I5" s="339"/>
      <c r="J5" s="339"/>
      <c r="K5" s="339"/>
      <c r="L5" s="358" t="str">
        <f>+X5</f>
        <v>08/2019</v>
      </c>
      <c r="M5" s="123"/>
      <c r="N5" s="357" t="s">
        <v>109</v>
      </c>
      <c r="X5" s="358" t="str">
        <f>+X63</f>
        <v>08/2019</v>
      </c>
      <c r="Z5" s="357" t="s">
        <v>109</v>
      </c>
      <c r="AA5" s="339"/>
      <c r="AB5" s="339"/>
      <c r="AC5" s="339"/>
      <c r="AD5" s="339"/>
      <c r="AE5" s="339"/>
      <c r="AF5" s="339"/>
      <c r="AG5" s="339"/>
      <c r="AH5" s="339"/>
      <c r="AI5" s="339"/>
      <c r="AJ5" s="358">
        <f>+AJ63</f>
        <v>43738</v>
      </c>
    </row>
    <row r="6" spans="2:36" ht="12.65" customHeight="1" x14ac:dyDescent="0.3">
      <c r="B6" s="359" t="s">
        <v>253</v>
      </c>
      <c r="C6" s="360"/>
      <c r="E6" s="362"/>
      <c r="G6" s="362"/>
      <c r="I6" s="362"/>
      <c r="J6" s="356"/>
      <c r="L6" s="356"/>
      <c r="N6" s="359" t="s">
        <v>32</v>
      </c>
      <c r="O6" s="360"/>
      <c r="P6" s="361"/>
      <c r="Q6" s="362"/>
      <c r="R6" s="361"/>
      <c r="S6" s="362"/>
      <c r="T6" s="362"/>
      <c r="Z6" s="359" t="s">
        <v>391</v>
      </c>
      <c r="AA6" s="360"/>
      <c r="AC6" s="362"/>
      <c r="AE6" s="362"/>
      <c r="AG6" s="362"/>
      <c r="AH6" s="356"/>
      <c r="AJ6" s="356"/>
    </row>
    <row r="7" spans="2:36" ht="12.65" customHeight="1" x14ac:dyDescent="0.3">
      <c r="B7" s="363"/>
      <c r="C7" s="201" t="s">
        <v>2</v>
      </c>
      <c r="E7" s="363" t="s">
        <v>10</v>
      </c>
      <c r="G7" s="201" t="s">
        <v>110</v>
      </c>
      <c r="I7" s="363" t="s">
        <v>111</v>
      </c>
      <c r="K7" s="363" t="s">
        <v>112</v>
      </c>
      <c r="M7" s="362"/>
      <c r="N7" s="363"/>
      <c r="O7" s="201" t="s">
        <v>2</v>
      </c>
      <c r="P7" s="361"/>
      <c r="Q7" s="363" t="s">
        <v>10</v>
      </c>
      <c r="R7" s="361"/>
      <c r="S7" s="201" t="s">
        <v>110</v>
      </c>
      <c r="T7" s="361"/>
      <c r="U7" s="363" t="s">
        <v>111</v>
      </c>
      <c r="V7" s="361"/>
      <c r="W7" s="363" t="s">
        <v>112</v>
      </c>
      <c r="X7" s="361"/>
      <c r="Z7" s="363"/>
      <c r="AA7" s="201" t="s">
        <v>2</v>
      </c>
      <c r="AC7" s="363" t="s">
        <v>10</v>
      </c>
      <c r="AE7" s="201" t="s">
        <v>110</v>
      </c>
      <c r="AG7" s="363" t="s">
        <v>111</v>
      </c>
      <c r="AI7" s="363" t="s">
        <v>112</v>
      </c>
    </row>
    <row r="8" spans="2:36" ht="12.65" customHeight="1" x14ac:dyDescent="0.25">
      <c r="B8" s="129" t="s">
        <v>236</v>
      </c>
      <c r="C8" s="364">
        <f t="shared" ref="C8:C29" si="0">+G33</f>
        <v>0</v>
      </c>
      <c r="D8" s="155" t="str">
        <f>IF(C$8=0,"N.D.",C8/C$8)</f>
        <v>N.D.</v>
      </c>
      <c r="E8" s="364">
        <f>E66+E93</f>
        <v>4542.2469999999994</v>
      </c>
      <c r="F8" s="155">
        <f>IF(E$8=0,"N.D.",E8/E$8)</f>
        <v>1</v>
      </c>
      <c r="G8" s="364">
        <f>G66+G93</f>
        <v>3552.8068199999998</v>
      </c>
      <c r="H8" s="155">
        <f>IF(G$8=0,"N.D.",G8/G$8)</f>
        <v>1</v>
      </c>
      <c r="I8" s="364">
        <f>C8-E8</f>
        <v>-4542.2469999999994</v>
      </c>
      <c r="J8" s="155">
        <f>IF(E8=0,"N.D.",C8/E8-1)</f>
        <v>-1</v>
      </c>
      <c r="K8" s="364">
        <f>C8-G8</f>
        <v>-3552.8068199999998</v>
      </c>
      <c r="L8" s="155">
        <f>IF(G8=0,"N.D.",C8/G8-1)</f>
        <v>-1</v>
      </c>
      <c r="N8" s="129" t="s">
        <v>236</v>
      </c>
      <c r="O8" s="364">
        <f t="shared" ref="O8:O15" si="1">+S33</f>
        <v>31130.501189999999</v>
      </c>
      <c r="P8" s="155">
        <f>IF(O$8=0,"N.D.",O8/O$8)</f>
        <v>1</v>
      </c>
      <c r="Q8" s="364">
        <f>Q66+Q93</f>
        <v>34833.929000000004</v>
      </c>
      <c r="R8" s="155">
        <f>IF(Q$8=0,"N.D.",Q8/Q$8)</f>
        <v>1</v>
      </c>
      <c r="S8" s="364">
        <f>S66+S93</f>
        <v>18394.108990000001</v>
      </c>
      <c r="T8" s="155">
        <f>IF(S$8=0,"N.D.",S8/S$8)</f>
        <v>1</v>
      </c>
      <c r="U8" s="364">
        <f>O8-Q8</f>
        <v>-3703.4278100000047</v>
      </c>
      <c r="V8" s="155">
        <f>IF(Q8=0,"N.D.",O8/Q8-1)</f>
        <v>-0.1063166836563284</v>
      </c>
      <c r="W8" s="364">
        <f>O8-S8</f>
        <v>12736.392199999998</v>
      </c>
      <c r="X8" s="155">
        <f>IF(S8=0,"N.D.",O8/S8-1)</f>
        <v>0.69241691494402735</v>
      </c>
      <c r="Z8" s="129" t="s">
        <v>236</v>
      </c>
      <c r="AA8" s="364">
        <f t="shared" ref="AA8:AA29" si="2">+AE33</f>
        <v>5295</v>
      </c>
      <c r="AB8" s="155">
        <f>IF(AA$8=0,"N.D.",AA8/AA$8)</f>
        <v>1</v>
      </c>
      <c r="AC8" s="364">
        <f ca="1">AC66+AC93</f>
        <v>3066.1419999999998</v>
      </c>
      <c r="AD8" s="155">
        <f ca="1">IF(AC$8=0,"N.D.",AC8/AC$8)</f>
        <v>1</v>
      </c>
      <c r="AE8" s="364">
        <f ca="1">AE66+AE93</f>
        <v>4618.2929999999997</v>
      </c>
      <c r="AF8" s="155">
        <f ca="1">IF(AE$8=0,"N.D.",AE8/AE$8)</f>
        <v>1</v>
      </c>
      <c r="AG8" s="364">
        <f ca="1">AA8-AC8</f>
        <v>2228.8580000000002</v>
      </c>
      <c r="AH8" s="155">
        <f ca="1">IF(AC8=0,"N.D.",AA8/AC8-1)</f>
        <v>0.72692588927714374</v>
      </c>
      <c r="AI8" s="364">
        <f ca="1">AA8-AE8</f>
        <v>676.70700000000033</v>
      </c>
      <c r="AJ8" s="155">
        <f ca="1">IF(AE8=0,"N.D.",AA8/AE8-1)</f>
        <v>0.14652751568599065</v>
      </c>
    </row>
    <row r="9" spans="2:36" ht="12.65" customHeight="1" x14ac:dyDescent="0.25">
      <c r="B9" s="129" t="s">
        <v>145</v>
      </c>
      <c r="C9" s="365">
        <f t="shared" si="0"/>
        <v>0</v>
      </c>
      <c r="D9" s="156" t="str">
        <f>IF(C$8=0,"N.D.",C9/C$8)</f>
        <v>N.D.</v>
      </c>
      <c r="E9" s="365">
        <f>E67+E94</f>
        <v>2421.3540000000003</v>
      </c>
      <c r="F9" s="156">
        <f>IF(E$8=0,"N.D.",E9/E$8)</f>
        <v>0.53307404903344102</v>
      </c>
      <c r="G9" s="365">
        <f>G67+G94</f>
        <v>2260.72361</v>
      </c>
      <c r="H9" s="156">
        <f>IF(G$8=0,"N.D.",G9/G$8)</f>
        <v>0.63632044311376323</v>
      </c>
      <c r="I9" s="365">
        <f t="shared" ref="I9:I29" si="3">C9-E9</f>
        <v>-2421.3540000000003</v>
      </c>
      <c r="J9" s="156">
        <f>IF(E9=0,"N.D.",C9/E9-1)</f>
        <v>-1</v>
      </c>
      <c r="K9" s="365">
        <f t="shared" ref="K9:K29" si="4">C9-G9</f>
        <v>-2260.72361</v>
      </c>
      <c r="L9" s="156">
        <f t="shared" ref="L9:L29" si="5">IF(G9=0,"N.D.",C9/G9-1)</f>
        <v>-1</v>
      </c>
      <c r="N9" s="129" t="s">
        <v>145</v>
      </c>
      <c r="O9" s="365">
        <f t="shared" si="1"/>
        <v>18338.27435</v>
      </c>
      <c r="P9" s="156">
        <f>IF(O$8=0,"N.D.",O9/O$8)</f>
        <v>0.58907738870233073</v>
      </c>
      <c r="Q9" s="365">
        <f>Q67+Q94</f>
        <v>21070.491999999998</v>
      </c>
      <c r="R9" s="156">
        <f>IF(Q$8=0,"N.D.",Q9/Q$8)</f>
        <v>0.60488416336842155</v>
      </c>
      <c r="S9" s="365">
        <f>S67+S94</f>
        <v>11085.34806</v>
      </c>
      <c r="T9" s="156">
        <f>IF(S$8=0,"N.D.",S9/S$8)</f>
        <v>0.60265751747076057</v>
      </c>
      <c r="U9" s="365">
        <f t="shared" ref="U9:U29" si="6">O9-Q9</f>
        <v>-2732.2176499999987</v>
      </c>
      <c r="V9" s="156">
        <f t="shared" ref="V9:V29" si="7">IF(Q9=0,"N.D.",O9/Q9-1)</f>
        <v>-0.1296703299571742</v>
      </c>
      <c r="W9" s="365">
        <f t="shared" ref="W9:W29" si="8">O9-S9</f>
        <v>7252.9262899999994</v>
      </c>
      <c r="X9" s="156">
        <f t="shared" ref="X9:X29" si="9">IF(S9=0,"N.D.",O9/S9-1)</f>
        <v>0.65428042951318921</v>
      </c>
      <c r="Z9" s="129" t="s">
        <v>145</v>
      </c>
      <c r="AA9" s="365">
        <f t="shared" si="2"/>
        <v>2793</v>
      </c>
      <c r="AB9" s="156">
        <f>IF(AA$8=0,"N.D.",AA9/AA$8)</f>
        <v>0.52747875354107654</v>
      </c>
      <c r="AC9" s="365">
        <f ca="1">AC67+AC94</f>
        <v>1597.6109999999999</v>
      </c>
      <c r="AD9" s="156">
        <f ca="1">IF(AC$8=0,"N.D.",AC9/AC$8)</f>
        <v>0.5210492534266189</v>
      </c>
      <c r="AE9" s="365">
        <f ca="1">AE67+AE94</f>
        <v>2546.223</v>
      </c>
      <c r="AF9" s="156">
        <f ca="1">IF(AE$8=0,"N.D.",AE9/AE$8)</f>
        <v>0.5513342267370217</v>
      </c>
      <c r="AG9" s="365">
        <f t="shared" ref="AG9:AG10" ca="1" si="10">AA9-AC9</f>
        <v>1195.3890000000001</v>
      </c>
      <c r="AH9" s="156">
        <f ca="1">IF(AC9=0,"N.D.",AA9/AC9-1)</f>
        <v>0.74823533388290397</v>
      </c>
      <c r="AI9" s="365">
        <f t="shared" ref="AI9:AI10" ca="1" si="11">AA9-AE9</f>
        <v>246.77700000000004</v>
      </c>
      <c r="AJ9" s="156">
        <f t="shared" ref="AJ9:AJ10" ca="1" si="12">IF(AE9=0,"N.D.",AA9/AE9-1)</f>
        <v>9.6918848034912797E-2</v>
      </c>
    </row>
    <row r="10" spans="2:36" ht="12.65" customHeight="1" x14ac:dyDescent="0.3">
      <c r="B10" s="139" t="s">
        <v>237</v>
      </c>
      <c r="C10" s="366">
        <f t="shared" si="0"/>
        <v>0</v>
      </c>
      <c r="D10" s="157" t="str">
        <f>IF(C$8=0,"N.D.",C10/C$8)</f>
        <v>N.D.</v>
      </c>
      <c r="E10" s="366">
        <f>E68+E95</f>
        <v>2120.893</v>
      </c>
      <c r="F10" s="157">
        <f>IF(E$8=0,"N.D.",E10/E$8)</f>
        <v>0.46692595096655914</v>
      </c>
      <c r="G10" s="366">
        <f>G68+G95</f>
        <v>1292.08321</v>
      </c>
      <c r="H10" s="157">
        <f>IF(G$8=0,"N.D.",G10/G$8)</f>
        <v>0.36367955688623682</v>
      </c>
      <c r="I10" s="366">
        <f t="shared" si="3"/>
        <v>-2120.893</v>
      </c>
      <c r="J10" s="157">
        <f>IF(E10=0,"N.D.",C10/E10-1)</f>
        <v>-1</v>
      </c>
      <c r="K10" s="366">
        <f t="shared" si="4"/>
        <v>-1292.08321</v>
      </c>
      <c r="L10" s="157">
        <f t="shared" si="5"/>
        <v>-1</v>
      </c>
      <c r="N10" s="139" t="s">
        <v>237</v>
      </c>
      <c r="O10" s="366">
        <f t="shared" si="1"/>
        <v>12792.226839999999</v>
      </c>
      <c r="P10" s="157">
        <f>IF(O$8=0,"N.D.",O10/O$8)</f>
        <v>0.41092261129766922</v>
      </c>
      <c r="Q10" s="366">
        <f>Q68+Q95</f>
        <v>13763.437</v>
      </c>
      <c r="R10" s="157">
        <f>IF(Q$8=0,"N.D.",Q10/Q$8)</f>
        <v>0.39511583663157834</v>
      </c>
      <c r="S10" s="366">
        <f>S68+S95</f>
        <v>7308.7609299999995</v>
      </c>
      <c r="T10" s="157">
        <f>IF(S$8=0,"N.D.",S10/S$8)</f>
        <v>0.39734248252923932</v>
      </c>
      <c r="U10" s="366">
        <f t="shared" si="6"/>
        <v>-971.21016000000054</v>
      </c>
      <c r="V10" s="157">
        <f t="shared" si="7"/>
        <v>-7.0564507978639335E-2</v>
      </c>
      <c r="W10" s="366">
        <f t="shared" si="8"/>
        <v>5483.4659099999999</v>
      </c>
      <c r="X10" s="157">
        <f t="shared" si="9"/>
        <v>0.75025930694931087</v>
      </c>
      <c r="Z10" s="139" t="s">
        <v>237</v>
      </c>
      <c r="AA10" s="366">
        <f t="shared" si="2"/>
        <v>2502</v>
      </c>
      <c r="AB10" s="157">
        <f>IF(AA$8=0,"N.D.",AA10/AA$8)</f>
        <v>0.47252124645892352</v>
      </c>
      <c r="AC10" s="366">
        <f ca="1">AC68+AC95</f>
        <v>1468.5309999999999</v>
      </c>
      <c r="AD10" s="157">
        <f ca="1">IF(AC$8=0,"N.D.",AC10/AC$8)</f>
        <v>0.47895074657338116</v>
      </c>
      <c r="AE10" s="366">
        <f ca="1">AE68+AE95</f>
        <v>2072.0699999999997</v>
      </c>
      <c r="AF10" s="157">
        <f ca="1">IF(AE$8=0,"N.D.",AE10/AE$8)</f>
        <v>0.4486657732629783</v>
      </c>
      <c r="AG10" s="366">
        <f t="shared" ca="1" si="10"/>
        <v>1033.4690000000001</v>
      </c>
      <c r="AH10" s="157">
        <f ca="1">IF(AC10=0,"N.D.",AA10/AC10-1)</f>
        <v>0.70374340071813268</v>
      </c>
      <c r="AI10" s="366">
        <f t="shared" ca="1" si="11"/>
        <v>429.93000000000029</v>
      </c>
      <c r="AJ10" s="157">
        <f t="shared" ca="1" si="12"/>
        <v>0.20748816400990333</v>
      </c>
    </row>
    <row r="11" spans="2:36" ht="12.65" customHeight="1" x14ac:dyDescent="0.25">
      <c r="B11" s="129"/>
      <c r="C11" s="362"/>
      <c r="D11" s="158"/>
      <c r="E11" s="362"/>
      <c r="F11" s="158"/>
      <c r="G11" s="362"/>
      <c r="H11" s="158"/>
      <c r="I11" s="362"/>
      <c r="J11" s="158"/>
      <c r="K11" s="362"/>
      <c r="L11" s="158"/>
      <c r="N11" s="129"/>
      <c r="O11" s="362"/>
      <c r="P11" s="158"/>
      <c r="Q11" s="362"/>
      <c r="R11" s="158"/>
      <c r="S11" s="362"/>
      <c r="T11" s="158"/>
      <c r="U11" s="362"/>
      <c r="V11" s="158"/>
      <c r="W11" s="362"/>
      <c r="X11" s="158"/>
      <c r="Z11" s="129"/>
      <c r="AA11" s="362">
        <f t="shared" si="2"/>
        <v>0</v>
      </c>
      <c r="AB11" s="158"/>
      <c r="AC11" s="362"/>
      <c r="AD11" s="158"/>
      <c r="AE11" s="362"/>
      <c r="AF11" s="158"/>
      <c r="AG11" s="362"/>
      <c r="AH11" s="158"/>
      <c r="AI11" s="362"/>
      <c r="AJ11" s="158"/>
    </row>
    <row r="12" spans="2:36" ht="12.65" customHeight="1" x14ac:dyDescent="0.25">
      <c r="B12" s="129" t="s">
        <v>238</v>
      </c>
      <c r="C12" s="364">
        <f t="shared" si="0"/>
        <v>0</v>
      </c>
      <c r="D12" s="155" t="str">
        <f>IF(C$8=0,"N.D.",C12/C$8)</f>
        <v>N.D.</v>
      </c>
      <c r="E12" s="364">
        <f>E70+E97</f>
        <v>152.447</v>
      </c>
      <c r="F12" s="155">
        <f>IF(E$8=0,"N.D.",E12/E$8)</f>
        <v>3.3562023377416511E-2</v>
      </c>
      <c r="G12" s="364">
        <f>G70+G97</f>
        <v>74.353750000000005</v>
      </c>
      <c r="H12" s="155">
        <f>IF(G$8=0,"N.D.",G12/G$8)</f>
        <v>2.0928171377468819E-2</v>
      </c>
      <c r="I12" s="364">
        <f t="shared" si="3"/>
        <v>-152.447</v>
      </c>
      <c r="J12" s="155">
        <f>IF(E12=0,"N.D.",C12/E12-1)</f>
        <v>-1</v>
      </c>
      <c r="K12" s="364">
        <f t="shared" si="4"/>
        <v>-74.353750000000005</v>
      </c>
      <c r="L12" s="155">
        <f t="shared" si="5"/>
        <v>-1</v>
      </c>
      <c r="N12" s="129" t="s">
        <v>238</v>
      </c>
      <c r="O12" s="364">
        <f t="shared" si="1"/>
        <v>955.77688999999998</v>
      </c>
      <c r="P12" s="155">
        <f>IF(O$8=0,"N.D.",O12/O$8)</f>
        <v>3.0702264771343375E-2</v>
      </c>
      <c r="Q12" s="364">
        <f>Q70+Q97</f>
        <v>962.92100000000005</v>
      </c>
      <c r="R12" s="155">
        <f>IF(Q$8=0,"N.D.",Q12/Q$8)</f>
        <v>2.764319235995457E-2</v>
      </c>
      <c r="S12" s="364">
        <f>S70+S97</f>
        <v>596.73118999999997</v>
      </c>
      <c r="T12" s="155">
        <f>IF(S$8=0,"N.D.",S12/S$8)</f>
        <v>3.2441429499217071E-2</v>
      </c>
      <c r="U12" s="364">
        <f t="shared" si="6"/>
        <v>-7.1441100000000688</v>
      </c>
      <c r="V12" s="155">
        <f t="shared" si="7"/>
        <v>-7.4192067677411044E-3</v>
      </c>
      <c r="W12" s="364">
        <f t="shared" si="8"/>
        <v>359.04570000000001</v>
      </c>
      <c r="X12" s="155">
        <f t="shared" si="9"/>
        <v>0.6016875035474516</v>
      </c>
      <c r="Z12" s="129" t="s">
        <v>238</v>
      </c>
      <c r="AA12" s="364">
        <f t="shared" si="2"/>
        <v>128</v>
      </c>
      <c r="AB12" s="155">
        <f>IF(AA$8=0,"N.D.",AA12/AA$8)</f>
        <v>2.4173748819641169E-2</v>
      </c>
      <c r="AC12" s="364">
        <f ca="1">AC70+AC97</f>
        <v>99.844999999999999</v>
      </c>
      <c r="AD12" s="155">
        <f ca="1">IF(AC$8=0,"N.D.",AC12/AC$8)</f>
        <v>3.256372340224295E-2</v>
      </c>
      <c r="AE12" s="364">
        <f ca="1">AE70+AE97</f>
        <v>143.744</v>
      </c>
      <c r="AF12" s="155">
        <f ca="1">IF(AE$8=0,"N.D.",AE12/AE$8)</f>
        <v>3.1124919965017379E-2</v>
      </c>
      <c r="AG12" s="364">
        <f t="shared" ref="AG12:AG16" ca="1" si="13">AA12-AC12</f>
        <v>28.155000000000001</v>
      </c>
      <c r="AH12" s="155">
        <f ca="1">IF(AC12=0,"N.D.",AA12/AC12-1)</f>
        <v>0.28198707997395966</v>
      </c>
      <c r="AI12" s="364">
        <f t="shared" ref="AI12:AI16" ca="1" si="14">AA12-AE12</f>
        <v>-15.744</v>
      </c>
      <c r="AJ12" s="155">
        <f t="shared" ref="AJ12:AJ16" ca="1" si="15">IF(AE12=0,"N.D.",AA12/AE12-1)</f>
        <v>-0.10952804986642917</v>
      </c>
    </row>
    <row r="13" spans="2:36" ht="12.65" customHeight="1" x14ac:dyDescent="0.25">
      <c r="B13" s="129" t="s">
        <v>239</v>
      </c>
      <c r="C13" s="365">
        <f t="shared" si="0"/>
        <v>0</v>
      </c>
      <c r="D13" s="159" t="str">
        <f>IF(C$8=0,"N.D.",C13/C$8)</f>
        <v>N.D.</v>
      </c>
      <c r="E13" s="365">
        <f>E71+E98</f>
        <v>291.55</v>
      </c>
      <c r="F13" s="159">
        <f>IF(E$8=0,"N.D.",E13/E$8)</f>
        <v>6.4186293700012359E-2</v>
      </c>
      <c r="G13" s="365">
        <f>G71+G98</f>
        <v>238.59606000000002</v>
      </c>
      <c r="H13" s="159">
        <f>IF(G$8=0,"N.D.",G13/G$8)</f>
        <v>6.7157059780694764E-2</v>
      </c>
      <c r="I13" s="365">
        <f t="shared" si="3"/>
        <v>-291.55</v>
      </c>
      <c r="J13" s="159">
        <f>IF(E13=0,"N.D.",C13/E13-1)</f>
        <v>-1</v>
      </c>
      <c r="K13" s="365">
        <f t="shared" si="4"/>
        <v>-238.59606000000002</v>
      </c>
      <c r="L13" s="159">
        <f t="shared" si="5"/>
        <v>-1</v>
      </c>
      <c r="N13" s="129" t="s">
        <v>239</v>
      </c>
      <c r="O13" s="365">
        <f t="shared" si="1"/>
        <v>2065.7924700000003</v>
      </c>
      <c r="P13" s="159">
        <f>IF(O$8=0,"N.D.",O13/O$8)</f>
        <v>6.6359113764078798E-2</v>
      </c>
      <c r="Q13" s="365">
        <f>Q71+Q98</f>
        <v>2222.4</v>
      </c>
      <c r="R13" s="159">
        <f>IF(Q$8=0,"N.D.",Q13/Q$8)</f>
        <v>6.3799865929565394E-2</v>
      </c>
      <c r="S13" s="365">
        <f>S71+S98</f>
        <v>3099.9889900000003</v>
      </c>
      <c r="T13" s="159">
        <f>IF(S$8=0,"N.D.",S13/S$8)</f>
        <v>0.168531620188035</v>
      </c>
      <c r="U13" s="365">
        <f t="shared" si="6"/>
        <v>-156.60752999999977</v>
      </c>
      <c r="V13" s="159">
        <f t="shared" si="7"/>
        <v>-7.0467751079913543E-2</v>
      </c>
      <c r="W13" s="365">
        <f t="shared" si="8"/>
        <v>-1034.19652</v>
      </c>
      <c r="X13" s="159">
        <f t="shared" si="9"/>
        <v>-0.33361296550927422</v>
      </c>
      <c r="Z13" s="129" t="s">
        <v>239</v>
      </c>
      <c r="AA13" s="365">
        <f t="shared" si="2"/>
        <v>194</v>
      </c>
      <c r="AB13" s="159">
        <f>IF(AA$8=0,"N.D.",AA13/AA$8)</f>
        <v>3.6638338054768647E-2</v>
      </c>
      <c r="AC13" s="365">
        <f ca="1">AC71+AC98</f>
        <v>282.55</v>
      </c>
      <c r="AD13" s="159">
        <f ca="1">IF(AC$8=0,"N.D.",AC13/AC$8)</f>
        <v>9.215163550807498E-2</v>
      </c>
      <c r="AE13" s="365">
        <f ca="1">AE71+AE98</f>
        <v>446.14400000000001</v>
      </c>
      <c r="AF13" s="159">
        <f ca="1">IF(AE$8=0,"N.D.",AE13/AE$8)</f>
        <v>9.6603658537905673E-2</v>
      </c>
      <c r="AG13" s="365">
        <f t="shared" ca="1" si="13"/>
        <v>-88.550000000000011</v>
      </c>
      <c r="AH13" s="159">
        <f ca="1">IF(AC13=0,"N.D.",AA13/AC13-1)</f>
        <v>-0.31339585913997525</v>
      </c>
      <c r="AI13" s="365">
        <f t="shared" ca="1" si="14"/>
        <v>-252.14400000000001</v>
      </c>
      <c r="AJ13" s="159">
        <f t="shared" ca="1" si="15"/>
        <v>-0.5651628173863148</v>
      </c>
    </row>
    <row r="14" spans="2:36" ht="12.65" customHeight="1" x14ac:dyDescent="0.25">
      <c r="B14" s="129" t="s">
        <v>240</v>
      </c>
      <c r="C14" s="367">
        <f t="shared" si="0"/>
        <v>0</v>
      </c>
      <c r="D14" s="156" t="str">
        <f>IF(C$8=0,"N.D.",C14/C$8)</f>
        <v>N.D.</v>
      </c>
      <c r="E14" s="367">
        <f>E72+E99</f>
        <v>27.925000000000001</v>
      </c>
      <c r="F14" s="156">
        <f>IF(E$8=0,"N.D.",E14/E$8)</f>
        <v>6.14783828356318E-3</v>
      </c>
      <c r="G14" s="367">
        <f>G72+G99</f>
        <v>25.242139999999999</v>
      </c>
      <c r="H14" s="156">
        <f>IF(G$8=0,"N.D.",G14/G$8)</f>
        <v>7.1048445015088101E-3</v>
      </c>
      <c r="I14" s="367">
        <f t="shared" si="3"/>
        <v>-27.925000000000001</v>
      </c>
      <c r="J14" s="156">
        <f>IF(E14=0,"N.D.",C14/E14-1)</f>
        <v>-1</v>
      </c>
      <c r="K14" s="367">
        <f t="shared" si="4"/>
        <v>-25.242139999999999</v>
      </c>
      <c r="L14" s="156">
        <f t="shared" si="5"/>
        <v>-1</v>
      </c>
      <c r="N14" s="129" t="s">
        <v>240</v>
      </c>
      <c r="O14" s="367">
        <f t="shared" si="1"/>
        <v>182.50863999999999</v>
      </c>
      <c r="P14" s="156">
        <f>IF(O$8=0,"N.D.",O14/O$8)</f>
        <v>5.8626952032056244E-3</v>
      </c>
      <c r="Q14" s="367">
        <f>Q72+Q99</f>
        <v>223.4</v>
      </c>
      <c r="R14" s="156">
        <f>IF(Q$8=0,"N.D.",Q14/Q$8)</f>
        <v>6.4132874589024969E-3</v>
      </c>
      <c r="S14" s="367">
        <f>S72+S99</f>
        <v>202.17453999999998</v>
      </c>
      <c r="T14" s="156">
        <f>IF(S$8=0,"N.D.",S14/S$8)</f>
        <v>1.0991265742195647E-2</v>
      </c>
      <c r="U14" s="367">
        <f t="shared" si="6"/>
        <v>-40.89136000000002</v>
      </c>
      <c r="V14" s="156">
        <f t="shared" si="7"/>
        <v>-0.18304100268576551</v>
      </c>
      <c r="W14" s="367">
        <f t="shared" si="8"/>
        <v>-19.665899999999993</v>
      </c>
      <c r="X14" s="156">
        <f t="shared" si="9"/>
        <v>-9.7271891900928775E-2</v>
      </c>
      <c r="Z14" s="129" t="s">
        <v>240</v>
      </c>
      <c r="AA14" s="367">
        <f t="shared" si="2"/>
        <v>27</v>
      </c>
      <c r="AB14" s="156">
        <f>IF(AA$8=0,"N.D.",AA14/AA$8)</f>
        <v>5.0991501416430595E-3</v>
      </c>
      <c r="AC14" s="367">
        <f ca="1">AC72+AC99</f>
        <v>27.925000000000001</v>
      </c>
      <c r="AD14" s="156">
        <f ca="1">IF(AC$8=0,"N.D.",AC14/AC$8)</f>
        <v>9.1075364415607631E-3</v>
      </c>
      <c r="AE14" s="367">
        <f ca="1">AE72+AE99</f>
        <v>0</v>
      </c>
      <c r="AF14" s="156">
        <f ca="1">IF(AE$8=0,"N.D.",AE14/AE$8)</f>
        <v>0</v>
      </c>
      <c r="AG14" s="367">
        <f t="shared" ca="1" si="13"/>
        <v>-0.92500000000000071</v>
      </c>
      <c r="AH14" s="156">
        <f ca="1">IF(AC14=0,"N.D.",AA14/AC14-1)</f>
        <v>-3.3124440465532756E-2</v>
      </c>
      <c r="AI14" s="367">
        <f t="shared" ca="1" si="14"/>
        <v>27</v>
      </c>
      <c r="AJ14" s="156" t="str">
        <f t="shared" ca="1" si="15"/>
        <v>N.D.</v>
      </c>
    </row>
    <row r="15" spans="2:36" ht="12.65" customHeight="1" x14ac:dyDescent="0.3">
      <c r="B15" s="139" t="s">
        <v>241</v>
      </c>
      <c r="C15" s="366">
        <f t="shared" si="0"/>
        <v>0</v>
      </c>
      <c r="D15" s="157" t="str">
        <f>IF(C$8=0,"N.D.",C15/C$8)</f>
        <v>N.D.</v>
      </c>
      <c r="E15" s="366">
        <f>E73+E100</f>
        <v>471.92200000000003</v>
      </c>
      <c r="F15" s="157">
        <f>IF(E$8=0,"N.D.",E15/E$8)</f>
        <v>0.10389615536099206</v>
      </c>
      <c r="G15" s="366">
        <f>G73+G100</f>
        <v>338.19195000000002</v>
      </c>
      <c r="H15" s="157">
        <f>IF(G$8=0,"N.D.",G15/G$8)</f>
        <v>9.5190075659672385E-2</v>
      </c>
      <c r="I15" s="366">
        <f t="shared" si="3"/>
        <v>-471.92200000000003</v>
      </c>
      <c r="J15" s="157">
        <f>IF(E15=0,"N.D.",C15/E15-1)</f>
        <v>-1</v>
      </c>
      <c r="K15" s="366">
        <f t="shared" si="4"/>
        <v>-338.19195000000002</v>
      </c>
      <c r="L15" s="157">
        <f t="shared" si="5"/>
        <v>-1</v>
      </c>
      <c r="N15" s="139" t="s">
        <v>241</v>
      </c>
      <c r="O15" s="366">
        <f t="shared" si="1"/>
        <v>3204.0779999999995</v>
      </c>
      <c r="P15" s="157">
        <f>IF(O$8=0,"N.D.",O15/O$8)</f>
        <v>0.10292407373862777</v>
      </c>
      <c r="Q15" s="366">
        <f>Q73+Q100</f>
        <v>3408.7209999999995</v>
      </c>
      <c r="R15" s="157">
        <f>IF(Q$8=0,"N.D.",Q15/Q$8)</f>
        <v>9.7856345748422446E-2</v>
      </c>
      <c r="S15" s="366">
        <f>S73+S100</f>
        <v>3898.8947199999998</v>
      </c>
      <c r="T15" s="157">
        <f>IF(S$8=0,"N.D.",S15/S$8)</f>
        <v>0.21196431542944769</v>
      </c>
      <c r="U15" s="366">
        <f t="shared" si="6"/>
        <v>-204.64300000000003</v>
      </c>
      <c r="V15" s="157">
        <f t="shared" si="7"/>
        <v>-6.0035127544906142E-2</v>
      </c>
      <c r="W15" s="366">
        <f t="shared" si="8"/>
        <v>-694.81672000000026</v>
      </c>
      <c r="X15" s="157">
        <f t="shared" si="9"/>
        <v>-0.17820863857539615</v>
      </c>
      <c r="Z15" s="139" t="s">
        <v>241</v>
      </c>
      <c r="AA15" s="366">
        <f t="shared" si="2"/>
        <v>349</v>
      </c>
      <c r="AB15" s="157">
        <f>IF(AA$8=0,"N.D.",AA15/AA$8)</f>
        <v>6.5911237016052879E-2</v>
      </c>
      <c r="AC15" s="366">
        <f ca="1">AC73+AC100</f>
        <v>410.32000000000005</v>
      </c>
      <c r="AD15" s="157">
        <f ca="1">IF(AC$8=0,"N.D.",AC15/AC$8)</f>
        <v>0.13382289535187872</v>
      </c>
      <c r="AE15" s="366">
        <f ca="1">AE73+AE100</f>
        <v>589.88799999999992</v>
      </c>
      <c r="AF15" s="157">
        <f ca="1">IF(AE$8=0,"N.D.",AE15/AE$8)</f>
        <v>0.12772857850292305</v>
      </c>
      <c r="AG15" s="366">
        <f t="shared" ca="1" si="13"/>
        <v>-61.32000000000005</v>
      </c>
      <c r="AH15" s="157">
        <f ca="1">IF(AC15=0,"N.D.",AA15/AC15-1)</f>
        <v>-0.14944433612790031</v>
      </c>
      <c r="AI15" s="366">
        <f t="shared" ca="1" si="14"/>
        <v>-240.88799999999992</v>
      </c>
      <c r="AJ15" s="157">
        <f t="shared" ca="1" si="15"/>
        <v>-0.40836226537919051</v>
      </c>
    </row>
    <row r="16" spans="2:36" ht="12.65" customHeight="1" x14ac:dyDescent="0.3">
      <c r="B16" s="139" t="s">
        <v>242</v>
      </c>
      <c r="C16" s="366">
        <f t="shared" si="0"/>
        <v>0</v>
      </c>
      <c r="D16" s="157" t="str">
        <f>IF(C$8=0,"N.D.",C16/C$8)</f>
        <v>N.D.</v>
      </c>
      <c r="E16" s="366">
        <f>E74+E101</f>
        <v>1648.971</v>
      </c>
      <c r="F16" s="157">
        <f>IF(E$8=0,"N.D.",E16/E$8)</f>
        <v>0.36302979560556708</v>
      </c>
      <c r="G16" s="366">
        <f>G74+G101</f>
        <v>953.89125999999987</v>
      </c>
      <c r="H16" s="157">
        <f>IF(G$8=0,"N.D.",G16/G$8)</f>
        <v>0.26848948122656441</v>
      </c>
      <c r="I16" s="366">
        <f t="shared" si="3"/>
        <v>-1648.971</v>
      </c>
      <c r="J16" s="157">
        <f>IF(E16=0,"N.D.",C16/E16-1)</f>
        <v>-1</v>
      </c>
      <c r="K16" s="366">
        <f t="shared" si="4"/>
        <v>-953.89125999999987</v>
      </c>
      <c r="L16" s="157">
        <f t="shared" si="5"/>
        <v>-1</v>
      </c>
      <c r="N16" s="139" t="s">
        <v>242</v>
      </c>
      <c r="O16" s="366">
        <f>+O10-O15</f>
        <v>9588.1488399999998</v>
      </c>
      <c r="P16" s="157">
        <f>IF(O$8=0,"N.D.",O16/O$8)</f>
        <v>0.30799853755904144</v>
      </c>
      <c r="Q16" s="366">
        <f>Q74+Q101</f>
        <v>10354.716</v>
      </c>
      <c r="R16" s="157">
        <f>IF(Q$8=0,"N.D.",Q16/Q$8)</f>
        <v>0.2972594908831559</v>
      </c>
      <c r="S16" s="366">
        <f>S74+S101</f>
        <v>3409.8662099999992</v>
      </c>
      <c r="T16" s="157">
        <f>IF(S$8=0,"N.D.",S16/S$8)</f>
        <v>0.1853781670997916</v>
      </c>
      <c r="U16" s="366">
        <f t="shared" si="6"/>
        <v>-766.56716000000051</v>
      </c>
      <c r="V16" s="157">
        <f t="shared" si="7"/>
        <v>-7.4030727641395511E-2</v>
      </c>
      <c r="W16" s="366">
        <f t="shared" si="8"/>
        <v>6178.2826300000006</v>
      </c>
      <c r="X16" s="157">
        <f t="shared" si="9"/>
        <v>1.8118841765348916</v>
      </c>
      <c r="Z16" s="139" t="s">
        <v>242</v>
      </c>
      <c r="AA16" s="366">
        <f t="shared" si="2"/>
        <v>2153</v>
      </c>
      <c r="AB16" s="157">
        <f>IF(AA$8=0,"N.D.",AA16/AA$8)</f>
        <v>0.40661000944287062</v>
      </c>
      <c r="AC16" s="366">
        <f ca="1">AC74+AC101</f>
        <v>1058.2109999999998</v>
      </c>
      <c r="AD16" s="157">
        <f ca="1">IF(AC$8=0,"N.D.",AC16/AC$8)</f>
        <v>0.34512785122150241</v>
      </c>
      <c r="AE16" s="366">
        <f ca="1">AE74+AE101</f>
        <v>1482.1819999999998</v>
      </c>
      <c r="AF16" s="157">
        <f ca="1">IF(AE$8=0,"N.D.",AE16/AE$8)</f>
        <v>0.32093719476005528</v>
      </c>
      <c r="AG16" s="366">
        <f t="shared" ca="1" si="13"/>
        <v>1094.7890000000002</v>
      </c>
      <c r="AH16" s="157">
        <f ca="1">IF(AC16=0,"N.D.",AA16/AC16-1)</f>
        <v>1.0345658852535085</v>
      </c>
      <c r="AI16" s="366">
        <f t="shared" ca="1" si="14"/>
        <v>670.81800000000021</v>
      </c>
      <c r="AJ16" s="157">
        <f t="shared" ca="1" si="15"/>
        <v>0.45258814369625333</v>
      </c>
    </row>
    <row r="17" spans="2:36" ht="12.65" customHeight="1" x14ac:dyDescent="0.25">
      <c r="B17" s="129"/>
      <c r="C17" s="362"/>
      <c r="D17" s="158"/>
      <c r="E17" s="362"/>
      <c r="F17" s="158"/>
      <c r="G17" s="362"/>
      <c r="H17" s="158"/>
      <c r="I17" s="362"/>
      <c r="J17" s="158"/>
      <c r="K17" s="362"/>
      <c r="L17" s="158"/>
      <c r="N17" s="129"/>
      <c r="O17" s="362"/>
      <c r="P17" s="158"/>
      <c r="Q17" s="362"/>
      <c r="R17" s="158"/>
      <c r="S17" s="362"/>
      <c r="T17" s="158"/>
      <c r="U17" s="362"/>
      <c r="V17" s="158"/>
      <c r="W17" s="362"/>
      <c r="X17" s="158"/>
      <c r="Z17" s="129"/>
      <c r="AA17" s="362">
        <f t="shared" si="2"/>
        <v>0</v>
      </c>
      <c r="AB17" s="158"/>
      <c r="AC17" s="362"/>
      <c r="AD17" s="158"/>
      <c r="AE17" s="362"/>
      <c r="AF17" s="158"/>
      <c r="AG17" s="362"/>
      <c r="AH17" s="158"/>
      <c r="AI17" s="362"/>
      <c r="AJ17" s="158"/>
    </row>
    <row r="18" spans="2:36" ht="12.65" customHeight="1" x14ac:dyDescent="0.25">
      <c r="B18" s="129" t="s">
        <v>243</v>
      </c>
      <c r="C18" s="364">
        <f t="shared" si="0"/>
        <v>0</v>
      </c>
      <c r="D18" s="155" t="str">
        <f t="shared" ref="D18:D24" si="16">IF(C$8=0,"N.D.",C18/C$8)</f>
        <v>N.D.</v>
      </c>
      <c r="E18" s="364">
        <f t="shared" ref="E18:E24" si="17">E76+E103</f>
        <v>-76.7</v>
      </c>
      <c r="F18" s="155">
        <f t="shared" ref="F18:F24" si="18">IF(E$8=0,"N.D.",E18/E$8)</f>
        <v>-1.688591571528365E-2</v>
      </c>
      <c r="G18" s="364">
        <f t="shared" ref="G18:G24" si="19">G76+G103</f>
        <v>42.645140000000026</v>
      </c>
      <c r="H18" s="155">
        <f t="shared" ref="H18:H24" si="20">IF(G$8=0,"N.D.",G18/G$8)</f>
        <v>1.2003225100766957E-2</v>
      </c>
      <c r="I18" s="364">
        <f t="shared" si="3"/>
        <v>76.7</v>
      </c>
      <c r="J18" s="155">
        <f t="shared" ref="J18:J24" si="21">IF(E18=0,"N.D.",C18/E18-1)</f>
        <v>-1</v>
      </c>
      <c r="K18" s="364">
        <f t="shared" si="4"/>
        <v>-42.645140000000026</v>
      </c>
      <c r="L18" s="155">
        <f t="shared" si="5"/>
        <v>-1</v>
      </c>
      <c r="N18" s="129" t="s">
        <v>243</v>
      </c>
      <c r="O18" s="364">
        <f t="shared" ref="O18:O29" si="22">+S43</f>
        <v>-286.35140000000001</v>
      </c>
      <c r="P18" s="155">
        <f t="shared" ref="P18:P24" si="23">IF(O$8=0,"N.D.",O18/O$8)</f>
        <v>-9.1984192047632127E-3</v>
      </c>
      <c r="Q18" s="364">
        <f t="shared" ref="Q18:Q23" si="24">Q76+Q103</f>
        <v>-860.49199999999996</v>
      </c>
      <c r="R18" s="155">
        <f t="shared" ref="R18:R24" si="25">IF(Q$8=0,"N.D.",Q18/Q$8)</f>
        <v>-2.4702697189283467E-2</v>
      </c>
      <c r="S18" s="364">
        <f t="shared" ref="S18:S24" si="26">S76+S103</f>
        <v>-773.02008999999998</v>
      </c>
      <c r="T18" s="155">
        <f t="shared" ref="T18:T24" si="27">IF(S$8=0,"N.D.",S18/S$8)</f>
        <v>-4.20254164211082E-2</v>
      </c>
      <c r="U18" s="364">
        <f t="shared" si="6"/>
        <v>574.14059999999995</v>
      </c>
      <c r="V18" s="155">
        <f t="shared" si="7"/>
        <v>-0.66722363485075975</v>
      </c>
      <c r="W18" s="364">
        <f t="shared" si="8"/>
        <v>486.66868999999997</v>
      </c>
      <c r="X18" s="155">
        <f t="shared" si="9"/>
        <v>-0.62956797151287491</v>
      </c>
      <c r="Z18" s="129" t="s">
        <v>243</v>
      </c>
      <c r="AA18" s="364">
        <f t="shared" si="2"/>
        <v>-191</v>
      </c>
      <c r="AB18" s="155">
        <f t="shared" ref="AB18:AB24" si="28">IF(AA$8=0,"N.D.",AA18/AA$8)</f>
        <v>-3.6071765816808307E-2</v>
      </c>
      <c r="AC18" s="364">
        <f t="shared" ref="AC18:AC24" ca="1" si="29">AC76+AC103</f>
        <v>-93</v>
      </c>
      <c r="AD18" s="155">
        <f t="shared" ref="AD18:AD24" ca="1" si="30">IF(AC$8=0,"N.D.",AC18/AC$8)</f>
        <v>-3.0331276242261448E-2</v>
      </c>
      <c r="AE18" s="364">
        <f t="shared" ref="AE18:AE24" ca="1" si="31">AE76+AE103</f>
        <v>-112.679</v>
      </c>
      <c r="AF18" s="155">
        <f t="shared" ref="AF18:AF24" ca="1" si="32">IF(AE$8=0,"N.D.",AE18/AE$8)</f>
        <v>-2.4398408676106088E-2</v>
      </c>
      <c r="AG18" s="364">
        <f t="shared" ref="AG18:AG24" ca="1" si="33">AA18-AC18</f>
        <v>-98</v>
      </c>
      <c r="AH18" s="155">
        <f t="shared" ref="AH18:AH24" ca="1" si="34">IF(AC18=0,"N.D.",AA18/AC18-1)</f>
        <v>1.053763440860215</v>
      </c>
      <c r="AI18" s="364">
        <f t="shared" ref="AI18:AI24" ca="1" si="35">AA18-AE18</f>
        <v>-78.320999999999998</v>
      </c>
      <c r="AJ18" s="155">
        <f t="shared" ref="AJ18:AJ24" ca="1" si="36">IF(AE18=0,"N.D.",AA18/AE18-1)</f>
        <v>0.69508071601629395</v>
      </c>
    </row>
    <row r="19" spans="2:36" ht="12.65" customHeight="1" x14ac:dyDescent="0.25">
      <c r="B19" s="129" t="s">
        <v>244</v>
      </c>
      <c r="C19" s="365">
        <f t="shared" si="0"/>
        <v>0</v>
      </c>
      <c r="D19" s="159" t="str">
        <f t="shared" si="16"/>
        <v>N.D.</v>
      </c>
      <c r="E19" s="365">
        <f t="shared" si="17"/>
        <v>40.183999999999997</v>
      </c>
      <c r="F19" s="159">
        <f t="shared" si="18"/>
        <v>8.846722778395804E-3</v>
      </c>
      <c r="G19" s="365">
        <f t="shared" si="19"/>
        <v>0</v>
      </c>
      <c r="H19" s="159">
        <f t="shared" si="20"/>
        <v>0</v>
      </c>
      <c r="I19" s="365">
        <f t="shared" si="3"/>
        <v>-40.183999999999997</v>
      </c>
      <c r="J19" s="159">
        <f t="shared" si="21"/>
        <v>-1</v>
      </c>
      <c r="K19" s="365">
        <f t="shared" si="4"/>
        <v>0</v>
      </c>
      <c r="L19" s="159" t="str">
        <f t="shared" si="5"/>
        <v>N.D.</v>
      </c>
      <c r="N19" s="129" t="s">
        <v>244</v>
      </c>
      <c r="O19" s="365">
        <f t="shared" si="22"/>
        <v>0</v>
      </c>
      <c r="P19" s="159">
        <f t="shared" si="23"/>
        <v>0</v>
      </c>
      <c r="Q19" s="365">
        <f t="shared" si="24"/>
        <v>-11.657999999999999</v>
      </c>
      <c r="R19" s="159">
        <f t="shared" si="25"/>
        <v>-3.346737027568724E-4</v>
      </c>
      <c r="S19" s="365">
        <f t="shared" si="26"/>
        <v>0</v>
      </c>
      <c r="T19" s="159">
        <f t="shared" si="27"/>
        <v>0</v>
      </c>
      <c r="U19" s="365">
        <f t="shared" si="6"/>
        <v>11.657999999999999</v>
      </c>
      <c r="V19" s="159">
        <f t="shared" si="7"/>
        <v>-1</v>
      </c>
      <c r="W19" s="365">
        <f t="shared" si="8"/>
        <v>0</v>
      </c>
      <c r="X19" s="159" t="str">
        <f t="shared" si="9"/>
        <v>N.D.</v>
      </c>
      <c r="Z19" s="129" t="s">
        <v>244</v>
      </c>
      <c r="AA19" s="365">
        <f t="shared" si="2"/>
        <v>0</v>
      </c>
      <c r="AB19" s="159">
        <f t="shared" si="28"/>
        <v>0</v>
      </c>
      <c r="AC19" s="365">
        <f t="shared" ca="1" si="29"/>
        <v>23.919</v>
      </c>
      <c r="AD19" s="159">
        <f t="shared" ca="1" si="30"/>
        <v>7.8010085638564692E-3</v>
      </c>
      <c r="AE19" s="365">
        <f t="shared" ca="1" si="31"/>
        <v>0</v>
      </c>
      <c r="AF19" s="159">
        <f t="shared" ca="1" si="32"/>
        <v>0</v>
      </c>
      <c r="AG19" s="365">
        <f t="shared" ca="1" si="33"/>
        <v>-23.919</v>
      </c>
      <c r="AH19" s="159">
        <f t="shared" ca="1" si="34"/>
        <v>-1</v>
      </c>
      <c r="AI19" s="365">
        <f t="shared" ca="1" si="35"/>
        <v>0</v>
      </c>
      <c r="AJ19" s="159" t="str">
        <f t="shared" ca="1" si="36"/>
        <v>N.D.</v>
      </c>
    </row>
    <row r="20" spans="2:36" ht="12.65" customHeight="1" x14ac:dyDescent="0.25">
      <c r="B20" s="129" t="s">
        <v>245</v>
      </c>
      <c r="C20" s="365">
        <f t="shared" si="0"/>
        <v>0</v>
      </c>
      <c r="D20" s="159" t="str">
        <f t="shared" si="16"/>
        <v>N.D.</v>
      </c>
      <c r="E20" s="365">
        <f t="shared" si="17"/>
        <v>43.183999999999997</v>
      </c>
      <c r="F20" s="159">
        <f t="shared" si="18"/>
        <v>9.5071888428788671E-3</v>
      </c>
      <c r="G20" s="365">
        <f t="shared" si="19"/>
        <v>35.612450000000003</v>
      </c>
      <c r="H20" s="159">
        <f t="shared" si="20"/>
        <v>1.002375074251856E-2</v>
      </c>
      <c r="I20" s="365">
        <f t="shared" si="3"/>
        <v>-43.183999999999997</v>
      </c>
      <c r="J20" s="159">
        <f t="shared" si="21"/>
        <v>-1</v>
      </c>
      <c r="K20" s="365">
        <f t="shared" si="4"/>
        <v>-35.612450000000003</v>
      </c>
      <c r="L20" s="159">
        <f t="shared" si="5"/>
        <v>-1</v>
      </c>
      <c r="N20" s="129" t="s">
        <v>245</v>
      </c>
      <c r="O20" s="365">
        <f t="shared" si="22"/>
        <v>145.84172999999998</v>
      </c>
      <c r="P20" s="159">
        <f t="shared" si="23"/>
        <v>4.6848500481851702E-3</v>
      </c>
      <c r="Q20" s="365">
        <f t="shared" si="24"/>
        <v>12.342000000000001</v>
      </c>
      <c r="R20" s="159">
        <f t="shared" si="25"/>
        <v>3.5430973060776463E-4</v>
      </c>
      <c r="S20" s="365">
        <f t="shared" si="26"/>
        <v>303.25907000000001</v>
      </c>
      <c r="T20" s="159">
        <f t="shared" si="27"/>
        <v>1.648674965255819E-2</v>
      </c>
      <c r="U20" s="365">
        <f t="shared" si="6"/>
        <v>133.49972999999997</v>
      </c>
      <c r="V20" s="159">
        <f t="shared" si="7"/>
        <v>10.8167015070491</v>
      </c>
      <c r="W20" s="365">
        <f t="shared" si="8"/>
        <v>-157.41734000000002</v>
      </c>
      <c r="X20" s="159">
        <f t="shared" si="9"/>
        <v>-0.51908534837886311</v>
      </c>
      <c r="Z20" s="129" t="s">
        <v>245</v>
      </c>
      <c r="AA20" s="365">
        <f t="shared" si="2"/>
        <v>33</v>
      </c>
      <c r="AB20" s="159">
        <f t="shared" si="28"/>
        <v>6.2322946175637391E-3</v>
      </c>
      <c r="AC20" s="365">
        <f t="shared" ca="1" si="29"/>
        <v>26.919</v>
      </c>
      <c r="AD20" s="159">
        <f t="shared" ca="1" si="30"/>
        <v>8.7794368297358701E-3</v>
      </c>
      <c r="AE20" s="365">
        <f t="shared" ca="1" si="31"/>
        <v>36.784999999999997</v>
      </c>
      <c r="AF20" s="159">
        <f t="shared" ca="1" si="32"/>
        <v>7.9650641481603703E-3</v>
      </c>
      <c r="AG20" s="365">
        <f t="shared" ca="1" si="33"/>
        <v>6.0809999999999995</v>
      </c>
      <c r="AH20" s="159">
        <f t="shared" ca="1" si="34"/>
        <v>0.22589992198818676</v>
      </c>
      <c r="AI20" s="365">
        <f t="shared" ca="1" si="35"/>
        <v>-3.7849999999999966</v>
      </c>
      <c r="AJ20" s="159">
        <f t="shared" ca="1" si="36"/>
        <v>-0.10289520184857948</v>
      </c>
    </row>
    <row r="21" spans="2:36" ht="12.65" customHeight="1" x14ac:dyDescent="0.25">
      <c r="B21" s="129" t="s">
        <v>246</v>
      </c>
      <c r="C21" s="365">
        <f t="shared" si="0"/>
        <v>0</v>
      </c>
      <c r="D21" s="159" t="str">
        <f t="shared" si="16"/>
        <v>N.D.</v>
      </c>
      <c r="E21" s="365">
        <f t="shared" si="17"/>
        <v>268.04700000000003</v>
      </c>
      <c r="F21" s="159">
        <f t="shared" si="18"/>
        <v>5.9011982395497223E-2</v>
      </c>
      <c r="G21" s="365">
        <f t="shared" si="19"/>
        <v>396.28365000000002</v>
      </c>
      <c r="H21" s="159">
        <f t="shared" si="20"/>
        <v>0.11154100689324843</v>
      </c>
      <c r="I21" s="365">
        <f t="shared" si="3"/>
        <v>-268.04700000000003</v>
      </c>
      <c r="J21" s="159">
        <f t="shared" si="21"/>
        <v>-1</v>
      </c>
      <c r="K21" s="365">
        <f t="shared" si="4"/>
        <v>-396.28365000000002</v>
      </c>
      <c r="L21" s="159">
        <f t="shared" si="5"/>
        <v>-1</v>
      </c>
      <c r="N21" s="129" t="s">
        <v>246</v>
      </c>
      <c r="O21" s="365">
        <f t="shared" si="22"/>
        <v>2879.8669799999998</v>
      </c>
      <c r="P21" s="159">
        <f t="shared" si="23"/>
        <v>9.250949615051797E-2</v>
      </c>
      <c r="Q21" s="365">
        <f t="shared" si="24"/>
        <v>2055.7600000000002</v>
      </c>
      <c r="R21" s="159">
        <f t="shared" si="25"/>
        <v>5.9016024290570263E-2</v>
      </c>
      <c r="S21" s="365">
        <f t="shared" si="26"/>
        <v>2523.6838399999997</v>
      </c>
      <c r="T21" s="159">
        <f t="shared" si="27"/>
        <v>0.13720065708928908</v>
      </c>
      <c r="U21" s="365">
        <f t="shared" si="6"/>
        <v>824.10697999999957</v>
      </c>
      <c r="V21" s="159">
        <f t="shared" si="7"/>
        <v>0.40087703817566234</v>
      </c>
      <c r="W21" s="365">
        <f t="shared" si="8"/>
        <v>356.18314000000009</v>
      </c>
      <c r="X21" s="159">
        <f t="shared" si="9"/>
        <v>0.14113619715534576</v>
      </c>
      <c r="Z21" s="129" t="s">
        <v>246</v>
      </c>
      <c r="AA21" s="365">
        <f t="shared" si="2"/>
        <v>250</v>
      </c>
      <c r="AB21" s="159">
        <f t="shared" si="28"/>
        <v>4.7214353163361665E-2</v>
      </c>
      <c r="AC21" s="365">
        <f t="shared" ca="1" si="29"/>
        <v>267.73099999999999</v>
      </c>
      <c r="AD21" s="159">
        <f t="shared" ca="1" si="30"/>
        <v>8.7318526017386017E-2</v>
      </c>
      <c r="AE21" s="365">
        <f t="shared" ca="1" si="31"/>
        <v>242.83799999999999</v>
      </c>
      <c r="AF21" s="159">
        <f t="shared" ca="1" si="32"/>
        <v>5.2581765600406907E-2</v>
      </c>
      <c r="AG21" s="365">
        <f t="shared" ca="1" si="33"/>
        <v>-17.730999999999995</v>
      </c>
      <c r="AH21" s="159">
        <f t="shared" ca="1" si="34"/>
        <v>-6.6226921798372196E-2</v>
      </c>
      <c r="AI21" s="365">
        <f t="shared" ca="1" si="35"/>
        <v>7.1620000000000061</v>
      </c>
      <c r="AJ21" s="159">
        <f t="shared" ca="1" si="36"/>
        <v>2.9492912970787044E-2</v>
      </c>
    </row>
    <row r="22" spans="2:36" ht="12.65" hidden="1" customHeight="1" x14ac:dyDescent="0.25">
      <c r="B22" s="129"/>
      <c r="C22" s="367">
        <f t="shared" si="0"/>
        <v>0</v>
      </c>
      <c r="D22" s="156" t="str">
        <f t="shared" si="16"/>
        <v>N.D.</v>
      </c>
      <c r="E22" s="367">
        <f t="shared" si="17"/>
        <v>0</v>
      </c>
      <c r="F22" s="156">
        <f t="shared" si="18"/>
        <v>0</v>
      </c>
      <c r="G22" s="367">
        <f t="shared" si="19"/>
        <v>0</v>
      </c>
      <c r="H22" s="156">
        <f t="shared" si="20"/>
        <v>0</v>
      </c>
      <c r="I22" s="367">
        <f t="shared" si="3"/>
        <v>0</v>
      </c>
      <c r="J22" s="156" t="str">
        <f t="shared" si="21"/>
        <v>N.D.</v>
      </c>
      <c r="K22" s="367">
        <f t="shared" si="4"/>
        <v>0</v>
      </c>
      <c r="L22" s="156" t="str">
        <f t="shared" si="5"/>
        <v>N.D.</v>
      </c>
      <c r="N22" s="129"/>
      <c r="O22" s="367">
        <f t="shared" si="22"/>
        <v>0</v>
      </c>
      <c r="P22" s="156">
        <f t="shared" si="23"/>
        <v>0</v>
      </c>
      <c r="Q22" s="367">
        <f t="shared" si="24"/>
        <v>0</v>
      </c>
      <c r="R22" s="156">
        <f t="shared" si="25"/>
        <v>0</v>
      </c>
      <c r="S22" s="367">
        <f t="shared" si="26"/>
        <v>0</v>
      </c>
      <c r="T22" s="156">
        <f t="shared" si="27"/>
        <v>0</v>
      </c>
      <c r="U22" s="367">
        <f t="shared" si="6"/>
        <v>0</v>
      </c>
      <c r="V22" s="156" t="str">
        <f t="shared" si="7"/>
        <v>N.D.</v>
      </c>
      <c r="W22" s="367">
        <f t="shared" si="8"/>
        <v>0</v>
      </c>
      <c r="X22" s="156" t="str">
        <f t="shared" si="9"/>
        <v>N.D.</v>
      </c>
      <c r="Z22" s="129"/>
      <c r="AA22" s="367">
        <f t="shared" si="2"/>
        <v>0</v>
      </c>
      <c r="AB22" s="156">
        <f t="shared" si="28"/>
        <v>0</v>
      </c>
      <c r="AC22" s="367">
        <f t="shared" ca="1" si="29"/>
        <v>0</v>
      </c>
      <c r="AD22" s="156">
        <f t="shared" ca="1" si="30"/>
        <v>0</v>
      </c>
      <c r="AE22" s="367">
        <f t="shared" ca="1" si="31"/>
        <v>0</v>
      </c>
      <c r="AF22" s="156">
        <f t="shared" ca="1" si="32"/>
        <v>0</v>
      </c>
      <c r="AG22" s="367">
        <f t="shared" ca="1" si="33"/>
        <v>0</v>
      </c>
      <c r="AH22" s="156" t="str">
        <f t="shared" ca="1" si="34"/>
        <v>N.D.</v>
      </c>
      <c r="AI22" s="367">
        <f t="shared" ca="1" si="35"/>
        <v>0</v>
      </c>
      <c r="AJ22" s="156" t="str">
        <f t="shared" ca="1" si="36"/>
        <v>N.D.</v>
      </c>
    </row>
    <row r="23" spans="2:36" ht="12.65" customHeight="1" x14ac:dyDescent="0.3">
      <c r="B23" s="139" t="s">
        <v>143</v>
      </c>
      <c r="C23" s="366">
        <f t="shared" si="0"/>
        <v>0</v>
      </c>
      <c r="D23" s="157" t="str">
        <f t="shared" si="16"/>
        <v>N.D.</v>
      </c>
      <c r="E23" s="366">
        <f t="shared" si="17"/>
        <v>-261.37900000000002</v>
      </c>
      <c r="F23" s="157">
        <f t="shared" si="18"/>
        <v>-5.7543986489506198E-2</v>
      </c>
      <c r="G23" s="366">
        <f t="shared" si="19"/>
        <v>-318.02606000000003</v>
      </c>
      <c r="H23" s="157">
        <f t="shared" si="20"/>
        <v>-8.951403104996293E-2</v>
      </c>
      <c r="I23" s="366">
        <f t="shared" si="3"/>
        <v>261.37900000000002</v>
      </c>
      <c r="J23" s="157">
        <f t="shared" si="21"/>
        <v>-1</v>
      </c>
      <c r="K23" s="366">
        <f t="shared" si="4"/>
        <v>318.02606000000003</v>
      </c>
      <c r="L23" s="157">
        <f t="shared" si="5"/>
        <v>-1</v>
      </c>
      <c r="N23" s="139" t="s">
        <v>143</v>
      </c>
      <c r="O23" s="366">
        <f t="shared" si="22"/>
        <v>-3020.3766500000002</v>
      </c>
      <c r="P23" s="157">
        <f t="shared" si="23"/>
        <v>-9.7023065307096021E-2</v>
      </c>
      <c r="Q23" s="366">
        <f t="shared" si="24"/>
        <v>-2915.5680000000002</v>
      </c>
      <c r="R23" s="157">
        <f t="shared" si="25"/>
        <v>-8.3699085452002844E-2</v>
      </c>
      <c r="S23" s="366">
        <f t="shared" si="26"/>
        <v>-2993.4448600000001</v>
      </c>
      <c r="T23" s="157">
        <f t="shared" si="27"/>
        <v>-0.16273932385783912</v>
      </c>
      <c r="U23" s="366">
        <f t="shared" si="6"/>
        <v>-104.80864999999994</v>
      </c>
      <c r="V23" s="157">
        <f t="shared" si="7"/>
        <v>3.5947935359422312E-2</v>
      </c>
      <c r="W23" s="366">
        <f t="shared" si="8"/>
        <v>-26.931790000000092</v>
      </c>
      <c r="X23" s="157">
        <f t="shared" si="9"/>
        <v>8.996922027820542E-3</v>
      </c>
      <c r="Z23" s="139" t="s">
        <v>143</v>
      </c>
      <c r="AA23" s="366">
        <f t="shared" si="2"/>
        <v>-408</v>
      </c>
      <c r="AB23" s="157">
        <f t="shared" si="28"/>
        <v>-7.705382436260623E-2</v>
      </c>
      <c r="AC23" s="366">
        <f t="shared" ca="1" si="29"/>
        <v>-309.89300000000003</v>
      </c>
      <c r="AD23" s="157">
        <f t="shared" ca="1" si="30"/>
        <v>-0.10106935686605514</v>
      </c>
      <c r="AE23" s="366">
        <f t="shared" ca="1" si="31"/>
        <v>-318.73200000000003</v>
      </c>
      <c r="AF23" s="157">
        <f t="shared" ca="1" si="32"/>
        <v>-6.9015110128352625E-2</v>
      </c>
      <c r="AG23" s="366">
        <f t="shared" ca="1" si="33"/>
        <v>-98.106999999999971</v>
      </c>
      <c r="AH23" s="157">
        <f t="shared" ca="1" si="34"/>
        <v>0.31658346590597386</v>
      </c>
      <c r="AI23" s="366">
        <f t="shared" ca="1" si="35"/>
        <v>-89.267999999999972</v>
      </c>
      <c r="AJ23" s="157">
        <f t="shared" ca="1" si="36"/>
        <v>0.28007228643499849</v>
      </c>
    </row>
    <row r="24" spans="2:36" ht="12.65" customHeight="1" x14ac:dyDescent="0.3">
      <c r="B24" s="139" t="s">
        <v>247</v>
      </c>
      <c r="C24" s="366">
        <f t="shared" si="0"/>
        <v>0</v>
      </c>
      <c r="D24" s="157" t="str">
        <f t="shared" si="16"/>
        <v>N.D.</v>
      </c>
      <c r="E24" s="366">
        <f t="shared" si="17"/>
        <v>1910.3500000000001</v>
      </c>
      <c r="F24" s="157">
        <f t="shared" si="18"/>
        <v>0.42057378209507329</v>
      </c>
      <c r="G24" s="366">
        <f t="shared" si="19"/>
        <v>1271.91732</v>
      </c>
      <c r="H24" s="157">
        <f t="shared" si="20"/>
        <v>0.35800351227652732</v>
      </c>
      <c r="I24" s="366">
        <f t="shared" si="3"/>
        <v>-1910.3500000000001</v>
      </c>
      <c r="J24" s="157">
        <f t="shared" si="21"/>
        <v>-1</v>
      </c>
      <c r="K24" s="366">
        <f t="shared" si="4"/>
        <v>-1271.91732</v>
      </c>
      <c r="L24" s="157">
        <f t="shared" si="5"/>
        <v>-1</v>
      </c>
      <c r="N24" s="139" t="s">
        <v>247</v>
      </c>
      <c r="O24" s="366">
        <f t="shared" si="22"/>
        <v>12608.52549</v>
      </c>
      <c r="P24" s="157">
        <f t="shared" si="23"/>
        <v>0.40502160286613748</v>
      </c>
      <c r="Q24" s="366">
        <f>+Q16-Q23</f>
        <v>13270.284</v>
      </c>
      <c r="R24" s="157">
        <f t="shared" si="25"/>
        <v>0.38095857633515867</v>
      </c>
      <c r="S24" s="366">
        <f t="shared" si="26"/>
        <v>6403.3110699999988</v>
      </c>
      <c r="T24" s="157">
        <f t="shared" si="27"/>
        <v>0.34811749095763073</v>
      </c>
      <c r="U24" s="366">
        <f t="shared" si="6"/>
        <v>-661.75850999999966</v>
      </c>
      <c r="V24" s="157">
        <f t="shared" si="7"/>
        <v>-4.9867697631791441E-2</v>
      </c>
      <c r="W24" s="366">
        <f t="shared" si="8"/>
        <v>6205.2144200000012</v>
      </c>
      <c r="X24" s="157">
        <f t="shared" si="9"/>
        <v>0.96906340363064736</v>
      </c>
      <c r="Z24" s="139" t="s">
        <v>247</v>
      </c>
      <c r="AA24" s="366">
        <f t="shared" si="2"/>
        <v>2561</v>
      </c>
      <c r="AB24" s="157">
        <f t="shared" si="28"/>
        <v>0.48366383380547684</v>
      </c>
      <c r="AC24" s="366">
        <f t="shared" ca="1" si="29"/>
        <v>1368.1039999999998</v>
      </c>
      <c r="AD24" s="157">
        <f t="shared" ca="1" si="30"/>
        <v>0.44619720808755753</v>
      </c>
      <c r="AE24" s="366">
        <f t="shared" ca="1" si="31"/>
        <v>1800.914</v>
      </c>
      <c r="AF24" s="157">
        <f t="shared" ca="1" si="32"/>
        <v>0.38995230488840793</v>
      </c>
      <c r="AG24" s="366">
        <f t="shared" ca="1" si="33"/>
        <v>1192.8960000000002</v>
      </c>
      <c r="AH24" s="157">
        <f t="shared" ca="1" si="34"/>
        <v>0.87193371264172925</v>
      </c>
      <c r="AI24" s="366">
        <f t="shared" ca="1" si="35"/>
        <v>760.08600000000001</v>
      </c>
      <c r="AJ24" s="157">
        <f t="shared" ca="1" si="36"/>
        <v>0.42205568949988725</v>
      </c>
    </row>
    <row r="25" spans="2:36" ht="12.65" customHeight="1" x14ac:dyDescent="0.25">
      <c r="B25" s="129"/>
      <c r="C25" s="362"/>
      <c r="D25" s="158"/>
      <c r="E25" s="362"/>
      <c r="F25" s="158"/>
      <c r="G25" s="362"/>
      <c r="H25" s="158"/>
      <c r="I25" s="362"/>
      <c r="J25" s="158"/>
      <c r="K25" s="362"/>
      <c r="L25" s="158"/>
      <c r="N25" s="129"/>
      <c r="O25" s="362"/>
      <c r="P25" s="158"/>
      <c r="Q25" s="362"/>
      <c r="R25" s="158"/>
      <c r="S25" s="362"/>
      <c r="T25" s="158"/>
      <c r="U25" s="362"/>
      <c r="V25" s="158"/>
      <c r="W25" s="362"/>
      <c r="X25" s="158"/>
      <c r="Z25" s="129"/>
      <c r="AA25" s="362">
        <f t="shared" si="2"/>
        <v>0</v>
      </c>
      <c r="AB25" s="158"/>
      <c r="AC25" s="362"/>
      <c r="AD25" s="158"/>
      <c r="AE25" s="362"/>
      <c r="AF25" s="158"/>
      <c r="AG25" s="362"/>
      <c r="AH25" s="158"/>
      <c r="AI25" s="362"/>
      <c r="AJ25" s="158"/>
    </row>
    <row r="26" spans="2:36" ht="12.65" customHeight="1" x14ac:dyDescent="0.25">
      <c r="B26" s="129" t="s">
        <v>397</v>
      </c>
      <c r="C26" s="364">
        <f t="shared" si="0"/>
        <v>0</v>
      </c>
      <c r="D26" s="155" t="str">
        <f>IF(C$8=0,"N.D.",C26/C$8)</f>
        <v>N.D.</v>
      </c>
      <c r="E26" s="364">
        <f>E84+E111</f>
        <v>100.40799999999999</v>
      </c>
      <c r="F26" s="155">
        <f>IF(E$8=0,"N.D.",E26/E$8)</f>
        <v>2.2105358867538467E-2</v>
      </c>
      <c r="G26" s="364">
        <f>G84+G111</f>
        <v>0</v>
      </c>
      <c r="H26" s="155">
        <f>IF(G$8=0,"N.D.",G26/G$8)</f>
        <v>0</v>
      </c>
      <c r="I26" s="364">
        <f t="shared" si="3"/>
        <v>-100.40799999999999</v>
      </c>
      <c r="J26" s="155">
        <f>IF(E26=0,"N.D.",C26/E26-1)</f>
        <v>-1</v>
      </c>
      <c r="K26" s="364">
        <f t="shared" si="4"/>
        <v>0</v>
      </c>
      <c r="L26" s="155" t="str">
        <f t="shared" si="5"/>
        <v>N.D.</v>
      </c>
      <c r="N26" s="129" t="s">
        <v>397</v>
      </c>
      <c r="O26" s="364">
        <f t="shared" si="22"/>
        <v>0</v>
      </c>
      <c r="P26" s="155">
        <f>IF(O$8=0,"N.D.",O26/O$8)</f>
        <v>0</v>
      </c>
      <c r="Q26" s="364">
        <f>Q84+Q111</f>
        <v>610.14300000000003</v>
      </c>
      <c r="R26" s="155">
        <f>IF(Q$8=0,"N.D.",Q26/Q$8)</f>
        <v>1.7515767457641655E-2</v>
      </c>
      <c r="S26" s="364">
        <f>S84+S111</f>
        <v>0</v>
      </c>
      <c r="T26" s="155">
        <f>IF(S$8=0,"N.D.",S26/S$8)</f>
        <v>0</v>
      </c>
      <c r="U26" s="364">
        <f t="shared" si="6"/>
        <v>-610.14300000000003</v>
      </c>
      <c r="V26" s="155">
        <f t="shared" si="7"/>
        <v>-1</v>
      </c>
      <c r="W26" s="364">
        <f t="shared" si="8"/>
        <v>0</v>
      </c>
      <c r="X26" s="155" t="str">
        <f t="shared" si="9"/>
        <v>N.D.</v>
      </c>
      <c r="Z26" s="129" t="s">
        <v>397</v>
      </c>
      <c r="AA26" s="364">
        <f t="shared" si="2"/>
        <v>310</v>
      </c>
      <c r="AB26" s="155">
        <f>IF(AA$8=0,"N.D.",AA26/AA$8)</f>
        <v>5.8545797922568463E-2</v>
      </c>
      <c r="AC26" s="364">
        <f ca="1">AC84+AC111</f>
        <v>58.491</v>
      </c>
      <c r="AD26" s="155">
        <f ca="1">IF(AC$8=0,"N.D.",AC26/AC$8)</f>
        <v>1.9076415899850693E-2</v>
      </c>
      <c r="AE26" s="364">
        <f ca="1">AE84+AE111</f>
        <v>0</v>
      </c>
      <c r="AF26" s="155">
        <f ca="1">IF(AE$8=0,"N.D.",AE26/AE$8)</f>
        <v>0</v>
      </c>
      <c r="AG26" s="364">
        <f t="shared" ref="AG26:AG29" ca="1" si="37">AA26-AC26</f>
        <v>251.50900000000001</v>
      </c>
      <c r="AH26" s="155">
        <f ca="1">IF(AC26=0,"N.D.",AA26/AC26-1)</f>
        <v>4.299960677711101</v>
      </c>
      <c r="AI26" s="364">
        <f t="shared" ref="AI26:AI29" ca="1" si="38">AA26-AE26</f>
        <v>310</v>
      </c>
      <c r="AJ26" s="155" t="str">
        <f t="shared" ref="AJ26:AJ29" ca="1" si="39">IF(AE26=0,"N.D.",AA26/AE26-1)</f>
        <v>N.D.</v>
      </c>
    </row>
    <row r="27" spans="2:36" ht="12.65" customHeight="1" x14ac:dyDescent="0.25">
      <c r="B27" s="129" t="s">
        <v>395</v>
      </c>
      <c r="C27" s="367">
        <f t="shared" si="0"/>
        <v>0</v>
      </c>
      <c r="D27" s="156" t="str">
        <f>IF(C$8=0,"N.D.",C27/C$8)</f>
        <v>N.D.</v>
      </c>
      <c r="E27" s="367">
        <f>E85+E112</f>
        <v>0</v>
      </c>
      <c r="F27" s="156">
        <f>IF(E$8=0,"N.D.",E27/E$8)</f>
        <v>0</v>
      </c>
      <c r="G27" s="367">
        <f>G85+G112</f>
        <v>0</v>
      </c>
      <c r="H27" s="156">
        <f>IF(G$8=0,"N.D.",G27/G$8)</f>
        <v>0</v>
      </c>
      <c r="I27" s="367">
        <f t="shared" si="3"/>
        <v>0</v>
      </c>
      <c r="J27" s="156" t="str">
        <f>IF(E27=0,"N.D.",C27/E27-1)</f>
        <v>N.D.</v>
      </c>
      <c r="K27" s="367">
        <f t="shared" si="4"/>
        <v>0</v>
      </c>
      <c r="L27" s="156" t="str">
        <f t="shared" si="5"/>
        <v>N.D.</v>
      </c>
      <c r="N27" s="129" t="s">
        <v>395</v>
      </c>
      <c r="O27" s="367">
        <f t="shared" si="22"/>
        <v>0</v>
      </c>
      <c r="P27" s="156">
        <f>IF(O$8=0,"N.D.",O27/O$8)</f>
        <v>0</v>
      </c>
      <c r="Q27" s="367">
        <f>Q85+Q112</f>
        <v>0</v>
      </c>
      <c r="R27" s="156">
        <f>IF(Q$8=0,"N.D.",Q27/Q$8)</f>
        <v>0</v>
      </c>
      <c r="S27" s="367">
        <f>S85+S112</f>
        <v>0</v>
      </c>
      <c r="T27" s="156">
        <f>IF(S$8=0,"N.D.",S27/S$8)</f>
        <v>0</v>
      </c>
      <c r="U27" s="367">
        <f t="shared" si="6"/>
        <v>0</v>
      </c>
      <c r="V27" s="156" t="str">
        <f t="shared" si="7"/>
        <v>N.D.</v>
      </c>
      <c r="W27" s="367">
        <f t="shared" si="8"/>
        <v>0</v>
      </c>
      <c r="X27" s="156" t="str">
        <f t="shared" si="9"/>
        <v>N.D.</v>
      </c>
      <c r="Z27" s="129" t="s">
        <v>395</v>
      </c>
      <c r="AA27" s="367">
        <f t="shared" si="2"/>
        <v>0</v>
      </c>
      <c r="AB27" s="156">
        <f>IF(AA$8=0,"N.D.",AA27/AA$8)</f>
        <v>0</v>
      </c>
      <c r="AC27" s="367">
        <f ca="1">AC85+AC112</f>
        <v>0</v>
      </c>
      <c r="AD27" s="156">
        <f ca="1">IF(AC$8=0,"N.D.",AC27/AC$8)</f>
        <v>0</v>
      </c>
      <c r="AE27" s="367">
        <f ca="1">AE85+AE112</f>
        <v>0</v>
      </c>
      <c r="AF27" s="156">
        <f ca="1">IF(AE$8=0,"N.D.",AE27/AE$8)</f>
        <v>0</v>
      </c>
      <c r="AG27" s="367">
        <f t="shared" ca="1" si="37"/>
        <v>0</v>
      </c>
      <c r="AH27" s="156" t="str">
        <f ca="1">IF(AC27=0,"N.D.",AA27/AC27-1)</f>
        <v>N.D.</v>
      </c>
      <c r="AI27" s="367">
        <f t="shared" ca="1" si="38"/>
        <v>0</v>
      </c>
      <c r="AJ27" s="156" t="str">
        <f t="shared" ca="1" si="39"/>
        <v>N.D.</v>
      </c>
    </row>
    <row r="28" spans="2:36" ht="12.65" customHeight="1" x14ac:dyDescent="0.3">
      <c r="B28" s="139" t="s">
        <v>146</v>
      </c>
      <c r="C28" s="366">
        <f t="shared" si="0"/>
        <v>0</v>
      </c>
      <c r="D28" s="157" t="str">
        <f>IF(C$8=0,"N.D.",C28/C$8)</f>
        <v>N.D.</v>
      </c>
      <c r="E28" s="366">
        <f>E86+E113</f>
        <v>1809.942</v>
      </c>
      <c r="F28" s="157">
        <f>IF(E$8=0,"N.D.",E28/E$8)</f>
        <v>0.39846842322753478</v>
      </c>
      <c r="G28" s="366">
        <f>G86+G113</f>
        <v>1271.91732</v>
      </c>
      <c r="H28" s="157">
        <f>IF(G$8=0,"N.D.",G28/G$8)</f>
        <v>0.35800351227652732</v>
      </c>
      <c r="I28" s="366">
        <f t="shared" si="3"/>
        <v>-1809.942</v>
      </c>
      <c r="J28" s="157">
        <f>IF(E28=0,"N.D.",C28/E28-1)</f>
        <v>-1</v>
      </c>
      <c r="K28" s="366">
        <f t="shared" si="4"/>
        <v>-1271.91732</v>
      </c>
      <c r="L28" s="157">
        <f t="shared" si="5"/>
        <v>-1</v>
      </c>
      <c r="N28" s="139" t="s">
        <v>146</v>
      </c>
      <c r="O28" s="366">
        <f t="shared" si="22"/>
        <v>12608.52549</v>
      </c>
      <c r="P28" s="157">
        <f>IF(O$8=0,"N.D.",O28/O$8)</f>
        <v>0.40502160286613748</v>
      </c>
      <c r="Q28" s="366">
        <f>Q86+Q113</f>
        <v>12660.141</v>
      </c>
      <c r="R28" s="157">
        <f>IF(Q$8=0,"N.D.",Q28/Q$8)</f>
        <v>0.36344280887751707</v>
      </c>
      <c r="S28" s="366">
        <f>S86+S113</f>
        <v>6403.3110699999988</v>
      </c>
      <c r="T28" s="157">
        <f>IF(S$8=0,"N.D.",S28/S$8)</f>
        <v>0.34811749095763073</v>
      </c>
      <c r="U28" s="366">
        <f t="shared" si="6"/>
        <v>-51.615509999999631</v>
      </c>
      <c r="V28" s="157">
        <f t="shared" si="7"/>
        <v>-4.0770090949223681E-3</v>
      </c>
      <c r="W28" s="366">
        <f t="shared" si="8"/>
        <v>6205.2144200000012</v>
      </c>
      <c r="X28" s="157">
        <f t="shared" si="9"/>
        <v>0.96906340363064736</v>
      </c>
      <c r="Z28" s="139" t="s">
        <v>146</v>
      </c>
      <c r="AA28" s="366">
        <f t="shared" si="2"/>
        <v>2251</v>
      </c>
      <c r="AB28" s="157">
        <f>IF(AA$8=0,"N.D.",AA28/AA$8)</f>
        <v>0.42511803588290842</v>
      </c>
      <c r="AC28" s="366">
        <f ca="1">AC86+AC113</f>
        <v>1309.6130000000001</v>
      </c>
      <c r="AD28" s="157">
        <f ca="1">IF(AC$8=0,"N.D.",AC28/AC$8)</f>
        <v>0.42712079218770693</v>
      </c>
      <c r="AE28" s="366">
        <f ca="1">AE86+AE113</f>
        <v>1800.914</v>
      </c>
      <c r="AF28" s="157">
        <f ca="1">IF(AE$8=0,"N.D.",AE28/AE$8)</f>
        <v>0.38995230488840793</v>
      </c>
      <c r="AG28" s="366">
        <f t="shared" ca="1" si="37"/>
        <v>941.38699999999994</v>
      </c>
      <c r="AH28" s="157">
        <f ca="1">IF(AC28=0,"N.D.",AA28/AC28-1)</f>
        <v>0.7188283867066072</v>
      </c>
      <c r="AI28" s="366">
        <f t="shared" ca="1" si="38"/>
        <v>450.08600000000001</v>
      </c>
      <c r="AJ28" s="157">
        <f t="shared" ca="1" si="39"/>
        <v>0.24992087351200554</v>
      </c>
    </row>
    <row r="29" spans="2:36" ht="12.65" customHeight="1" x14ac:dyDescent="0.3">
      <c r="B29" s="139" t="s">
        <v>248</v>
      </c>
      <c r="C29" s="366">
        <f t="shared" si="0"/>
        <v>0</v>
      </c>
      <c r="D29" s="157" t="str">
        <f>IF(C$8=0,"N.D.",C29/C$8)</f>
        <v>N.D.</v>
      </c>
      <c r="E29" s="366">
        <f>E87+E114</f>
        <v>1676.896</v>
      </c>
      <c r="F29" s="157">
        <f>IF(E$8=0,"N.D.",E29/E$8)</f>
        <v>0.36917763388913022</v>
      </c>
      <c r="G29" s="366">
        <f>G87+G114</f>
        <v>979.13339999999994</v>
      </c>
      <c r="H29" s="157">
        <f>IF(G$8=0,"N.D.",G29/G$8)</f>
        <v>0.27559432572807324</v>
      </c>
      <c r="I29" s="366">
        <f t="shared" si="3"/>
        <v>-1676.896</v>
      </c>
      <c r="J29" s="157">
        <f>IF(E29=0,"N.D.",C29/E29-1)</f>
        <v>-1</v>
      </c>
      <c r="K29" s="366">
        <f t="shared" si="4"/>
        <v>-979.13339999999994</v>
      </c>
      <c r="L29" s="157">
        <f t="shared" si="5"/>
        <v>-1</v>
      </c>
      <c r="N29" s="139" t="s">
        <v>248</v>
      </c>
      <c r="O29" s="366">
        <f t="shared" si="22"/>
        <v>9770.6574799999999</v>
      </c>
      <c r="P29" s="157">
        <f>IF(O$8=0,"N.D.",O29/O$8)</f>
        <v>0.31386123276224709</v>
      </c>
      <c r="Q29" s="366">
        <f>Q87+Q114</f>
        <v>10578.116</v>
      </c>
      <c r="R29" s="157">
        <f>IF(Q$8=0,"N.D.",Q29/Q$8)</f>
        <v>0.30367277834205836</v>
      </c>
      <c r="S29" s="366">
        <f>S87+S114</f>
        <v>3612.0407499999992</v>
      </c>
      <c r="T29" s="157">
        <f>IF(S$8=0,"N.D.",S29/S$8)</f>
        <v>0.19636943284198727</v>
      </c>
      <c r="U29" s="366">
        <f t="shared" si="6"/>
        <v>-807.45852000000014</v>
      </c>
      <c r="V29" s="157">
        <f t="shared" si="7"/>
        <v>-7.6332923556519883E-2</v>
      </c>
      <c r="W29" s="366">
        <f t="shared" si="8"/>
        <v>6158.6167300000006</v>
      </c>
      <c r="X29" s="157">
        <f t="shared" si="9"/>
        <v>1.7050241556660186</v>
      </c>
      <c r="Z29" s="139" t="s">
        <v>248</v>
      </c>
      <c r="AA29" s="366">
        <f t="shared" si="2"/>
        <v>2180</v>
      </c>
      <c r="AB29" s="157">
        <f>IF(AA$8=0,"N.D.",AA29/AA$8)</f>
        <v>0.41170915958451371</v>
      </c>
      <c r="AC29" s="366">
        <f ca="1">AC87+AC114</f>
        <v>1086.136</v>
      </c>
      <c r="AD29" s="157">
        <f ca="1">IF(AC$8=0,"N.D.",AC29/AC$8)</f>
        <v>0.35423538766306323</v>
      </c>
      <c r="AE29" s="366">
        <f ca="1">AE87+AE114</f>
        <v>1482.1819999999998</v>
      </c>
      <c r="AF29" s="157">
        <f ca="1">IF(AE$8=0,"N.D.",AE29/AE$8)</f>
        <v>0.32093719476005528</v>
      </c>
      <c r="AG29" s="366">
        <f t="shared" ca="1" si="37"/>
        <v>1093.864</v>
      </c>
      <c r="AH29" s="157">
        <f ca="1">IF(AC29=0,"N.D.",AA29/AC29-1)</f>
        <v>1.0071151310701425</v>
      </c>
      <c r="AI29" s="366">
        <f t="shared" ca="1" si="38"/>
        <v>697.81800000000021</v>
      </c>
      <c r="AJ29" s="157">
        <f t="shared" ca="1" si="39"/>
        <v>0.47080453007795287</v>
      </c>
    </row>
    <row r="30" spans="2:36" ht="12.65" customHeight="1" x14ac:dyDescent="0.3">
      <c r="B30" s="139"/>
      <c r="C30" s="368"/>
      <c r="D30" s="332"/>
      <c r="E30" s="368"/>
      <c r="F30" s="332"/>
      <c r="G30" s="368"/>
      <c r="H30" s="332"/>
      <c r="I30" s="368"/>
      <c r="J30" s="332"/>
      <c r="K30" s="368"/>
      <c r="L30" s="332"/>
      <c r="N30" s="139"/>
      <c r="O30" s="368"/>
      <c r="P30" s="332"/>
      <c r="Q30" s="368"/>
      <c r="R30" s="332"/>
      <c r="S30" s="368"/>
      <c r="T30" s="332"/>
      <c r="U30" s="368"/>
      <c r="V30" s="332"/>
      <c r="W30" s="368"/>
      <c r="X30" s="332"/>
      <c r="Z30" s="139"/>
      <c r="AA30" s="368"/>
      <c r="AB30" s="332"/>
      <c r="AC30" s="368"/>
      <c r="AD30" s="332"/>
      <c r="AE30" s="368"/>
      <c r="AF30" s="332"/>
      <c r="AG30" s="368"/>
      <c r="AH30" s="332"/>
      <c r="AI30" s="368"/>
      <c r="AJ30" s="332"/>
    </row>
    <row r="31" spans="2:36" ht="12.65" customHeight="1" x14ac:dyDescent="0.3">
      <c r="B31" s="359" t="str">
        <f>+B6</f>
        <v>Mensual</v>
      </c>
      <c r="D31" s="356"/>
      <c r="E31" s="362"/>
      <c r="F31" s="362"/>
      <c r="G31" s="362"/>
      <c r="H31" s="362"/>
      <c r="I31" s="362"/>
      <c r="J31" s="362"/>
      <c r="K31" s="362"/>
      <c r="L31" s="362"/>
      <c r="M31" s="362"/>
      <c r="N31" s="359" t="str">
        <f>+N6</f>
        <v>Acumulado</v>
      </c>
      <c r="O31" s="362"/>
      <c r="P31" s="362"/>
      <c r="Q31" s="362"/>
      <c r="R31" s="362"/>
      <c r="S31" s="362"/>
      <c r="T31" s="362"/>
      <c r="U31" s="362"/>
      <c r="V31" s="362"/>
      <c r="W31" s="362"/>
      <c r="X31" s="362"/>
      <c r="Z31" s="359" t="str">
        <f>+Z6</f>
        <v>Proyección</v>
      </c>
      <c r="AB31" s="356"/>
      <c r="AC31" s="362"/>
      <c r="AD31" s="362"/>
      <c r="AE31" s="362"/>
      <c r="AF31" s="362"/>
      <c r="AG31" s="362"/>
      <c r="AH31" s="362"/>
      <c r="AI31" s="362"/>
      <c r="AJ31" s="362"/>
    </row>
    <row r="32" spans="2:36" ht="12.65" customHeight="1" x14ac:dyDescent="0.3">
      <c r="C32" s="363" t="s">
        <v>169</v>
      </c>
      <c r="E32" s="363" t="s">
        <v>161</v>
      </c>
      <c r="G32" s="201" t="s">
        <v>134</v>
      </c>
      <c r="J32" s="356"/>
      <c r="L32" s="356"/>
      <c r="O32" s="363" t="s">
        <v>169</v>
      </c>
      <c r="Q32" s="363" t="s">
        <v>161</v>
      </c>
      <c r="S32" s="201" t="s">
        <v>134</v>
      </c>
      <c r="T32" s="361"/>
      <c r="AA32" s="363" t="s">
        <v>169</v>
      </c>
      <c r="AC32" s="363" t="s">
        <v>161</v>
      </c>
      <c r="AE32" s="201" t="s">
        <v>134</v>
      </c>
      <c r="AH32" s="356"/>
      <c r="AJ32" s="356"/>
    </row>
    <row r="33" spans="2:36" ht="12.65" customHeight="1" x14ac:dyDescent="0.25">
      <c r="B33" s="129" t="s">
        <v>236</v>
      </c>
      <c r="C33" s="364">
        <f t="shared" ref="C33:D35" si="40">C66</f>
        <v>0</v>
      </c>
      <c r="D33" s="155" t="str">
        <f t="shared" si="40"/>
        <v>N.D.</v>
      </c>
      <c r="E33" s="364">
        <f t="shared" ref="E33:F35" si="41">+C93</f>
        <v>0</v>
      </c>
      <c r="F33" s="155" t="str">
        <f t="shared" si="41"/>
        <v>N.D.</v>
      </c>
      <c r="G33" s="364">
        <f>C33+E33</f>
        <v>0</v>
      </c>
      <c r="H33" s="155" t="str">
        <f>IF(G33=0,"N.D.",G33/G33)</f>
        <v>N.D.</v>
      </c>
      <c r="I33" s="365"/>
      <c r="J33" s="356"/>
      <c r="L33" s="356"/>
      <c r="N33" s="129" t="s">
        <v>236</v>
      </c>
      <c r="O33" s="364">
        <f t="shared" ref="O33:P35" si="42">O66</f>
        <v>21003.332879999998</v>
      </c>
      <c r="P33" s="155">
        <f t="shared" si="42"/>
        <v>1</v>
      </c>
      <c r="Q33" s="364">
        <f>O93</f>
        <v>10127.168310000001</v>
      </c>
      <c r="R33" s="155">
        <f>P93</f>
        <v>1</v>
      </c>
      <c r="S33" s="364">
        <f>O33+Q33</f>
        <v>31130.501189999999</v>
      </c>
      <c r="T33" s="155">
        <f>IF(S33=0,"N.D.",S33/S33)</f>
        <v>1</v>
      </c>
      <c r="Z33" s="129" t="s">
        <v>236</v>
      </c>
      <c r="AA33" s="364">
        <f t="shared" ref="AA33:AB35" si="43">AA66</f>
        <v>3657</v>
      </c>
      <c r="AB33" s="155">
        <f t="shared" si="43"/>
        <v>1</v>
      </c>
      <c r="AC33" s="364">
        <f>AA93</f>
        <v>1638</v>
      </c>
      <c r="AD33" s="155">
        <f>AB93</f>
        <v>1</v>
      </c>
      <c r="AE33" s="364">
        <f>AA33+AC33</f>
        <v>5295</v>
      </c>
      <c r="AF33" s="155">
        <f>IF(AE33=0,"N.D.",AE33/AE33)</f>
        <v>1</v>
      </c>
      <c r="AG33" s="365"/>
      <c r="AH33" s="356"/>
      <c r="AJ33" s="356"/>
    </row>
    <row r="34" spans="2:36" ht="12.65" customHeight="1" x14ac:dyDescent="0.25">
      <c r="B34" s="129" t="s">
        <v>145</v>
      </c>
      <c r="C34" s="365">
        <f t="shared" si="40"/>
        <v>0</v>
      </c>
      <c r="D34" s="156" t="str">
        <f t="shared" si="40"/>
        <v>N.D.</v>
      </c>
      <c r="E34" s="365">
        <f t="shared" si="41"/>
        <v>0</v>
      </c>
      <c r="F34" s="156" t="str">
        <f t="shared" si="41"/>
        <v>N.D.</v>
      </c>
      <c r="G34" s="365">
        <f t="shared" ref="G34:G35" si="44">C34+E34</f>
        <v>0</v>
      </c>
      <c r="H34" s="156" t="str">
        <f>IF(G33=0,"N.D.",G34/G33)</f>
        <v>N.D.</v>
      </c>
      <c r="I34" s="365"/>
      <c r="J34" s="356"/>
      <c r="L34" s="356"/>
      <c r="N34" s="129" t="s">
        <v>145</v>
      </c>
      <c r="O34" s="365">
        <f t="shared" si="42"/>
        <v>10407.633119999999</v>
      </c>
      <c r="P34" s="156">
        <f t="shared" si="42"/>
        <v>0.49552293340598619</v>
      </c>
      <c r="Q34" s="365">
        <f>O94</f>
        <v>7930.6412300000002</v>
      </c>
      <c r="R34" s="156">
        <f>P94</f>
        <v>0.78310550266740842</v>
      </c>
      <c r="S34" s="365">
        <f>O34+Q34</f>
        <v>18338.27435</v>
      </c>
      <c r="T34" s="156">
        <f>IF(S33=0,"N.D.",S34/S33)</f>
        <v>0.58907738870233073</v>
      </c>
      <c r="Z34" s="129" t="s">
        <v>145</v>
      </c>
      <c r="AA34" s="365">
        <f t="shared" si="43"/>
        <v>1646</v>
      </c>
      <c r="AB34" s="156">
        <f t="shared" si="43"/>
        <v>0.45009570686354938</v>
      </c>
      <c r="AC34" s="365">
        <f>AA94</f>
        <v>1147</v>
      </c>
      <c r="AD34" s="156">
        <f>AB94</f>
        <v>0.7002442002442002</v>
      </c>
      <c r="AE34" s="365">
        <f>AA34+AC34</f>
        <v>2793</v>
      </c>
      <c r="AF34" s="156">
        <f>IF(AE33=0,"N.D.",AE34/AE33)</f>
        <v>0.52747875354107654</v>
      </c>
      <c r="AG34" s="365"/>
      <c r="AH34" s="356"/>
      <c r="AJ34" s="356"/>
    </row>
    <row r="35" spans="2:36" ht="12.65" customHeight="1" x14ac:dyDescent="0.3">
      <c r="B35" s="139" t="s">
        <v>237</v>
      </c>
      <c r="C35" s="366">
        <f t="shared" si="40"/>
        <v>0</v>
      </c>
      <c r="D35" s="157" t="str">
        <f t="shared" si="40"/>
        <v>N.D.</v>
      </c>
      <c r="E35" s="366">
        <f t="shared" si="41"/>
        <v>0</v>
      </c>
      <c r="F35" s="157" t="str">
        <f t="shared" si="41"/>
        <v>N.D.</v>
      </c>
      <c r="G35" s="366">
        <f t="shared" si="44"/>
        <v>0</v>
      </c>
      <c r="H35" s="157" t="str">
        <f>IF(G33=0,"N.D.",G35/G33)</f>
        <v>N.D.</v>
      </c>
      <c r="I35" s="365"/>
      <c r="J35" s="356"/>
      <c r="L35" s="356"/>
      <c r="N35" s="139" t="s">
        <v>237</v>
      </c>
      <c r="O35" s="366">
        <f t="shared" si="42"/>
        <v>10595.69976</v>
      </c>
      <c r="P35" s="157">
        <f t="shared" si="42"/>
        <v>0.50447706659401381</v>
      </c>
      <c r="Q35" s="366">
        <f>+Q33-Q34</f>
        <v>2196.5270800000008</v>
      </c>
      <c r="R35" s="157">
        <f>P95</f>
        <v>0.21689449733259153</v>
      </c>
      <c r="S35" s="366">
        <f>O35+Q35</f>
        <v>12792.226839999999</v>
      </c>
      <c r="T35" s="157">
        <f>IF(S33=0,"N.D.",S35/S33)</f>
        <v>0.41092261129766922</v>
      </c>
      <c r="Z35" s="139" t="s">
        <v>237</v>
      </c>
      <c r="AA35" s="366">
        <f t="shared" si="43"/>
        <v>2011</v>
      </c>
      <c r="AB35" s="157">
        <f t="shared" si="43"/>
        <v>0.54990429313645062</v>
      </c>
      <c r="AC35" s="366">
        <f>+AC33-AC34</f>
        <v>491</v>
      </c>
      <c r="AD35" s="157">
        <f>AB95</f>
        <v>0.29975579975579975</v>
      </c>
      <c r="AE35" s="366">
        <f>AA35+AC35</f>
        <v>2502</v>
      </c>
      <c r="AF35" s="157">
        <f>IF(AE33=0,"N.D.",AE35/AE33)</f>
        <v>0.47252124645892352</v>
      </c>
      <c r="AG35" s="365"/>
      <c r="AH35" s="356"/>
      <c r="AJ35" s="356"/>
    </row>
    <row r="36" spans="2:36" ht="12.65" customHeight="1" x14ac:dyDescent="0.3">
      <c r="B36" s="129"/>
      <c r="C36" s="362"/>
      <c r="D36" s="158"/>
      <c r="E36" s="362"/>
      <c r="F36" s="158"/>
      <c r="G36" s="362"/>
      <c r="H36" s="158"/>
      <c r="I36" s="126"/>
      <c r="J36" s="356"/>
      <c r="L36" s="356"/>
      <c r="N36" s="129"/>
      <c r="O36" s="362"/>
      <c r="P36" s="158"/>
      <c r="Q36" s="362"/>
      <c r="R36" s="158"/>
      <c r="S36" s="362"/>
      <c r="T36" s="158"/>
      <c r="Z36" s="129"/>
      <c r="AA36" s="362"/>
      <c r="AB36" s="158"/>
      <c r="AC36" s="362"/>
      <c r="AD36" s="158"/>
      <c r="AE36" s="362"/>
      <c r="AF36" s="158"/>
      <c r="AG36" s="126"/>
      <c r="AH36" s="356"/>
      <c r="AJ36" s="356"/>
    </row>
    <row r="37" spans="2:36" ht="12.65" customHeight="1" x14ac:dyDescent="0.25">
      <c r="B37" s="129" t="s">
        <v>238</v>
      </c>
      <c r="C37" s="364">
        <f t="shared" ref="C37:D41" si="45">C70</f>
        <v>0</v>
      </c>
      <c r="D37" s="155" t="str">
        <f t="shared" si="45"/>
        <v>N.D.</v>
      </c>
      <c r="E37" s="364">
        <f t="shared" ref="E37:F41" si="46">+C97</f>
        <v>0</v>
      </c>
      <c r="F37" s="155" t="str">
        <f t="shared" si="46"/>
        <v>N.D.</v>
      </c>
      <c r="G37" s="364">
        <f t="shared" ref="G37:G41" si="47">C37+E37</f>
        <v>0</v>
      </c>
      <c r="H37" s="155" t="str">
        <f>IF(G33=0,"N.D.",G37/G33)</f>
        <v>N.D.</v>
      </c>
      <c r="I37" s="365"/>
      <c r="J37" s="356"/>
      <c r="L37" s="356"/>
      <c r="N37" s="129" t="s">
        <v>238</v>
      </c>
      <c r="O37" s="364">
        <f t="shared" ref="O37:P41" si="48">O70</f>
        <v>955.77688999999998</v>
      </c>
      <c r="P37" s="155">
        <f t="shared" si="48"/>
        <v>4.5505963051707822E-2</v>
      </c>
      <c r="Q37" s="364">
        <f t="shared" ref="Q37:R41" si="49">O97</f>
        <v>0</v>
      </c>
      <c r="R37" s="155">
        <f t="shared" si="49"/>
        <v>0</v>
      </c>
      <c r="S37" s="364">
        <f>O37+Q37</f>
        <v>955.77688999999998</v>
      </c>
      <c r="T37" s="155">
        <f>IF(S33=0,"N.D.",S37/S33)</f>
        <v>3.0702264771343375E-2</v>
      </c>
      <c r="Z37" s="129" t="s">
        <v>238</v>
      </c>
      <c r="AA37" s="364">
        <f t="shared" ref="AA37:AB41" si="50">AA70</f>
        <v>128</v>
      </c>
      <c r="AB37" s="155">
        <f t="shared" si="50"/>
        <v>3.5001367240907848E-2</v>
      </c>
      <c r="AC37" s="364">
        <f t="shared" ref="AC37:AD41" si="51">AA97</f>
        <v>0</v>
      </c>
      <c r="AD37" s="155">
        <f t="shared" si="51"/>
        <v>0</v>
      </c>
      <c r="AE37" s="364">
        <f>AA37+AC37</f>
        <v>128</v>
      </c>
      <c r="AF37" s="155">
        <f>IF(AE33=0,"N.D.",AE37/AE33)</f>
        <v>2.4173748819641169E-2</v>
      </c>
      <c r="AG37" s="365"/>
      <c r="AH37" s="356"/>
      <c r="AJ37" s="356"/>
    </row>
    <row r="38" spans="2:36" ht="12.65" customHeight="1" x14ac:dyDescent="0.25">
      <c r="B38" s="129" t="s">
        <v>239</v>
      </c>
      <c r="C38" s="365">
        <f t="shared" si="45"/>
        <v>0</v>
      </c>
      <c r="D38" s="159" t="str">
        <f t="shared" si="45"/>
        <v>N.D.</v>
      </c>
      <c r="E38" s="365">
        <f t="shared" si="46"/>
        <v>0</v>
      </c>
      <c r="F38" s="159" t="str">
        <f t="shared" si="46"/>
        <v>N.D.</v>
      </c>
      <c r="G38" s="365">
        <f t="shared" si="47"/>
        <v>0</v>
      </c>
      <c r="H38" s="159" t="str">
        <f>IF(G33=0,"N.D.",G38/G33)</f>
        <v>N.D.</v>
      </c>
      <c r="I38" s="365"/>
      <c r="J38" s="356"/>
      <c r="L38" s="356"/>
      <c r="N38" s="129" t="s">
        <v>239</v>
      </c>
      <c r="O38" s="365">
        <f t="shared" si="48"/>
        <v>1198.8922500000001</v>
      </c>
      <c r="P38" s="159">
        <f t="shared" si="48"/>
        <v>5.7081047891290683E-2</v>
      </c>
      <c r="Q38" s="365">
        <f t="shared" si="49"/>
        <v>866.90021999999999</v>
      </c>
      <c r="R38" s="159">
        <f t="shared" si="49"/>
        <v>8.5601442917067491E-2</v>
      </c>
      <c r="S38" s="365">
        <f>O38+Q38</f>
        <v>2065.7924700000003</v>
      </c>
      <c r="T38" s="159">
        <f>IF(S33=0,"N.D.",S38/S33)</f>
        <v>6.6359113764078798E-2</v>
      </c>
      <c r="Z38" s="129" t="s">
        <v>239</v>
      </c>
      <c r="AA38" s="365">
        <f t="shared" si="50"/>
        <v>95</v>
      </c>
      <c r="AB38" s="159">
        <f t="shared" si="50"/>
        <v>2.5977577249111292E-2</v>
      </c>
      <c r="AC38" s="365">
        <f t="shared" si="51"/>
        <v>99</v>
      </c>
      <c r="AD38" s="159">
        <f t="shared" si="51"/>
        <v>6.043956043956044E-2</v>
      </c>
      <c r="AE38" s="365">
        <f>AA38+AC38</f>
        <v>194</v>
      </c>
      <c r="AF38" s="159">
        <f>IF(AE33=0,"N.D.",AE38/AE33)</f>
        <v>3.6638338054768647E-2</v>
      </c>
      <c r="AG38" s="365"/>
      <c r="AH38" s="356"/>
      <c r="AJ38" s="356"/>
    </row>
    <row r="39" spans="2:36" ht="12.65" customHeight="1" x14ac:dyDescent="0.25">
      <c r="B39" s="129" t="s">
        <v>240</v>
      </c>
      <c r="C39" s="367">
        <f t="shared" si="45"/>
        <v>0</v>
      </c>
      <c r="D39" s="156" t="str">
        <f t="shared" si="45"/>
        <v>N.D.</v>
      </c>
      <c r="E39" s="367">
        <f t="shared" si="46"/>
        <v>0</v>
      </c>
      <c r="F39" s="156" t="str">
        <f t="shared" si="46"/>
        <v>N.D.</v>
      </c>
      <c r="G39" s="367">
        <f t="shared" si="47"/>
        <v>0</v>
      </c>
      <c r="H39" s="156" t="str">
        <f>IF(G33=0,"N.D.",G39/G33)</f>
        <v>N.D.</v>
      </c>
      <c r="I39" s="365"/>
      <c r="J39" s="356"/>
      <c r="L39" s="356"/>
      <c r="N39" s="129" t="s">
        <v>240</v>
      </c>
      <c r="O39" s="367">
        <f t="shared" si="48"/>
        <v>12.01268</v>
      </c>
      <c r="P39" s="156">
        <f t="shared" si="48"/>
        <v>5.7194160891668928E-4</v>
      </c>
      <c r="Q39" s="367">
        <f t="shared" si="49"/>
        <v>170.49596</v>
      </c>
      <c r="R39" s="156">
        <f t="shared" si="49"/>
        <v>1.6835501769200869E-2</v>
      </c>
      <c r="S39" s="367">
        <f>O39+Q39</f>
        <v>182.50863999999999</v>
      </c>
      <c r="T39" s="156">
        <f>IF(S33=0,"N.D.",S39/S33)</f>
        <v>5.8626952032056244E-3</v>
      </c>
      <c r="Z39" s="129" t="s">
        <v>240</v>
      </c>
      <c r="AA39" s="367">
        <f t="shared" si="50"/>
        <v>3</v>
      </c>
      <c r="AB39" s="156">
        <f t="shared" si="50"/>
        <v>8.2034454470877774E-4</v>
      </c>
      <c r="AC39" s="367">
        <f t="shared" si="51"/>
        <v>24</v>
      </c>
      <c r="AD39" s="156">
        <f t="shared" si="51"/>
        <v>1.4652014652014652E-2</v>
      </c>
      <c r="AE39" s="367">
        <f>AA39+AC39</f>
        <v>27</v>
      </c>
      <c r="AF39" s="156">
        <f>IF(AE33=0,"N.D.",AE39/AE33)</f>
        <v>5.0991501416430595E-3</v>
      </c>
      <c r="AG39" s="365"/>
      <c r="AH39" s="356"/>
      <c r="AJ39" s="356"/>
    </row>
    <row r="40" spans="2:36" ht="12.65" customHeight="1" x14ac:dyDescent="0.3">
      <c r="B40" s="139" t="s">
        <v>241</v>
      </c>
      <c r="C40" s="366">
        <f t="shared" si="45"/>
        <v>0</v>
      </c>
      <c r="D40" s="157" t="str">
        <f t="shared" si="45"/>
        <v>N.D.</v>
      </c>
      <c r="E40" s="366">
        <f t="shared" si="46"/>
        <v>0</v>
      </c>
      <c r="F40" s="157" t="str">
        <f t="shared" si="46"/>
        <v>N.D.</v>
      </c>
      <c r="G40" s="366">
        <f t="shared" si="47"/>
        <v>0</v>
      </c>
      <c r="H40" s="157" t="str">
        <f>IF(G33=0,"N.D.",G40/G33)</f>
        <v>N.D.</v>
      </c>
      <c r="I40" s="365"/>
      <c r="J40" s="356"/>
      <c r="L40" s="356"/>
      <c r="N40" s="139" t="s">
        <v>241</v>
      </c>
      <c r="O40" s="366">
        <f t="shared" si="48"/>
        <v>2166.6818199999998</v>
      </c>
      <c r="P40" s="157">
        <f t="shared" si="48"/>
        <v>0.10315895255191518</v>
      </c>
      <c r="Q40" s="366">
        <f t="shared" si="49"/>
        <v>1037.39618</v>
      </c>
      <c r="R40" s="157">
        <f t="shared" si="49"/>
        <v>0.10243694468626836</v>
      </c>
      <c r="S40" s="366">
        <f>O40+Q40</f>
        <v>3204.0779999999995</v>
      </c>
      <c r="T40" s="157">
        <f>IF(S33=0,"N.D.",S40/S33)</f>
        <v>0.10292407373862777</v>
      </c>
      <c r="Z40" s="139" t="s">
        <v>241</v>
      </c>
      <c r="AA40" s="366">
        <f t="shared" si="50"/>
        <v>226</v>
      </c>
      <c r="AB40" s="157">
        <f t="shared" si="50"/>
        <v>6.1799289034727922E-2</v>
      </c>
      <c r="AC40" s="366">
        <f t="shared" si="51"/>
        <v>123</v>
      </c>
      <c r="AD40" s="157">
        <f t="shared" si="51"/>
        <v>7.5091575091575088E-2</v>
      </c>
      <c r="AE40" s="366">
        <f>AA40+AC40</f>
        <v>349</v>
      </c>
      <c r="AF40" s="157">
        <f>IF(AE33=0,"N.D.",AE40/AE33)</f>
        <v>6.5911237016052879E-2</v>
      </c>
      <c r="AG40" s="365"/>
      <c r="AH40" s="356"/>
      <c r="AJ40" s="356"/>
    </row>
    <row r="41" spans="2:36" ht="12.65" customHeight="1" x14ac:dyDescent="0.3">
      <c r="B41" s="139" t="s">
        <v>242</v>
      </c>
      <c r="C41" s="366">
        <f t="shared" si="45"/>
        <v>0</v>
      </c>
      <c r="D41" s="157" t="str">
        <f t="shared" si="45"/>
        <v>N.D.</v>
      </c>
      <c r="E41" s="366">
        <f t="shared" si="46"/>
        <v>0</v>
      </c>
      <c r="F41" s="157" t="str">
        <f t="shared" si="46"/>
        <v>N.D.</v>
      </c>
      <c r="G41" s="366">
        <f t="shared" si="47"/>
        <v>0</v>
      </c>
      <c r="H41" s="157" t="str">
        <f>IF(G33=0,"N.D.",G41/G33)</f>
        <v>N.D.</v>
      </c>
      <c r="I41" s="365"/>
      <c r="J41" s="356"/>
      <c r="L41" s="356"/>
      <c r="N41" s="139" t="s">
        <v>242</v>
      </c>
      <c r="O41" s="366">
        <f t="shared" si="48"/>
        <v>8429.0179399999997</v>
      </c>
      <c r="P41" s="157">
        <f t="shared" si="48"/>
        <v>0.40131811404209866</v>
      </c>
      <c r="Q41" s="366">
        <f t="shared" si="49"/>
        <v>1159.1309000000008</v>
      </c>
      <c r="R41" s="157">
        <f t="shared" si="49"/>
        <v>0.11445755264632318</v>
      </c>
      <c r="S41" s="366">
        <f>O41+Q41</f>
        <v>9588.1488399999998</v>
      </c>
      <c r="T41" s="157">
        <f>IF(S33=0,"N.D.",S41/S33)</f>
        <v>0.30799853755904144</v>
      </c>
      <c r="Z41" s="139" t="s">
        <v>242</v>
      </c>
      <c r="AA41" s="366">
        <f t="shared" si="50"/>
        <v>1785</v>
      </c>
      <c r="AB41" s="157">
        <f t="shared" si="50"/>
        <v>0.48810500410172275</v>
      </c>
      <c r="AC41" s="366">
        <f t="shared" si="51"/>
        <v>368</v>
      </c>
      <c r="AD41" s="157">
        <f t="shared" si="51"/>
        <v>0.22466422466422467</v>
      </c>
      <c r="AE41" s="366">
        <f>AA41+AC41</f>
        <v>2153</v>
      </c>
      <c r="AF41" s="157">
        <f>IF(AE33=0,"N.D.",AE41/AE33)</f>
        <v>0.40661000944287062</v>
      </c>
      <c r="AG41" s="365"/>
      <c r="AH41" s="356"/>
      <c r="AJ41" s="356"/>
    </row>
    <row r="42" spans="2:36" ht="12.65" customHeight="1" x14ac:dyDescent="0.3">
      <c r="B42" s="129"/>
      <c r="C42" s="362"/>
      <c r="D42" s="158"/>
      <c r="E42" s="362"/>
      <c r="F42" s="158"/>
      <c r="G42" s="362"/>
      <c r="H42" s="158"/>
      <c r="I42" s="126"/>
      <c r="J42" s="356"/>
      <c r="L42" s="356"/>
      <c r="N42" s="129"/>
      <c r="O42" s="362"/>
      <c r="P42" s="158"/>
      <c r="Q42" s="362"/>
      <c r="R42" s="158"/>
      <c r="S42" s="362"/>
      <c r="T42" s="158"/>
      <c r="Z42" s="129"/>
      <c r="AA42" s="362"/>
      <c r="AB42" s="158"/>
      <c r="AC42" s="362"/>
      <c r="AD42" s="158"/>
      <c r="AE42" s="362"/>
      <c r="AF42" s="158"/>
      <c r="AG42" s="126"/>
      <c r="AH42" s="356"/>
      <c r="AJ42" s="356"/>
    </row>
    <row r="43" spans="2:36" ht="12.65" customHeight="1" x14ac:dyDescent="0.3">
      <c r="B43" s="129" t="s">
        <v>243</v>
      </c>
      <c r="C43" s="364">
        <f t="shared" ref="C43:D47" si="52">C76</f>
        <v>0</v>
      </c>
      <c r="D43" s="155" t="str">
        <f t="shared" si="52"/>
        <v>N.D.</v>
      </c>
      <c r="E43" s="364">
        <f t="shared" ref="E43:F47" si="53">+C103</f>
        <v>0</v>
      </c>
      <c r="F43" s="155" t="str">
        <f t="shared" si="53"/>
        <v>N.D.</v>
      </c>
      <c r="G43" s="364">
        <f t="shared" ref="G43:G49" si="54">C43+E43</f>
        <v>0</v>
      </c>
      <c r="H43" s="155" t="str">
        <f>IF(G33=0,"N.D.",G43/G33)</f>
        <v>N.D.</v>
      </c>
      <c r="I43" s="126"/>
      <c r="J43" s="356"/>
      <c r="L43" s="356"/>
      <c r="N43" s="129" t="s">
        <v>243</v>
      </c>
      <c r="O43" s="364">
        <f t="shared" ref="O43:P47" si="55">O76</f>
        <v>-197.55495000000002</v>
      </c>
      <c r="P43" s="155">
        <f t="shared" si="55"/>
        <v>-9.4058857767339282E-3</v>
      </c>
      <c r="Q43" s="364">
        <f t="shared" ref="Q43:R47" si="56">O103</f>
        <v>-88.796449999999993</v>
      </c>
      <c r="R43" s="155">
        <f t="shared" si="56"/>
        <v>-8.768142019750829E-3</v>
      </c>
      <c r="S43" s="364">
        <f t="shared" ref="S43:S49" si="57">O43+Q43</f>
        <v>-286.35140000000001</v>
      </c>
      <c r="T43" s="155">
        <f>IF(S33=0,"N.D.",S43/S33)</f>
        <v>-9.1984192047632127E-3</v>
      </c>
      <c r="Z43" s="129" t="s">
        <v>243</v>
      </c>
      <c r="AA43" s="364">
        <f t="shared" ref="AA43:AB47" si="58">AA76</f>
        <v>-93</v>
      </c>
      <c r="AB43" s="155">
        <f t="shared" si="58"/>
        <v>-2.5430680885972109E-2</v>
      </c>
      <c r="AC43" s="364">
        <f t="shared" ref="AC43:AD47" si="59">AA103</f>
        <v>-98</v>
      </c>
      <c r="AD43" s="155">
        <f t="shared" si="59"/>
        <v>-5.9829059829059832E-2</v>
      </c>
      <c r="AE43" s="364">
        <f t="shared" ref="AE43:AE49" si="60">AA43+AC43</f>
        <v>-191</v>
      </c>
      <c r="AF43" s="155">
        <f>IF(AE33=0,"N.D.",AE43/AE33)</f>
        <v>-3.6071765816808307E-2</v>
      </c>
      <c r="AG43" s="126"/>
      <c r="AH43" s="356"/>
      <c r="AJ43" s="356"/>
    </row>
    <row r="44" spans="2:36" ht="12.65" customHeight="1" x14ac:dyDescent="0.3">
      <c r="B44" s="129" t="s">
        <v>244</v>
      </c>
      <c r="C44" s="365">
        <f t="shared" si="52"/>
        <v>0</v>
      </c>
      <c r="D44" s="159" t="str">
        <f t="shared" si="52"/>
        <v>N.D.</v>
      </c>
      <c r="E44" s="365">
        <f t="shared" si="53"/>
        <v>0</v>
      </c>
      <c r="F44" s="159" t="str">
        <f t="shared" si="53"/>
        <v>N.D.</v>
      </c>
      <c r="G44" s="365">
        <f t="shared" si="54"/>
        <v>0</v>
      </c>
      <c r="H44" s="159" t="str">
        <f>IF(G33=0,"N.D.",G44/G33)</f>
        <v>N.D.</v>
      </c>
      <c r="I44" s="126"/>
      <c r="J44" s="356"/>
      <c r="L44" s="356"/>
      <c r="N44" s="129" t="s">
        <v>244</v>
      </c>
      <c r="O44" s="365">
        <f t="shared" si="55"/>
        <v>0</v>
      </c>
      <c r="P44" s="159">
        <f t="shared" si="55"/>
        <v>0</v>
      </c>
      <c r="Q44" s="365">
        <f t="shared" si="56"/>
        <v>0</v>
      </c>
      <c r="R44" s="159">
        <f t="shared" si="56"/>
        <v>0</v>
      </c>
      <c r="S44" s="365">
        <f t="shared" si="57"/>
        <v>0</v>
      </c>
      <c r="T44" s="159">
        <f>IF(S33=0,"N.D.",S44/S33)</f>
        <v>0</v>
      </c>
      <c r="Z44" s="129" t="s">
        <v>244</v>
      </c>
      <c r="AA44" s="365">
        <f t="shared" si="58"/>
        <v>0</v>
      </c>
      <c r="AB44" s="159">
        <f t="shared" si="58"/>
        <v>0</v>
      </c>
      <c r="AC44" s="365">
        <f t="shared" si="59"/>
        <v>0</v>
      </c>
      <c r="AD44" s="159">
        <f t="shared" si="59"/>
        <v>0</v>
      </c>
      <c r="AE44" s="365">
        <f t="shared" si="60"/>
        <v>0</v>
      </c>
      <c r="AF44" s="159">
        <f>IF(AE33=0,"N.D.",AE44/AE33)</f>
        <v>0</v>
      </c>
      <c r="AG44" s="126"/>
      <c r="AH44" s="356"/>
      <c r="AJ44" s="356"/>
    </row>
    <row r="45" spans="2:36" ht="12.65" customHeight="1" x14ac:dyDescent="0.3">
      <c r="B45" s="129" t="s">
        <v>245</v>
      </c>
      <c r="C45" s="365">
        <f t="shared" si="52"/>
        <v>0</v>
      </c>
      <c r="D45" s="159" t="str">
        <f t="shared" si="52"/>
        <v>N.D.</v>
      </c>
      <c r="E45" s="365">
        <f t="shared" si="53"/>
        <v>0</v>
      </c>
      <c r="F45" s="159" t="str">
        <f t="shared" si="53"/>
        <v>N.D.</v>
      </c>
      <c r="G45" s="365">
        <f t="shared" si="54"/>
        <v>0</v>
      </c>
      <c r="H45" s="159" t="str">
        <f>IF(G33=0,"N.D.",G45/G33)</f>
        <v>N.D.</v>
      </c>
      <c r="I45" s="126"/>
      <c r="J45" s="356"/>
      <c r="L45" s="356"/>
      <c r="N45" s="129" t="s">
        <v>245</v>
      </c>
      <c r="O45" s="365">
        <f t="shared" si="55"/>
        <v>9.0056499999999993</v>
      </c>
      <c r="P45" s="159">
        <f t="shared" si="55"/>
        <v>4.2877242633122521E-4</v>
      </c>
      <c r="Q45" s="365">
        <f t="shared" si="56"/>
        <v>136.83607999999998</v>
      </c>
      <c r="R45" s="159">
        <f t="shared" si="56"/>
        <v>1.3511780964959589E-2</v>
      </c>
      <c r="S45" s="365">
        <f t="shared" si="57"/>
        <v>145.84172999999998</v>
      </c>
      <c r="T45" s="159">
        <f>IF(S33=0,"N.D.",S45/S33)</f>
        <v>4.6848500481851702E-3</v>
      </c>
      <c r="Z45" s="129" t="s">
        <v>245</v>
      </c>
      <c r="AA45" s="365">
        <f t="shared" si="58"/>
        <v>3</v>
      </c>
      <c r="AB45" s="159">
        <f t="shared" si="58"/>
        <v>8.2034454470877774E-4</v>
      </c>
      <c r="AC45" s="365">
        <f t="shared" si="59"/>
        <v>30</v>
      </c>
      <c r="AD45" s="159">
        <f t="shared" si="59"/>
        <v>1.8315018315018316E-2</v>
      </c>
      <c r="AE45" s="365">
        <f t="shared" si="60"/>
        <v>33</v>
      </c>
      <c r="AF45" s="159">
        <f>IF(AE33=0,"N.D.",AE45/AE33)</f>
        <v>6.2322946175637391E-3</v>
      </c>
      <c r="AG45" s="126"/>
      <c r="AH45" s="356"/>
      <c r="AJ45" s="356"/>
    </row>
    <row r="46" spans="2:36" ht="12.65" customHeight="1" x14ac:dyDescent="0.3">
      <c r="B46" s="129" t="s">
        <v>246</v>
      </c>
      <c r="C46" s="365">
        <f t="shared" si="52"/>
        <v>0</v>
      </c>
      <c r="D46" s="159" t="str">
        <f t="shared" si="52"/>
        <v>N.D.</v>
      </c>
      <c r="E46" s="365">
        <f t="shared" si="53"/>
        <v>0</v>
      </c>
      <c r="F46" s="159" t="str">
        <f t="shared" si="53"/>
        <v>N.D.</v>
      </c>
      <c r="G46" s="365">
        <f t="shared" si="54"/>
        <v>0</v>
      </c>
      <c r="H46" s="159" t="str">
        <f>IF(G33=0,"N.D.",G46/G33)</f>
        <v>N.D.</v>
      </c>
      <c r="I46" s="126"/>
      <c r="J46" s="356"/>
      <c r="L46" s="356"/>
      <c r="N46" s="129" t="s">
        <v>246</v>
      </c>
      <c r="O46" s="365">
        <f t="shared" si="55"/>
        <v>2879.8669799999998</v>
      </c>
      <c r="P46" s="159">
        <f t="shared" si="55"/>
        <v>0.13711476156921243</v>
      </c>
      <c r="Q46" s="365">
        <f t="shared" si="56"/>
        <v>0</v>
      </c>
      <c r="R46" s="159">
        <f t="shared" si="56"/>
        <v>0</v>
      </c>
      <c r="S46" s="365">
        <f t="shared" si="57"/>
        <v>2879.8669799999998</v>
      </c>
      <c r="T46" s="159">
        <f>IF(S33=0,"N.D.",S46/S33)</f>
        <v>9.250949615051797E-2</v>
      </c>
      <c r="Z46" s="129" t="s">
        <v>246</v>
      </c>
      <c r="AA46" s="365">
        <f t="shared" si="58"/>
        <v>250</v>
      </c>
      <c r="AB46" s="159">
        <f t="shared" si="58"/>
        <v>6.8362045392398138E-2</v>
      </c>
      <c r="AC46" s="365">
        <f t="shared" si="59"/>
        <v>0</v>
      </c>
      <c r="AD46" s="159">
        <f t="shared" si="59"/>
        <v>0</v>
      </c>
      <c r="AE46" s="365">
        <f t="shared" si="60"/>
        <v>250</v>
      </c>
      <c r="AF46" s="159">
        <f>IF(AE33=0,"N.D.",AE46/AE33)</f>
        <v>4.7214353163361665E-2</v>
      </c>
      <c r="AG46" s="126"/>
      <c r="AH46" s="356"/>
      <c r="AJ46" s="356"/>
    </row>
    <row r="47" spans="2:36" ht="12.65" hidden="1" customHeight="1" x14ac:dyDescent="0.3">
      <c r="B47" s="129"/>
      <c r="C47" s="367">
        <f t="shared" si="52"/>
        <v>0</v>
      </c>
      <c r="D47" s="156" t="str">
        <f t="shared" si="52"/>
        <v>N.D.</v>
      </c>
      <c r="E47" s="367">
        <f t="shared" si="53"/>
        <v>0</v>
      </c>
      <c r="F47" s="156" t="str">
        <f t="shared" si="53"/>
        <v>N.D.</v>
      </c>
      <c r="G47" s="367">
        <f t="shared" si="54"/>
        <v>0</v>
      </c>
      <c r="H47" s="156" t="str">
        <f>IF(G33=0,"N.D.",G47/G33)</f>
        <v>N.D.</v>
      </c>
      <c r="I47" s="126"/>
      <c r="J47" s="356"/>
      <c r="L47" s="356"/>
      <c r="N47" s="129"/>
      <c r="O47" s="367">
        <f t="shared" si="55"/>
        <v>0</v>
      </c>
      <c r="P47" s="156">
        <f t="shared" si="55"/>
        <v>0</v>
      </c>
      <c r="Q47" s="367">
        <f t="shared" si="56"/>
        <v>0</v>
      </c>
      <c r="R47" s="156">
        <f t="shared" si="56"/>
        <v>0</v>
      </c>
      <c r="S47" s="367">
        <f t="shared" si="57"/>
        <v>0</v>
      </c>
      <c r="T47" s="156">
        <f>IF(S33=0,"N.D.",S47/S33)</f>
        <v>0</v>
      </c>
      <c r="Z47" s="129"/>
      <c r="AA47" s="367">
        <f t="shared" si="58"/>
        <v>0</v>
      </c>
      <c r="AB47" s="156">
        <f t="shared" si="58"/>
        <v>0</v>
      </c>
      <c r="AC47" s="367">
        <f t="shared" si="59"/>
        <v>0</v>
      </c>
      <c r="AD47" s="156">
        <f t="shared" si="59"/>
        <v>0</v>
      </c>
      <c r="AE47" s="367">
        <f t="shared" si="60"/>
        <v>0</v>
      </c>
      <c r="AF47" s="156">
        <f>IF(AE33=0,"N.D.",AE47/AE33)</f>
        <v>0</v>
      </c>
      <c r="AG47" s="126"/>
      <c r="AH47" s="356"/>
      <c r="AJ47" s="356"/>
    </row>
    <row r="48" spans="2:36" ht="12.65" customHeight="1" x14ac:dyDescent="0.3">
      <c r="B48" s="139" t="s">
        <v>143</v>
      </c>
      <c r="C48" s="369">
        <f>+C43+C44+C45-C46-C47</f>
        <v>0</v>
      </c>
      <c r="D48" s="157" t="str">
        <f>D81</f>
        <v>N.D.</v>
      </c>
      <c r="E48" s="369">
        <f>+E43+E44+E45-E46-E47</f>
        <v>0</v>
      </c>
      <c r="F48" s="157" t="str">
        <f>+D108</f>
        <v>N.D.</v>
      </c>
      <c r="G48" s="369">
        <f t="shared" si="54"/>
        <v>0</v>
      </c>
      <c r="H48" s="157" t="str">
        <f>IF(G33=0,"N.D.",G48/G33)</f>
        <v>N.D.</v>
      </c>
      <c r="I48" s="126"/>
      <c r="J48" s="356"/>
      <c r="L48" s="356"/>
      <c r="N48" s="139" t="s">
        <v>143</v>
      </c>
      <c r="O48" s="369">
        <f>+O43+O44+O45-O46-O47</f>
        <v>-3068.4162799999999</v>
      </c>
      <c r="P48" s="157">
        <f>P81</f>
        <v>-0.14609187491961514</v>
      </c>
      <c r="Q48" s="369">
        <f>+Q43+Q44+Q45-Q46-Q47</f>
        <v>48.039629999999988</v>
      </c>
      <c r="R48" s="157">
        <f>P108</f>
        <v>4.7436389452087608E-3</v>
      </c>
      <c r="S48" s="369">
        <f t="shared" si="57"/>
        <v>-3020.3766500000002</v>
      </c>
      <c r="T48" s="157">
        <f>IF(S33=0,"N.D.",S48/S33)</f>
        <v>-9.7023065307096021E-2</v>
      </c>
      <c r="Z48" s="139" t="s">
        <v>143</v>
      </c>
      <c r="AA48" s="369">
        <f>+AA43+AA44+AA45-AA46-AA47</f>
        <v>-340</v>
      </c>
      <c r="AB48" s="157">
        <f>AB81</f>
        <v>-9.2972381733661472E-2</v>
      </c>
      <c r="AC48" s="369">
        <f>+AC43+AC44+AC45-AC46-AC47</f>
        <v>-68</v>
      </c>
      <c r="AD48" s="157">
        <f>AB108</f>
        <v>-4.1514041514041512E-2</v>
      </c>
      <c r="AE48" s="369">
        <f t="shared" si="60"/>
        <v>-408</v>
      </c>
      <c r="AF48" s="157">
        <f>IF(AE33=0,"N.D.",AE48/AE33)</f>
        <v>-7.705382436260623E-2</v>
      </c>
      <c r="AG48" s="126"/>
      <c r="AH48" s="356"/>
      <c r="AJ48" s="356"/>
    </row>
    <row r="49" spans="1:36" ht="12.65" customHeight="1" x14ac:dyDescent="0.3">
      <c r="B49" s="139" t="s">
        <v>247</v>
      </c>
      <c r="C49" s="369">
        <f>+C41-C48</f>
        <v>0</v>
      </c>
      <c r="D49" s="157" t="str">
        <f>D82</f>
        <v>N.D.</v>
      </c>
      <c r="E49" s="369">
        <f>+E41-E48</f>
        <v>0</v>
      </c>
      <c r="F49" s="157" t="str">
        <f>+D109</f>
        <v>N.D.</v>
      </c>
      <c r="G49" s="369">
        <f t="shared" si="54"/>
        <v>0</v>
      </c>
      <c r="H49" s="157" t="str">
        <f>IF(G33=0,"N.D.",G49/G33)</f>
        <v>N.D.</v>
      </c>
      <c r="I49" s="126"/>
      <c r="J49" s="356"/>
      <c r="L49" s="356"/>
      <c r="N49" s="139" t="s">
        <v>247</v>
      </c>
      <c r="O49" s="369">
        <f>+O41-O48</f>
        <v>11497.434219999999</v>
      </c>
      <c r="P49" s="157">
        <f>P82</f>
        <v>0.54740998896171389</v>
      </c>
      <c r="Q49" s="369">
        <f>+Q41-Q48</f>
        <v>1111.0912700000008</v>
      </c>
      <c r="R49" s="157">
        <f>P109</f>
        <v>0.10971391370111441</v>
      </c>
      <c r="S49" s="369">
        <f t="shared" si="57"/>
        <v>12608.52549</v>
      </c>
      <c r="T49" s="157">
        <f>IF(S33=0,"N.D.",S49/S33)</f>
        <v>0.40502160286613748</v>
      </c>
      <c r="Z49" s="139" t="s">
        <v>247</v>
      </c>
      <c r="AA49" s="369">
        <f>+AA41-AA48</f>
        <v>2125</v>
      </c>
      <c r="AB49" s="157">
        <f>AB82</f>
        <v>0.58107738583538415</v>
      </c>
      <c r="AC49" s="369">
        <f>+AC41-AC48</f>
        <v>436</v>
      </c>
      <c r="AD49" s="157">
        <f>AB109</f>
        <v>0.26617826617826618</v>
      </c>
      <c r="AE49" s="369">
        <f t="shared" si="60"/>
        <v>2561</v>
      </c>
      <c r="AF49" s="157">
        <f>IF(AE33=0,"N.D.",AE49/AE33)</f>
        <v>0.48366383380547684</v>
      </c>
      <c r="AG49" s="126"/>
      <c r="AH49" s="356"/>
      <c r="AJ49" s="356"/>
    </row>
    <row r="50" spans="1:36" ht="12.65" customHeight="1" x14ac:dyDescent="0.3">
      <c r="B50" s="129"/>
      <c r="C50" s="362"/>
      <c r="D50" s="158"/>
      <c r="E50" s="362"/>
      <c r="F50" s="158"/>
      <c r="G50" s="362"/>
      <c r="H50" s="158"/>
      <c r="I50" s="126"/>
      <c r="J50" s="356"/>
      <c r="L50" s="356"/>
      <c r="N50" s="129"/>
      <c r="O50" s="362"/>
      <c r="P50" s="158"/>
      <c r="Q50" s="362"/>
      <c r="R50" s="158"/>
      <c r="S50" s="362"/>
      <c r="T50" s="158"/>
      <c r="Z50" s="129"/>
      <c r="AA50" s="362"/>
      <c r="AB50" s="158"/>
      <c r="AC50" s="362"/>
      <c r="AD50" s="158"/>
      <c r="AE50" s="362"/>
      <c r="AF50" s="158"/>
      <c r="AG50" s="126"/>
      <c r="AH50" s="356"/>
      <c r="AJ50" s="356"/>
    </row>
    <row r="51" spans="1:36" ht="12.65" customHeight="1" x14ac:dyDescent="0.3">
      <c r="B51" s="129" t="s">
        <v>397</v>
      </c>
      <c r="C51" s="364">
        <f>C84</f>
        <v>0</v>
      </c>
      <c r="D51" s="155" t="str">
        <f>D84</f>
        <v>N.D.</v>
      </c>
      <c r="E51" s="364">
        <f>+C111</f>
        <v>0</v>
      </c>
      <c r="F51" s="155" t="str">
        <f>+D111</f>
        <v>N.D.</v>
      </c>
      <c r="G51" s="364">
        <f t="shared" ref="G51:G58" si="61">C51+E51</f>
        <v>0</v>
      </c>
      <c r="H51" s="155" t="str">
        <f>IF(G33=0,"N.D.",G51/G33)</f>
        <v>N.D.</v>
      </c>
      <c r="I51" s="126"/>
      <c r="J51" s="356"/>
      <c r="L51" s="356"/>
      <c r="N51" s="129" t="s">
        <v>397</v>
      </c>
      <c r="O51" s="364">
        <f>O84</f>
        <v>0</v>
      </c>
      <c r="P51" s="155">
        <f>P84</f>
        <v>0</v>
      </c>
      <c r="Q51" s="364">
        <f>O111</f>
        <v>0</v>
      </c>
      <c r="R51" s="155">
        <f>P111</f>
        <v>0</v>
      </c>
      <c r="S51" s="364">
        <f t="shared" ref="S51:S59" si="62">O51+Q51</f>
        <v>0</v>
      </c>
      <c r="T51" s="155">
        <f>IF(S33=0,"N.D.",S51/S33)</f>
        <v>0</v>
      </c>
      <c r="Z51" s="129" t="s">
        <v>397</v>
      </c>
      <c r="AA51" s="364">
        <f>AA84</f>
        <v>219</v>
      </c>
      <c r="AB51" s="155">
        <f>AB84</f>
        <v>5.988515176374077E-2</v>
      </c>
      <c r="AC51" s="364">
        <f>AA111</f>
        <v>91</v>
      </c>
      <c r="AD51" s="155">
        <f>AB111</f>
        <v>5.5555555555555552E-2</v>
      </c>
      <c r="AE51" s="364">
        <f t="shared" ref="AE51:AE59" si="63">AA51+AC51</f>
        <v>310</v>
      </c>
      <c r="AF51" s="155">
        <f>IF(AE33=0,"N.D.",AE51/AE33)</f>
        <v>5.8545797922568463E-2</v>
      </c>
      <c r="AG51" s="126"/>
      <c r="AH51" s="356"/>
      <c r="AJ51" s="356"/>
    </row>
    <row r="52" spans="1:36" ht="12.65" customHeight="1" x14ac:dyDescent="0.3">
      <c r="B52" s="129" t="s">
        <v>395</v>
      </c>
      <c r="C52" s="367">
        <f>C85</f>
        <v>0</v>
      </c>
      <c r="D52" s="156" t="str">
        <f>D85</f>
        <v>N.D.</v>
      </c>
      <c r="E52" s="367">
        <f>+C112</f>
        <v>0</v>
      </c>
      <c r="F52" s="156" t="str">
        <f>+D112</f>
        <v>N.D.</v>
      </c>
      <c r="G52" s="367">
        <f t="shared" si="61"/>
        <v>0</v>
      </c>
      <c r="H52" s="156" t="str">
        <f>IF(G33=0,"N.D.",G52/G33)</f>
        <v>N.D.</v>
      </c>
      <c r="I52" s="126"/>
      <c r="J52" s="356"/>
      <c r="L52" s="356"/>
      <c r="N52" s="129" t="s">
        <v>395</v>
      </c>
      <c r="O52" s="367">
        <f>O85</f>
        <v>0</v>
      </c>
      <c r="P52" s="156">
        <f>P85</f>
        <v>0</v>
      </c>
      <c r="Q52" s="367">
        <f>O112</f>
        <v>0</v>
      </c>
      <c r="R52" s="156">
        <f>P112</f>
        <v>0</v>
      </c>
      <c r="S52" s="367">
        <f t="shared" si="62"/>
        <v>0</v>
      </c>
      <c r="T52" s="156">
        <f>IF(S33=0,"N.D.",S52/S33)</f>
        <v>0</v>
      </c>
      <c r="Z52" s="129" t="s">
        <v>395</v>
      </c>
      <c r="AA52" s="367">
        <f>AA85</f>
        <v>0</v>
      </c>
      <c r="AB52" s="156">
        <f>AB85</f>
        <v>0</v>
      </c>
      <c r="AC52" s="367">
        <f>AA112</f>
        <v>0</v>
      </c>
      <c r="AD52" s="156">
        <f>AB112</f>
        <v>0</v>
      </c>
      <c r="AE52" s="367">
        <f t="shared" si="63"/>
        <v>0</v>
      </c>
      <c r="AF52" s="156">
        <f>IF(AE33=0,"N.D.",AE52/AE33)</f>
        <v>0</v>
      </c>
      <c r="AG52" s="126"/>
      <c r="AH52" s="356"/>
      <c r="AJ52" s="356"/>
    </row>
    <row r="53" spans="1:36" ht="12.65" customHeight="1" x14ac:dyDescent="0.3">
      <c r="B53" s="139" t="s">
        <v>146</v>
      </c>
      <c r="C53" s="369">
        <f>+C49-C51-C52</f>
        <v>0</v>
      </c>
      <c r="D53" s="157" t="str">
        <f>D86</f>
        <v>N.D.</v>
      </c>
      <c r="E53" s="369">
        <f>+E49-E51-E52</f>
        <v>0</v>
      </c>
      <c r="F53" s="157" t="str">
        <f>+D113</f>
        <v>N.D.</v>
      </c>
      <c r="G53" s="369">
        <f t="shared" si="61"/>
        <v>0</v>
      </c>
      <c r="H53" s="157" t="str">
        <f>IF(G33=0,"N.D.",G53/G33)</f>
        <v>N.D.</v>
      </c>
      <c r="I53" s="126"/>
      <c r="J53" s="356"/>
      <c r="L53" s="356"/>
      <c r="N53" s="139" t="s">
        <v>146</v>
      </c>
      <c r="O53" s="369">
        <f>+O49-O51-O52</f>
        <v>11497.434219999999</v>
      </c>
      <c r="P53" s="157">
        <f>P86</f>
        <v>0.54740998896171389</v>
      </c>
      <c r="Q53" s="369">
        <f>+Q49-Q51-Q52</f>
        <v>1111.0912700000008</v>
      </c>
      <c r="R53" s="157">
        <f>P113</f>
        <v>0.10971391370111441</v>
      </c>
      <c r="S53" s="369">
        <f t="shared" si="62"/>
        <v>12608.52549</v>
      </c>
      <c r="T53" s="157">
        <f>IF(S33=0,"N.D.",S53/S33)</f>
        <v>0.40502160286613748</v>
      </c>
      <c r="Z53" s="139" t="s">
        <v>146</v>
      </c>
      <c r="AA53" s="369">
        <f>+AA49-AA51-AA52</f>
        <v>1906</v>
      </c>
      <c r="AB53" s="157">
        <f>AB86</f>
        <v>0.52119223407164339</v>
      </c>
      <c r="AC53" s="369">
        <f>+AC49-AC51-AC52</f>
        <v>345</v>
      </c>
      <c r="AD53" s="157">
        <f>AB113</f>
        <v>0.21062271062271062</v>
      </c>
      <c r="AE53" s="369">
        <f t="shared" si="63"/>
        <v>2251</v>
      </c>
      <c r="AF53" s="157">
        <f>IF(AE33=0,"N.D.",AE53/AE33)</f>
        <v>0.42511803588290842</v>
      </c>
      <c r="AG53" s="126"/>
      <c r="AH53" s="356"/>
      <c r="AJ53" s="356"/>
    </row>
    <row r="54" spans="1:36" ht="12.65" customHeight="1" x14ac:dyDescent="0.3">
      <c r="B54" s="139" t="s">
        <v>248</v>
      </c>
      <c r="C54" s="369">
        <f>C41+C39</f>
        <v>0</v>
      </c>
      <c r="D54" s="157" t="str">
        <f>D87</f>
        <v>N.D.</v>
      </c>
      <c r="E54" s="369">
        <f>E41+E39</f>
        <v>0</v>
      </c>
      <c r="F54" s="157" t="str">
        <f>+D114</f>
        <v>N.D.</v>
      </c>
      <c r="G54" s="369">
        <f t="shared" si="61"/>
        <v>0</v>
      </c>
      <c r="H54" s="157" t="str">
        <f>IF(G33=0,"N.D.",G54/G33)</f>
        <v>N.D.</v>
      </c>
      <c r="I54" s="126"/>
      <c r="J54" s="356"/>
      <c r="L54" s="356"/>
      <c r="N54" s="139" t="s">
        <v>248</v>
      </c>
      <c r="O54" s="369">
        <f>O41+O39</f>
        <v>8441.0306199999995</v>
      </c>
      <c r="P54" s="157">
        <f>P87</f>
        <v>0.40189005565101532</v>
      </c>
      <c r="Q54" s="369">
        <f>Q41+Q39</f>
        <v>1329.6268600000008</v>
      </c>
      <c r="R54" s="157">
        <f>P114</f>
        <v>0.13129305441552405</v>
      </c>
      <c r="S54" s="369">
        <f t="shared" si="62"/>
        <v>9770.6574799999999</v>
      </c>
      <c r="T54" s="157">
        <f>IF(S33=0,"N.D.",S54/S33)</f>
        <v>0.31386123276224709</v>
      </c>
      <c r="Z54" s="139" t="s">
        <v>248</v>
      </c>
      <c r="AA54" s="369">
        <f>AA41+AA39</f>
        <v>1788</v>
      </c>
      <c r="AB54" s="157">
        <f>AB87</f>
        <v>0.4889253486464315</v>
      </c>
      <c r="AC54" s="369">
        <f>AC41+AC39</f>
        <v>392</v>
      </c>
      <c r="AD54" s="157">
        <f>AB114</f>
        <v>0.23931623931623933</v>
      </c>
      <c r="AE54" s="369">
        <f t="shared" si="63"/>
        <v>2180</v>
      </c>
      <c r="AF54" s="157">
        <f>IF(AE33=0,"N.D.",AE54/AE33)</f>
        <v>0.41170915958451371</v>
      </c>
      <c r="AG54" s="126"/>
      <c r="AH54" s="356"/>
      <c r="AJ54" s="356"/>
    </row>
    <row r="55" spans="1:36" ht="12.65" customHeight="1" x14ac:dyDescent="0.25">
      <c r="A55" s="370"/>
      <c r="B55" s="370" t="s">
        <v>164</v>
      </c>
      <c r="C55" s="371">
        <v>0</v>
      </c>
      <c r="D55" s="161" t="str">
        <f>IF($C$33=0,"N.D.",+C55/C$33)</f>
        <v>N.D.</v>
      </c>
      <c r="E55" s="372">
        <v>0</v>
      </c>
      <c r="F55" s="161" t="str">
        <f>IF(E$33=0,"N.D.",+E55/E$33)</f>
        <v>N.D.</v>
      </c>
      <c r="G55" s="372">
        <f t="shared" si="61"/>
        <v>0</v>
      </c>
      <c r="H55" s="161" t="str">
        <f>IF(G$33=0,"N.D.",+G55/G$33)</f>
        <v>N.D.</v>
      </c>
      <c r="I55" s="370" t="s">
        <v>163</v>
      </c>
      <c r="J55" s="356"/>
      <c r="L55" s="356"/>
      <c r="N55" s="370" t="s">
        <v>164</v>
      </c>
      <c r="O55" s="371">
        <v>0</v>
      </c>
      <c r="P55" s="161">
        <f>IF(O$33=0,"N.D.",+O55/O$33)</f>
        <v>0</v>
      </c>
      <c r="Q55" s="372">
        <v>0</v>
      </c>
      <c r="R55" s="161">
        <f>IF(Q$33=0,"N.D.",+Q55/Q$33)</f>
        <v>0</v>
      </c>
      <c r="S55" s="372">
        <f t="shared" si="62"/>
        <v>0</v>
      </c>
      <c r="T55" s="161">
        <f>IF(S$33=0,"N.D.",+S55/S$33)</f>
        <v>0</v>
      </c>
      <c r="Z55" s="370" t="s">
        <v>164</v>
      </c>
      <c r="AA55" s="371">
        <v>0</v>
      </c>
      <c r="AB55" s="161">
        <f>IF(AA$33=0,"N.D.",+AA55/AA$33)</f>
        <v>0</v>
      </c>
      <c r="AC55" s="372">
        <v>0</v>
      </c>
      <c r="AD55" s="161">
        <f>IF(AC$33=0,"N.D.",+AC55/AC$33)</f>
        <v>0</v>
      </c>
      <c r="AE55" s="372">
        <f t="shared" si="63"/>
        <v>0</v>
      </c>
      <c r="AF55" s="161">
        <f>IF(AE$33=0,"N.D.",+AE55/AE$33)</f>
        <v>0</v>
      </c>
      <c r="AG55" s="370"/>
      <c r="AH55" s="356"/>
      <c r="AJ55" s="356"/>
    </row>
    <row r="56" spans="1:36" ht="12.65" customHeight="1" x14ac:dyDescent="0.25">
      <c r="A56" s="370"/>
      <c r="B56" s="370" t="s">
        <v>165</v>
      </c>
      <c r="C56" s="373"/>
      <c r="D56" s="162" t="str">
        <f>IF($C$33=0,"N.D.",+C56/C$33)</f>
        <v>N.D.</v>
      </c>
      <c r="E56" s="374"/>
      <c r="F56" s="162" t="str">
        <f>IF(E$33=0,"N.D.",+E56/E$33)</f>
        <v>N.D.</v>
      </c>
      <c r="G56" s="374">
        <f t="shared" si="61"/>
        <v>0</v>
      </c>
      <c r="H56" s="162" t="str">
        <f>IF(G$33=0,"N.D.",+G56/G$33)</f>
        <v>N.D.</v>
      </c>
      <c r="I56" s="370"/>
      <c r="J56" s="356"/>
      <c r="L56" s="356"/>
      <c r="N56" s="370" t="s">
        <v>165</v>
      </c>
      <c r="O56" s="374"/>
      <c r="P56" s="162">
        <f>IF(O$33=0,"N.D.",+O56/O$33)</f>
        <v>0</v>
      </c>
      <c r="Q56" s="374"/>
      <c r="R56" s="162">
        <f>IF(Q$33=0,"N.D.",+Q56/Q$33)</f>
        <v>0</v>
      </c>
      <c r="S56" s="374">
        <f t="shared" si="62"/>
        <v>0</v>
      </c>
      <c r="T56" s="162">
        <f>IF(S$33=0,"N.D.",+S56/S$33)</f>
        <v>0</v>
      </c>
      <c r="Z56" s="370" t="s">
        <v>165</v>
      </c>
      <c r="AA56" s="374"/>
      <c r="AB56" s="162">
        <f>IF(AA$33=0,"N.D.",+AA56/AA$33)</f>
        <v>0</v>
      </c>
      <c r="AC56" s="374"/>
      <c r="AD56" s="162">
        <f>IF(AC$33=0,"N.D.",+AC56/AC$33)</f>
        <v>0</v>
      </c>
      <c r="AE56" s="374">
        <f t="shared" si="63"/>
        <v>0</v>
      </c>
      <c r="AF56" s="162">
        <f>IF(AE$33=0,"N.D.",+AE56/AE$33)</f>
        <v>0</v>
      </c>
      <c r="AG56" s="370"/>
      <c r="AH56" s="356"/>
      <c r="AJ56" s="356"/>
    </row>
    <row r="57" spans="1:36" ht="12.65" customHeight="1" x14ac:dyDescent="0.3">
      <c r="A57" s="370"/>
      <c r="B57" s="359" t="s">
        <v>166</v>
      </c>
      <c r="C57" s="369">
        <f>+C53+C39+C55+C56</f>
        <v>0</v>
      </c>
      <c r="D57" s="163" t="str">
        <f>IF($C$33=0,"N.D.",+C57/C$33)</f>
        <v>N.D.</v>
      </c>
      <c r="E57" s="369">
        <f>+E53+E39+E55+E56</f>
        <v>0</v>
      </c>
      <c r="F57" s="163" t="str">
        <f>IF(E$33=0,"N.D.",+E57/E$33)</f>
        <v>N.D.</v>
      </c>
      <c r="G57" s="369">
        <f t="shared" si="61"/>
        <v>0</v>
      </c>
      <c r="H57" s="163" t="str">
        <f>IF(G$33=0,"N.D.",+G57/G$33)</f>
        <v>N.D.</v>
      </c>
      <c r="I57" s="370"/>
      <c r="J57" s="356"/>
      <c r="L57" s="356"/>
      <c r="N57" s="359" t="s">
        <v>166</v>
      </c>
      <c r="O57" s="369">
        <f>+O53+O39+O55+O56</f>
        <v>11509.446899999999</v>
      </c>
      <c r="P57" s="163">
        <f>IF(O$33=0,"N.D.",+O57/O$33)</f>
        <v>0.54798193057063049</v>
      </c>
      <c r="Q57" s="369">
        <f>+Q53+Q39+Q55+Q56</f>
        <v>1281.5872300000008</v>
      </c>
      <c r="R57" s="163">
        <f>IF(Q$33=0,"N.D.",+Q57/Q$33)</f>
        <v>0.12654941547031529</v>
      </c>
      <c r="S57" s="369">
        <f t="shared" si="62"/>
        <v>12791.03413</v>
      </c>
      <c r="T57" s="163">
        <f>IF(S$33=0,"N.D.",+S57/S$33)</f>
        <v>0.41088429806934312</v>
      </c>
      <c r="Z57" s="359" t="s">
        <v>166</v>
      </c>
      <c r="AA57" s="369">
        <f>+AA53+AA39+AA55+AA56</f>
        <v>1909</v>
      </c>
      <c r="AB57" s="163">
        <f>IF(AA$33=0,"N.D.",+AA57/AA$33)</f>
        <v>0.5220125786163522</v>
      </c>
      <c r="AC57" s="369">
        <f>+AC53+AC39+AC55+AC56</f>
        <v>369</v>
      </c>
      <c r="AD57" s="163">
        <f>IF(AC$33=0,"N.D.",+AC57/AC$33)</f>
        <v>0.22527472527472528</v>
      </c>
      <c r="AE57" s="369">
        <f t="shared" si="63"/>
        <v>2278</v>
      </c>
      <c r="AF57" s="163">
        <f>IF(AE$33=0,"N.D.",+AE57/AE$33)</f>
        <v>0.43021718602455145</v>
      </c>
      <c r="AG57" s="370"/>
      <c r="AH57" s="356"/>
      <c r="AJ57" s="356"/>
    </row>
    <row r="58" spans="1:36" ht="12.65" customHeight="1" x14ac:dyDescent="0.3">
      <c r="A58" s="370"/>
      <c r="B58" s="359" t="s">
        <v>167</v>
      </c>
      <c r="C58" s="369">
        <v>0</v>
      </c>
      <c r="D58" s="163" t="str">
        <f>IF($C$33=0,"N.D.",+C58/C$33)</f>
        <v>N.D.</v>
      </c>
      <c r="E58" s="375">
        <v>0</v>
      </c>
      <c r="F58" s="163" t="str">
        <f>IF(E$33=0,"N.D.",+E58/E$33)</f>
        <v>N.D.</v>
      </c>
      <c r="G58" s="375">
        <f t="shared" si="61"/>
        <v>0</v>
      </c>
      <c r="H58" s="163" t="str">
        <f>IF(G$33=0,"N.D.",+G58/G$33)</f>
        <v>N.D.</v>
      </c>
      <c r="I58" s="370" t="s">
        <v>163</v>
      </c>
      <c r="J58" s="356"/>
      <c r="L58" s="356"/>
      <c r="N58" s="359" t="s">
        <v>167</v>
      </c>
      <c r="O58" s="369">
        <v>0</v>
      </c>
      <c r="P58" s="163">
        <f>IF(O$33=0,"N.D.",+O58/O$33)</f>
        <v>0</v>
      </c>
      <c r="Q58" s="375">
        <v>0</v>
      </c>
      <c r="R58" s="163">
        <f>IF(Q$33=0,"N.D.",+Q58/Q$33)</f>
        <v>0</v>
      </c>
      <c r="S58" s="375">
        <f t="shared" si="62"/>
        <v>0</v>
      </c>
      <c r="T58" s="163">
        <f>IF(S$33=0,"N.D.",+S58/S$33)</f>
        <v>0</v>
      </c>
      <c r="Z58" s="359" t="s">
        <v>167</v>
      </c>
      <c r="AA58" s="369">
        <v>0</v>
      </c>
      <c r="AB58" s="163">
        <f>IF(AA$33=0,"N.D.",+AA58/AA$33)</f>
        <v>0</v>
      </c>
      <c r="AC58" s="375">
        <v>0</v>
      </c>
      <c r="AD58" s="163">
        <f>IF(AC$33=0,"N.D.",+AC58/AC$33)</f>
        <v>0</v>
      </c>
      <c r="AE58" s="375">
        <f t="shared" si="63"/>
        <v>0</v>
      </c>
      <c r="AF58" s="163">
        <f>IF(AE$33=0,"N.D.",+AE58/AE$33)</f>
        <v>0</v>
      </c>
      <c r="AG58" s="370"/>
      <c r="AH58" s="356"/>
      <c r="AJ58" s="356"/>
    </row>
    <row r="59" spans="1:36" ht="12.65" customHeight="1" x14ac:dyDescent="0.3">
      <c r="A59" s="370"/>
      <c r="B59" s="359" t="s">
        <v>162</v>
      </c>
      <c r="C59" s="369">
        <f>C57-C58</f>
        <v>0</v>
      </c>
      <c r="D59" s="163" t="str">
        <f>IF($C$33=0,"N.D.",+C59/C$33)</f>
        <v>N.D.</v>
      </c>
      <c r="E59" s="369">
        <f>E57-E58</f>
        <v>0</v>
      </c>
      <c r="F59" s="163" t="str">
        <f>IF(E$33=0,"N.D.",+E59/E$33)</f>
        <v>N.D.</v>
      </c>
      <c r="G59" s="369">
        <f>C59+E59</f>
        <v>0</v>
      </c>
      <c r="H59" s="163" t="str">
        <f>IF(G$33=0,"N.D.",+G59/G$33)</f>
        <v>N.D.</v>
      </c>
      <c r="I59" s="370"/>
      <c r="J59" s="356"/>
      <c r="L59" s="356"/>
      <c r="N59" s="359" t="s">
        <v>162</v>
      </c>
      <c r="O59" s="369">
        <f>O57-O58</f>
        <v>11509.446899999999</v>
      </c>
      <c r="P59" s="163">
        <f>IF(O$33=0,"N.D.",+O59/O$33)</f>
        <v>0.54798193057063049</v>
      </c>
      <c r="Q59" s="369">
        <f>Q57-Q58</f>
        <v>1281.5872300000008</v>
      </c>
      <c r="R59" s="163">
        <f>IF(Q$33=0,"N.D.",+Q59/Q$33)</f>
        <v>0.12654941547031529</v>
      </c>
      <c r="S59" s="369">
        <f t="shared" si="62"/>
        <v>12791.03413</v>
      </c>
      <c r="T59" s="163">
        <f>IF(S$33=0,"N.D.",+S59/S$33)</f>
        <v>0.41088429806934312</v>
      </c>
      <c r="Z59" s="359" t="s">
        <v>162</v>
      </c>
      <c r="AA59" s="369">
        <f>AA57-AA58</f>
        <v>1909</v>
      </c>
      <c r="AB59" s="163">
        <f>IF(AA$33=0,"N.D.",+AA59/AA$33)</f>
        <v>0.5220125786163522</v>
      </c>
      <c r="AC59" s="369">
        <f>AC57-AC58</f>
        <v>369</v>
      </c>
      <c r="AD59" s="163">
        <f>IF(AC$33=0,"N.D.",+AC59/AC$33)</f>
        <v>0.22527472527472528</v>
      </c>
      <c r="AE59" s="369">
        <f t="shared" si="63"/>
        <v>2278</v>
      </c>
      <c r="AF59" s="163">
        <f>IF(AE$33=0,"N.D.",+AE59/AE$33)</f>
        <v>0.43021718602455145</v>
      </c>
      <c r="AG59" s="370"/>
      <c r="AH59" s="356"/>
      <c r="AJ59" s="356"/>
    </row>
    <row r="60" spans="1:36" ht="12.65" customHeight="1" x14ac:dyDescent="0.25">
      <c r="A60" s="370"/>
      <c r="B60" s="370" t="s">
        <v>168</v>
      </c>
      <c r="C60" s="164" t="str">
        <f>IF(C58=0,"N.D.",(C57-C55-C56)/C58)</f>
        <v>N.D.</v>
      </c>
      <c r="D60" s="376"/>
      <c r="E60" s="164" t="str">
        <f>IF(E58=0,"N.D.",(E57-E55-E56)/E58)</f>
        <v>N.D.</v>
      </c>
      <c r="F60" s="376"/>
      <c r="G60" s="164" t="str">
        <f>IF(G58=0,"N.D.",(G57-G55-G56)/G58)</f>
        <v>N.D.</v>
      </c>
      <c r="H60" s="376"/>
      <c r="I60" s="370"/>
      <c r="J60" s="356"/>
      <c r="L60" s="356"/>
      <c r="N60" s="370" t="s">
        <v>168</v>
      </c>
      <c r="O60" s="164" t="str">
        <f>IF(O58=0,"N.D.",(O57-O55-O56)/O58)</f>
        <v>N.D.</v>
      </c>
      <c r="P60" s="376"/>
      <c r="Q60" s="164" t="str">
        <f>IF(Q58=0,"N.D.",(Q57-Q55-Q56)/Q58)</f>
        <v>N.D.</v>
      </c>
      <c r="R60" s="376"/>
      <c r="S60" s="164" t="str">
        <f>IF(S58=0,"N.D.",(S57-S55-S56)/S58)</f>
        <v>N.D.</v>
      </c>
      <c r="T60" s="376"/>
      <c r="Z60" s="370" t="s">
        <v>168</v>
      </c>
      <c r="AA60" s="164" t="str">
        <f>IF(AA58=0,"N.D.",(AA57-AA55-AA56)/AA58)</f>
        <v>N.D.</v>
      </c>
      <c r="AB60" s="376"/>
      <c r="AC60" s="164" t="str">
        <f>IF(AC58=0,"N.D.",(AC57-AC55-AC56)/AC58)</f>
        <v>N.D.</v>
      </c>
      <c r="AD60" s="376"/>
      <c r="AE60" s="164" t="str">
        <f>IF(AE58=0,"N.D.",(AE57-AE55-AE56)/AE58)</f>
        <v>N.D.</v>
      </c>
      <c r="AF60" s="376"/>
      <c r="AG60" s="370"/>
      <c r="AH60" s="356"/>
      <c r="AJ60" s="356"/>
    </row>
    <row r="62" spans="1:36" ht="12.65" customHeight="1" x14ac:dyDescent="0.25">
      <c r="B62" s="129"/>
      <c r="C62" s="362"/>
      <c r="D62" s="362"/>
      <c r="E62" s="362"/>
      <c r="F62" s="362"/>
      <c r="G62" s="362"/>
      <c r="H62" s="362"/>
      <c r="I62" s="362"/>
      <c r="J62" s="362"/>
      <c r="K62" s="362"/>
      <c r="L62" s="362"/>
      <c r="N62" s="129"/>
      <c r="O62" s="362"/>
      <c r="P62" s="362"/>
      <c r="Q62" s="362"/>
      <c r="R62" s="362"/>
      <c r="S62" s="362"/>
      <c r="T62" s="362"/>
      <c r="U62" s="362"/>
      <c r="V62" s="362"/>
      <c r="W62" s="362"/>
      <c r="X62" s="362"/>
      <c r="Z62" s="129"/>
      <c r="AA62" s="362"/>
      <c r="AB62" s="362"/>
      <c r="AC62" s="362"/>
      <c r="AD62" s="362"/>
      <c r="AE62" s="362"/>
      <c r="AF62" s="362"/>
      <c r="AG62" s="362"/>
      <c r="AH62" s="362"/>
      <c r="AI62" s="362"/>
      <c r="AJ62" s="362"/>
    </row>
    <row r="63" spans="1:36" ht="12.65" customHeight="1" x14ac:dyDescent="0.3">
      <c r="B63" s="363" t="str">
        <f>BDER!B3</f>
        <v>Inm. Exelco</v>
      </c>
      <c r="L63" s="358" t="str">
        <f>MES_CIERRE</f>
        <v>08/2019</v>
      </c>
      <c r="N63" s="363" t="str">
        <f>+B63</f>
        <v>Inm. Exelco</v>
      </c>
      <c r="X63" s="358" t="str">
        <f>+L63</f>
        <v>08/2019</v>
      </c>
      <c r="Z63" s="363" t="str">
        <f>+N63</f>
        <v>Inm. Exelco</v>
      </c>
      <c r="AJ63" s="358">
        <f>EOMONTH(MES_CIERRE,1)</f>
        <v>43738</v>
      </c>
    </row>
    <row r="64" spans="1:36" ht="12.65" customHeight="1" x14ac:dyDescent="0.3">
      <c r="B64" s="359" t="s">
        <v>253</v>
      </c>
      <c r="N64" s="359" t="s">
        <v>32</v>
      </c>
      <c r="Z64" s="359" t="str">
        <f>+Z91</f>
        <v>Proyección</v>
      </c>
    </row>
    <row r="65" spans="2:36" ht="12.65" customHeight="1" x14ac:dyDescent="0.3">
      <c r="C65" s="201" t="s">
        <v>2</v>
      </c>
      <c r="E65" s="363" t="s">
        <v>10</v>
      </c>
      <c r="G65" s="201" t="s">
        <v>110</v>
      </c>
      <c r="I65" s="363" t="s">
        <v>111</v>
      </c>
      <c r="K65" s="363" t="s">
        <v>112</v>
      </c>
      <c r="M65" s="377"/>
      <c r="O65" s="201" t="s">
        <v>141</v>
      </c>
      <c r="P65" s="377"/>
      <c r="Q65" s="363" t="s">
        <v>10</v>
      </c>
      <c r="R65" s="377"/>
      <c r="S65" s="201" t="s">
        <v>110</v>
      </c>
      <c r="T65" s="377"/>
      <c r="U65" s="363" t="s">
        <v>111</v>
      </c>
      <c r="V65" s="377"/>
      <c r="W65" s="363" t="s">
        <v>142</v>
      </c>
      <c r="X65" s="377"/>
      <c r="AA65" s="201" t="s">
        <v>2</v>
      </c>
      <c r="AC65" s="363" t="s">
        <v>10</v>
      </c>
      <c r="AE65" s="201" t="s">
        <v>110</v>
      </c>
      <c r="AG65" s="363" t="s">
        <v>111</v>
      </c>
      <c r="AI65" s="363" t="s">
        <v>112</v>
      </c>
    </row>
    <row r="66" spans="2:36" ht="12.65" customHeight="1" x14ac:dyDescent="0.25">
      <c r="B66" s="129" t="s">
        <v>236</v>
      </c>
      <c r="C66" s="378">
        <f>(BDER!D9)/1000</f>
        <v>0</v>
      </c>
      <c r="D66" s="131" t="str">
        <f>IF(C66=0,"N.D.",C66/C66)</f>
        <v>N.D.</v>
      </c>
      <c r="E66" s="378">
        <f>+BDER!L9/1000</f>
        <v>3261.5569999999998</v>
      </c>
      <c r="F66" s="131">
        <f>IF(E$66=0, 0, E66/$E$66)</f>
        <v>1</v>
      </c>
      <c r="G66" s="364">
        <f>(BDER!H9)/1000</f>
        <v>1379.6243999999999</v>
      </c>
      <c r="H66" s="131">
        <f>IF(G$66=0, 0, G66/$G$66)</f>
        <v>1</v>
      </c>
      <c r="I66" s="379">
        <f>C66-E66</f>
        <v>-3261.5569999999998</v>
      </c>
      <c r="J66" s="134">
        <f>IF(E66=0,"N.D.",C66/E66-1)</f>
        <v>-1</v>
      </c>
      <c r="K66" s="364">
        <f>C66-G66</f>
        <v>-1379.6243999999999</v>
      </c>
      <c r="L66" s="131">
        <f>IF(G66=0,"N.D.",C66/G66-1)</f>
        <v>-1</v>
      </c>
      <c r="M66" s="125"/>
      <c r="N66" s="129" t="s">
        <v>236</v>
      </c>
      <c r="O66" s="380">
        <f>(BDER!E9)/1000</f>
        <v>21003.332879999998</v>
      </c>
      <c r="P66" s="134">
        <f>IF(O$66=0,"N.D.",O66/O$66)</f>
        <v>1</v>
      </c>
      <c r="Q66" s="364">
        <f>+BDER!M7/1000</f>
        <v>19302.687000000002</v>
      </c>
      <c r="R66" s="134">
        <f>IF(Q$66=0,"N.D.",Q66/Q$66)</f>
        <v>1</v>
      </c>
      <c r="S66" s="364">
        <f>(BDER!K9)/1000</f>
        <v>8366.4663</v>
      </c>
      <c r="T66" s="131">
        <f>IF(S66=0,"N.D.",S66/S66)</f>
        <v>1</v>
      </c>
      <c r="U66" s="381">
        <f>O66-Q66</f>
        <v>1700.6458799999964</v>
      </c>
      <c r="V66" s="134">
        <f>IF(Q66=0,"N.D.",O66/Q66-1)</f>
        <v>8.8104100739964109E-2</v>
      </c>
      <c r="W66" s="379">
        <f>O66-S66</f>
        <v>12636.866579999998</v>
      </c>
      <c r="X66" s="131">
        <f>IF(S66=0,"N.D.",IF(W66&gt;0,ABS(O66/S66-1),ABS(O66/S66-1)))</f>
        <v>1.5104186315792605</v>
      </c>
      <c r="Z66" s="129" t="s">
        <v>236</v>
      </c>
      <c r="AA66" s="378">
        <v>3657</v>
      </c>
      <c r="AB66" s="131">
        <f>IF(AA66=0,"N.D.",AA66/AA66)</f>
        <v>1</v>
      </c>
      <c r="AC66" s="378">
        <f ca="1">INDIRECT(ADDRESS(MATCH($B$63,BDPP!$B:$B,0)+6,MATCH(TEXT(EOMONTH(MES_CIERRE,1),"MMMM"),BDPP!$10:$10,0),,,"BDPP"))/1000</f>
        <v>1869.98</v>
      </c>
      <c r="AD66" s="131">
        <f ca="1">IF(AC$66=0, 0, AC66/$E$66)</f>
        <v>0.57333966568727768</v>
      </c>
      <c r="AE66" s="378">
        <f ca="1">INDIRECT(ADDRESS(MATCH($B$63,INDIRECT("'"&amp;IF(MONTH(MES_CIERRE)=12,"ER ACT","ER AA")&amp;"'!$B:$B"),0)+1,MATCH(TEXT(EOMONTH(MES_CIERRE,1),"MMMM"),'ER AA'!$10:$10,0),,,IF(MONTH(MES_CIERRE)=12,"ER ACT","ER AA")))</f>
        <v>2630.915</v>
      </c>
      <c r="AF66" s="131">
        <f ca="1">IF(AE$66=0, 0, AE66/$AE$66)</f>
        <v>1</v>
      </c>
      <c r="AG66" s="379">
        <f ca="1">AA66-AC66</f>
        <v>1787.02</v>
      </c>
      <c r="AH66" s="134">
        <f ca="1">IF(AC66=0,"N.D.",AA66/AC66-1)</f>
        <v>0.95563588915389475</v>
      </c>
      <c r="AI66" s="364">
        <f ca="1">AA66-AE66</f>
        <v>1026.085</v>
      </c>
      <c r="AJ66" s="131">
        <f ca="1">IF(AE66=0,"N.D.",AA66/AE66-1)</f>
        <v>0.39001069969953428</v>
      </c>
    </row>
    <row r="67" spans="2:36" ht="12.65" customHeight="1" x14ac:dyDescent="0.25">
      <c r="B67" s="129" t="s">
        <v>145</v>
      </c>
      <c r="C67" s="365">
        <f>(BDER!D10)/1000</f>
        <v>0</v>
      </c>
      <c r="D67" s="136" t="str">
        <f>IF(C66=0,"N.D.",C67/C66)</f>
        <v>N.D.</v>
      </c>
      <c r="E67" s="365">
        <f>+BDER!L10/1000</f>
        <v>1555.0540000000001</v>
      </c>
      <c r="F67" s="136">
        <f>IF(E$66=0, 0, E67/$E$66)</f>
        <v>0.47678271451334447</v>
      </c>
      <c r="G67" s="365">
        <f>(BDER!H10)/1000</f>
        <v>676.15198999999996</v>
      </c>
      <c r="H67" s="136">
        <f>IF(G$66=0, 0, G67/$G$66)</f>
        <v>0.49009860219926527</v>
      </c>
      <c r="I67" s="382">
        <f>C67-E67</f>
        <v>-1555.0540000000001</v>
      </c>
      <c r="J67" s="138">
        <f>IF(E67=0,"N.D.",C67/E67-1)</f>
        <v>-1</v>
      </c>
      <c r="K67" s="365">
        <f>C67-G67</f>
        <v>-676.15198999999996</v>
      </c>
      <c r="L67" s="136">
        <f>IF(G67=0,"N.D.",C67/G67-1)</f>
        <v>-1</v>
      </c>
      <c r="M67" s="125"/>
      <c r="N67" s="129" t="s">
        <v>145</v>
      </c>
      <c r="O67" s="365">
        <f>(BDER!E10)/1000</f>
        <v>10407.633119999999</v>
      </c>
      <c r="P67" s="138">
        <f t="shared" ref="P67:P87" si="64">IF(O$66=0,"N.D.",O67/O$66)</f>
        <v>0.49552293340598619</v>
      </c>
      <c r="Q67" s="365">
        <f>BDER!M10/1000</f>
        <v>9312.2620000000006</v>
      </c>
      <c r="R67" s="138">
        <f t="shared" ref="R67:R87" si="65">IF(Q$66=0,"N.D.",Q67/Q$66)</f>
        <v>0.48243345602609627</v>
      </c>
      <c r="S67" s="365">
        <f>(BDER!K10)/1000</f>
        <v>3745.8431800000003</v>
      </c>
      <c r="T67" s="136">
        <f>IF(S66=0,"N.D.",S67/S66)</f>
        <v>0.44772106235580011</v>
      </c>
      <c r="U67" s="383">
        <f t="shared" ref="U67:U87" si="66">O67-Q67</f>
        <v>1095.371119999998</v>
      </c>
      <c r="V67" s="138">
        <f>IF(Q67=0,"N.D.",O67/Q67-1)</f>
        <v>0.11762675062192174</v>
      </c>
      <c r="W67" s="382">
        <f t="shared" ref="W67:W87" si="67">O67-S67</f>
        <v>6661.7899399999988</v>
      </c>
      <c r="X67" s="136">
        <f t="shared" ref="X67:X68" si="68">IF(S67=0,"N.D.",IF(W67&gt;0,ABS(O67/S67-1),ABS(O67/S67-1)))</f>
        <v>1.7784487016351811</v>
      </c>
      <c r="Z67" s="129" t="s">
        <v>145</v>
      </c>
      <c r="AA67" s="365">
        <v>1646</v>
      </c>
      <c r="AB67" s="136">
        <f>IF(AA66=0,"N.D.",AA67/AA66)</f>
        <v>0.45009570686354938</v>
      </c>
      <c r="AC67" s="365">
        <f ca="1">INDIRECT(ADDRESS(MATCH($B$63,BDPP!$B:$B,0)+7,MATCH(TEXT(EOMONTH(MES_CIERRE,1),"MMMM"),BDPP!$10:$10,0),,,"BDPP"))/1000</f>
        <v>818.06100000000004</v>
      </c>
      <c r="AD67" s="136">
        <f ca="1">IF(AC$66=0, 0, AC67/$E$66)</f>
        <v>0.25081916397597837</v>
      </c>
      <c r="AE67" s="365">
        <f ca="1">INDIRECT(ADDRESS(MATCH($B$63,INDIRECT("'"&amp;IF(MONTH(MES_CIERRE)=12,"ER ACT","ER AA")&amp;"'!$B:$B"),0)+2,MATCH(TEXT(EOMONTH(MES_CIERRE,1),"MMMM"),'ER AA'!$10:$10,0),,,IF(MONTH(MES_CIERRE)=12,"ER ACT","ER AA")))</f>
        <v>1082.7090000000001</v>
      </c>
      <c r="AF67" s="136">
        <f ca="1">IF(AE$66=0, 0, AE67/$AE$66)</f>
        <v>0.41153324983893441</v>
      </c>
      <c r="AG67" s="382">
        <f ca="1">AA67-AC67</f>
        <v>827.93899999999996</v>
      </c>
      <c r="AH67" s="138">
        <f ca="1">IF(AC67=0,"N.D.",AA67/AC67-1)</f>
        <v>1.0120748941704836</v>
      </c>
      <c r="AI67" s="365">
        <f ca="1">AA67-AE67</f>
        <v>563.29099999999994</v>
      </c>
      <c r="AJ67" s="136">
        <f ca="1">IF(AE67=0,"N.D.",AA67/AE67-1)</f>
        <v>0.52026075335108501</v>
      </c>
    </row>
    <row r="68" spans="2:36" ht="12.65" customHeight="1" x14ac:dyDescent="0.3">
      <c r="B68" s="139" t="s">
        <v>237</v>
      </c>
      <c r="C68" s="384">
        <f>(BDER!D11)/1000</f>
        <v>0</v>
      </c>
      <c r="D68" s="141" t="str">
        <f>IF(C66=0,"N.D.",C68/C66)</f>
        <v>N.D.</v>
      </c>
      <c r="E68" s="384">
        <f>+BDER!L11/1000</f>
        <v>1706.5029999999999</v>
      </c>
      <c r="F68" s="141">
        <f>IF(E$66=0, 0, E68/$E$66)</f>
        <v>0.52321728548665558</v>
      </c>
      <c r="G68" s="366">
        <f>(BDER!H11)/1000</f>
        <v>703.47241000000008</v>
      </c>
      <c r="H68" s="141">
        <f>IF(G$66=0, 0, G68/$G$66)</f>
        <v>0.50990139780073485</v>
      </c>
      <c r="I68" s="375">
        <f>C68-E68</f>
        <v>-1706.5029999999999</v>
      </c>
      <c r="J68" s="144">
        <f>IF(E68=0,"N.D.",C68/E68-1)</f>
        <v>-1</v>
      </c>
      <c r="K68" s="366">
        <f>C68-G68</f>
        <v>-703.47241000000008</v>
      </c>
      <c r="L68" s="141">
        <f>IF(G68=0,"N.D.",C68/G68-1)</f>
        <v>-1</v>
      </c>
      <c r="M68" s="126"/>
      <c r="N68" s="139" t="s">
        <v>237</v>
      </c>
      <c r="O68" s="366">
        <f>(BDER!E11)/1000</f>
        <v>10595.69976</v>
      </c>
      <c r="P68" s="144">
        <f t="shared" si="64"/>
        <v>0.50447706659401381</v>
      </c>
      <c r="Q68" s="366">
        <f>BDER!M11/1000</f>
        <v>9990.4249999999993</v>
      </c>
      <c r="R68" s="144">
        <f t="shared" si="65"/>
        <v>0.51756654397390367</v>
      </c>
      <c r="S68" s="366">
        <f>(BDER!K11)/1000</f>
        <v>4620.6231200000002</v>
      </c>
      <c r="T68" s="141">
        <f>IF(S66=0,"N.D.",S68/S66)</f>
        <v>0.55227893764419989</v>
      </c>
      <c r="U68" s="385">
        <f t="shared" si="66"/>
        <v>605.27476000000024</v>
      </c>
      <c r="V68" s="144">
        <f>IF(Q68=0,"N.D.",O68/Q68-1)</f>
        <v>6.0585486603422778E-2</v>
      </c>
      <c r="W68" s="375">
        <f t="shared" si="67"/>
        <v>5975.0766399999993</v>
      </c>
      <c r="X68" s="141">
        <f t="shared" si="68"/>
        <v>1.2931322215260006</v>
      </c>
      <c r="Z68" s="139" t="s">
        <v>237</v>
      </c>
      <c r="AA68" s="384">
        <f>+AA66-AA67</f>
        <v>2011</v>
      </c>
      <c r="AB68" s="141">
        <f>IF(AA66=0,"N.D.",AA68/AA66)</f>
        <v>0.54990429313645062</v>
      </c>
      <c r="AC68" s="384">
        <f ca="1">+AC66-AC67</f>
        <v>1051.9189999999999</v>
      </c>
      <c r="AD68" s="141">
        <f ca="1">IF(AC$66=0, 0, AC68/$E$66)</f>
        <v>0.3225205017112992</v>
      </c>
      <c r="AE68" s="384">
        <f ca="1">+AE66-AE67</f>
        <v>1548.2059999999999</v>
      </c>
      <c r="AF68" s="141">
        <f ca="1">IF(AE$66=0, 0, AE68/$AE$66)</f>
        <v>0.58846675016106564</v>
      </c>
      <c r="AG68" s="375">
        <f ca="1">AA68-AC68</f>
        <v>959.08100000000013</v>
      </c>
      <c r="AH68" s="144">
        <f ca="1">IF(AC68=0,"N.D.",AA68/AC68-1)</f>
        <v>0.91174415520586694</v>
      </c>
      <c r="AI68" s="366">
        <f ca="1">AA68-AE68</f>
        <v>462.7940000000001</v>
      </c>
      <c r="AJ68" s="141">
        <f ca="1">IF(AE68=0,"N.D.",AA68/AE68-1)</f>
        <v>0.29892275317367334</v>
      </c>
    </row>
    <row r="69" spans="2:36" ht="12.65" customHeight="1" x14ac:dyDescent="0.25">
      <c r="B69" s="129"/>
      <c r="C69" s="362"/>
      <c r="D69" s="124"/>
      <c r="E69" s="362"/>
      <c r="F69" s="124"/>
      <c r="G69" s="362"/>
      <c r="H69" s="124"/>
      <c r="I69" s="362"/>
      <c r="J69" s="145"/>
      <c r="K69" s="362"/>
      <c r="L69" s="124"/>
      <c r="M69" s="125"/>
      <c r="N69" s="129"/>
      <c r="O69" s="362"/>
      <c r="P69" s="145"/>
      <c r="Q69" s="362"/>
      <c r="R69" s="145"/>
      <c r="S69" s="362"/>
      <c r="T69" s="124"/>
      <c r="U69" s="362"/>
      <c r="V69" s="145"/>
      <c r="W69" s="362"/>
      <c r="X69" s="124"/>
      <c r="Z69" s="129"/>
      <c r="AA69" s="362"/>
      <c r="AB69" s="124"/>
      <c r="AC69" s="362"/>
      <c r="AD69" s="124"/>
      <c r="AE69" s="362"/>
      <c r="AF69" s="124"/>
      <c r="AG69" s="362"/>
      <c r="AH69" s="145"/>
      <c r="AI69" s="362"/>
      <c r="AJ69" s="124"/>
    </row>
    <row r="70" spans="2:36" ht="12.65" customHeight="1" x14ac:dyDescent="0.25">
      <c r="B70" s="129" t="s">
        <v>238</v>
      </c>
      <c r="C70" s="364">
        <f>(BDER!D12)/1000</f>
        <v>0</v>
      </c>
      <c r="D70" s="131" t="str">
        <f>IF(C66=0,"N.D.",C70/C66)</f>
        <v>N.D.</v>
      </c>
      <c r="E70" s="364">
        <f>BDER!L12/1000</f>
        <v>152.447</v>
      </c>
      <c r="F70" s="131">
        <f>IF(E$66=0, 0, E70/$E$66)</f>
        <v>4.6740559800120006E-2</v>
      </c>
      <c r="G70" s="364">
        <f>(BDER!H12)/1000</f>
        <v>74.353750000000005</v>
      </c>
      <c r="H70" s="131">
        <f t="shared" ref="H70:H87" si="69">IF(G$66=0, 0, G70/$G$66)</f>
        <v>5.3894197580152979E-2</v>
      </c>
      <c r="I70" s="379">
        <f>C70-E70</f>
        <v>-152.447</v>
      </c>
      <c r="J70" s="134">
        <f>IF(E70=0,"N.D.",C70/E70-1)</f>
        <v>-1</v>
      </c>
      <c r="K70" s="364">
        <f>C70-G70</f>
        <v>-74.353750000000005</v>
      </c>
      <c r="L70" s="131">
        <f>IF(G70=0,"N.D.",C70/G70-1)</f>
        <v>-1</v>
      </c>
      <c r="M70" s="125"/>
      <c r="N70" s="129" t="s">
        <v>238</v>
      </c>
      <c r="O70" s="364">
        <f>(BDER!E12)/1000</f>
        <v>955.77688999999998</v>
      </c>
      <c r="P70" s="134">
        <f t="shared" si="64"/>
        <v>4.5505963051707822E-2</v>
      </c>
      <c r="Q70" s="364">
        <f>BDER!M12/1000</f>
        <v>962.92100000000005</v>
      </c>
      <c r="R70" s="134">
        <f t="shared" si="65"/>
        <v>4.9885334616885199E-2</v>
      </c>
      <c r="S70" s="364">
        <f>(BDER!K12)/1000</f>
        <v>596.73118999999997</v>
      </c>
      <c r="T70" s="131">
        <f>IF(S66=0,"N.D.",S70/S66)</f>
        <v>7.132416107383352E-2</v>
      </c>
      <c r="U70" s="381">
        <f t="shared" si="66"/>
        <v>-7.1441100000000688</v>
      </c>
      <c r="V70" s="134">
        <f>IF(Q70=0,"N.D.",O70/Q70-1)</f>
        <v>-7.4192067677411044E-3</v>
      </c>
      <c r="W70" s="379">
        <f t="shared" si="67"/>
        <v>359.04570000000001</v>
      </c>
      <c r="X70" s="131">
        <f t="shared" ref="X70:X73" si="70">IF(S70=0,"N.D.",IF(W70&gt;0,ABS(O70/S70-1),ABS(O70/S70-1)))</f>
        <v>0.6016875035474516</v>
      </c>
      <c r="Z70" s="129" t="s">
        <v>238</v>
      </c>
      <c r="AA70" s="364">
        <v>128</v>
      </c>
      <c r="AB70" s="131">
        <f>IF(AA66=0,"N.D.",AA70/AA66)</f>
        <v>3.5001367240907848E-2</v>
      </c>
      <c r="AC70" s="364">
        <f ca="1">INDIRECT(ADDRESS(MATCH($B$63,BDPP!$B:$B,0)+9,MATCH(TEXT(EOMONTH(MES_CIERRE,1),"MMMM"),BDPP!$10:$10,0),,,"BDPP"))/1000</f>
        <v>99.844999999999999</v>
      </c>
      <c r="AD70" s="131">
        <f ca="1">IF(AC$66=0, 0, AC70/$E$66)</f>
        <v>3.0612679772268277E-2</v>
      </c>
      <c r="AE70" s="364">
        <f ca="1">INDIRECT(ADDRESS(MATCH($B$63,INDIRECT("'"&amp;IF(MONTH(MES_CIERRE)=12,"ER ACT","ER AA")&amp;"'!$B:$B"),0)+5,MATCH(TEXT(EOMONTH(MES_CIERRE,1),"MMMM"),'ER AA'!$10:$10,0),,,IF(MONTH(MES_CIERRE)=12,"ER ACT","ER AA")))</f>
        <v>143.744</v>
      </c>
      <c r="AF70" s="131">
        <f ca="1">IF(AE$66=0, 0, AE70/$AE$66)</f>
        <v>5.4636504790158559E-2</v>
      </c>
      <c r="AG70" s="379">
        <f ca="1">AA70-AC70</f>
        <v>28.155000000000001</v>
      </c>
      <c r="AH70" s="134">
        <f ca="1">IF(AC70=0,"N.D.",AA70/AC70-1)</f>
        <v>0.28198707997395966</v>
      </c>
      <c r="AI70" s="364">
        <f ca="1">AA70-AE70</f>
        <v>-15.744</v>
      </c>
      <c r="AJ70" s="131">
        <f ca="1">IF(AE70=0,"N.D.",AA70/AE70-1)</f>
        <v>-0.10952804986642917</v>
      </c>
    </row>
    <row r="71" spans="2:36" ht="12.65" customHeight="1" x14ac:dyDescent="0.25">
      <c r="B71" s="129" t="s">
        <v>239</v>
      </c>
      <c r="C71" s="365">
        <f>(BDER!D13)/1000</f>
        <v>0</v>
      </c>
      <c r="D71" s="146" t="str">
        <f>IF(C66=0,"N.D.",C71/C66)</f>
        <v>N.D.</v>
      </c>
      <c r="E71" s="365">
        <f>BDER!L13/1000</f>
        <v>157</v>
      </c>
      <c r="F71" s="146">
        <f>IF(E$66=0, 0, E71/$E$66)</f>
        <v>4.813651884667354E-2</v>
      </c>
      <c r="G71" s="365">
        <f>(BDER!H13)/1000</f>
        <v>105.16717</v>
      </c>
      <c r="H71" s="146">
        <f t="shared" si="69"/>
        <v>7.6228841705032191E-2</v>
      </c>
      <c r="I71" s="382">
        <f>C71-E71</f>
        <v>-157</v>
      </c>
      <c r="J71" s="138">
        <f>IF(E71=0,"N.D.",C71/E71-1)</f>
        <v>-1</v>
      </c>
      <c r="K71" s="365">
        <f>C71-G71</f>
        <v>-105.16717</v>
      </c>
      <c r="L71" s="146">
        <f>IF(G71=0,"N.D.",C71/G71-1)</f>
        <v>-1</v>
      </c>
      <c r="M71" s="125"/>
      <c r="N71" s="129" t="s">
        <v>239</v>
      </c>
      <c r="O71" s="365">
        <f>(BDER!E13)/1000</f>
        <v>1198.8922500000001</v>
      </c>
      <c r="P71" s="138">
        <f t="shared" si="64"/>
        <v>5.7081047891290683E-2</v>
      </c>
      <c r="Q71" s="365">
        <f>BDER!M13/1000</f>
        <v>1240</v>
      </c>
      <c r="R71" s="138">
        <f t="shared" si="65"/>
        <v>6.4239761023944478E-2</v>
      </c>
      <c r="S71" s="365">
        <f>(BDER!K13)/1000</f>
        <v>2199.6241400000004</v>
      </c>
      <c r="T71" s="146">
        <f>IF(S66=0,"N.D.",S71/S66)</f>
        <v>0.26290957987842495</v>
      </c>
      <c r="U71" s="383">
        <f t="shared" si="66"/>
        <v>-41.107749999999896</v>
      </c>
      <c r="V71" s="138">
        <f>IF(Q71=0,"N.D.",O71/Q71-1)</f>
        <v>-3.3151411290322508E-2</v>
      </c>
      <c r="W71" s="382">
        <f t="shared" si="67"/>
        <v>-1000.7318900000002</v>
      </c>
      <c r="X71" s="146">
        <f t="shared" si="70"/>
        <v>0.45495585895870383</v>
      </c>
      <c r="Z71" s="129" t="s">
        <v>239</v>
      </c>
      <c r="AA71" s="365">
        <v>95</v>
      </c>
      <c r="AB71" s="146">
        <f>IF(AA66=0,"N.D.",AA71/AA66)</f>
        <v>2.5977577249111292E-2</v>
      </c>
      <c r="AC71" s="365">
        <f ca="1">INDIRECT(ADDRESS(MATCH($B$63,BDPP!$B:$B,0)+10,MATCH(TEXT(EOMONTH(MES_CIERRE,1),"MMMM"),BDPP!$10:$10,0),,,"BDPP"))/1000</f>
        <v>167</v>
      </c>
      <c r="AD71" s="146">
        <f ca="1">IF(AC$66=0, 0, AC71/$E$66)</f>
        <v>5.1202539155378861E-2</v>
      </c>
      <c r="AE71" s="365">
        <f ca="1">INDIRECT(ADDRESS(MATCH($B$63,INDIRECT("'"&amp;IF(MONTH(MES_CIERRE)=12,"ER ACT","ER AA")&amp;"'!$B:$B"),0)+6,MATCH(TEXT(EOMONTH(MES_CIERRE,1),"MMMM"),'ER AA'!$10:$10,0),,,IF(MONTH(MES_CIERRE)=12,"ER ACT","ER AA")))</f>
        <v>342.65699999999998</v>
      </c>
      <c r="AF71" s="146">
        <f ca="1">IF(AE$66=0, 0, AE71/$AE$66)</f>
        <v>0.13024252018784338</v>
      </c>
      <c r="AG71" s="382">
        <f ca="1">AA71-AC71</f>
        <v>-72</v>
      </c>
      <c r="AH71" s="138">
        <f ca="1">IF(AC71=0,"N.D.",AA71/AC71-1)</f>
        <v>-0.43113772455089816</v>
      </c>
      <c r="AI71" s="365">
        <f ca="1">AA71-AE71</f>
        <v>-247.65699999999998</v>
      </c>
      <c r="AJ71" s="146">
        <f ca="1">IF(AE71=0,"N.D.",AA71/AE71-1)</f>
        <v>-0.72275482479564113</v>
      </c>
    </row>
    <row r="72" spans="2:36" ht="12.65" customHeight="1" x14ac:dyDescent="0.25">
      <c r="B72" s="129" t="s">
        <v>240</v>
      </c>
      <c r="C72" s="367">
        <f>(BDER!D14)/1000</f>
        <v>0</v>
      </c>
      <c r="D72" s="136" t="str">
        <f>IF(C66=0,"N.D.",C72/C66)</f>
        <v>N.D.</v>
      </c>
      <c r="E72" s="367">
        <f>BDER!L14/1000</f>
        <v>3.625</v>
      </c>
      <c r="F72" s="136">
        <f>IF(E$66=0, 0, E72/$E$66)</f>
        <v>1.1114323619056789E-3</v>
      </c>
      <c r="G72" s="367">
        <f>(BDER!H14)/1000</f>
        <v>1.15299</v>
      </c>
      <c r="H72" s="136">
        <f t="shared" si="69"/>
        <v>8.3572746321390081E-4</v>
      </c>
      <c r="I72" s="382">
        <f>C72-E72</f>
        <v>-3.625</v>
      </c>
      <c r="J72" s="138">
        <f>IF(E72=0,"N.D.",C72/E72-1)</f>
        <v>-1</v>
      </c>
      <c r="K72" s="367">
        <f>C72-G72</f>
        <v>-1.15299</v>
      </c>
      <c r="L72" s="136">
        <f>IF(G72=0,"N.D.",C72/G72-1)</f>
        <v>-1</v>
      </c>
      <c r="M72" s="125"/>
      <c r="N72" s="129" t="s">
        <v>240</v>
      </c>
      <c r="O72" s="367">
        <f>(BDER!E14)/1000</f>
        <v>12.01268</v>
      </c>
      <c r="P72" s="138">
        <f t="shared" si="64"/>
        <v>5.7194160891668928E-4</v>
      </c>
      <c r="Q72" s="367">
        <f>BDER!M14/1000</f>
        <v>29</v>
      </c>
      <c r="R72" s="138">
        <f t="shared" si="65"/>
        <v>1.5023815078180564E-3</v>
      </c>
      <c r="S72" s="367">
        <f>(BDER!K14)/1000</f>
        <v>9.2239199999999997</v>
      </c>
      <c r="T72" s="136">
        <f>IF(S66=0,"N.D.",S72/S66)</f>
        <v>1.1024869603550546E-3</v>
      </c>
      <c r="U72" s="383">
        <f t="shared" si="66"/>
        <v>-16.98732</v>
      </c>
      <c r="V72" s="138">
        <f>IF(Q72=0,"N.D.",O72/Q72-1)</f>
        <v>-0.58576965517241386</v>
      </c>
      <c r="W72" s="382">
        <f t="shared" si="67"/>
        <v>2.7887599999999999</v>
      </c>
      <c r="X72" s="136">
        <f t="shared" si="70"/>
        <v>0.30234000294885477</v>
      </c>
      <c r="Z72" s="129" t="s">
        <v>240</v>
      </c>
      <c r="AA72" s="367">
        <v>3</v>
      </c>
      <c r="AB72" s="136">
        <f>IF(AA66=0,"N.D.",AA72/AA66)</f>
        <v>8.2034454470877774E-4</v>
      </c>
      <c r="AC72" s="367">
        <f ca="1">INDIRECT(ADDRESS(MATCH($B$63,BDPP!$B:$B,0)+11,MATCH(TEXT(EOMONTH(MES_CIERRE,1),"MMMM"),BDPP!$10:$10,0),,,"BDPP"))/1000</f>
        <v>3.625</v>
      </c>
      <c r="AD72" s="136">
        <f ca="1">IF(AC$66=0, 0, AC72/$E$66)</f>
        <v>1.1114323619056789E-3</v>
      </c>
      <c r="AE72" s="367">
        <f ca="1">INDIRECT(ADDRESS(MATCH($B$63,INDIRECT("'"&amp;IF(MONTH(MES_CIERRE)=12,"ER ACT","ER AA")&amp;"'!$B:$B"),0)+7,MATCH(TEXT(EOMONTH(MES_CIERRE,1),"MMMM"),'ER AA'!$10:$10,0),,,IF(MONTH(MES_CIERRE)=12,"ER ACT","ER AA")))</f>
        <v>0</v>
      </c>
      <c r="AF72" s="136">
        <f ca="1">IF(AE$66=0, 0, AE72/$AE$66)</f>
        <v>0</v>
      </c>
      <c r="AG72" s="382">
        <f ca="1">AA72-AC72</f>
        <v>-0.625</v>
      </c>
      <c r="AH72" s="138">
        <f ca="1">IF(AC72=0,"N.D.",AA72/AC72-1)</f>
        <v>-0.17241379310344829</v>
      </c>
      <c r="AI72" s="367">
        <f ca="1">AA72-AE72</f>
        <v>3</v>
      </c>
      <c r="AJ72" s="136" t="str">
        <f ca="1">IF(AE72=0,"N.D.",AA72/AE72-1)</f>
        <v>N.D.</v>
      </c>
    </row>
    <row r="73" spans="2:36" ht="12.65" customHeight="1" x14ac:dyDescent="0.3">
      <c r="B73" s="139" t="s">
        <v>241</v>
      </c>
      <c r="C73" s="366">
        <f>(BDER!D15)/1000</f>
        <v>0</v>
      </c>
      <c r="D73" s="141" t="str">
        <f>IF(C66=0,"N.D.",C73/C66)</f>
        <v>N.D.</v>
      </c>
      <c r="E73" s="366">
        <f>BDER!L15/1000</f>
        <v>313.072</v>
      </c>
      <c r="F73" s="141">
        <f>IF(E$66=0, 0, E73/$E$66)</f>
        <v>9.598851100869922E-2</v>
      </c>
      <c r="G73" s="366">
        <f>(BDER!H15)/1000</f>
        <v>180.67391000000001</v>
      </c>
      <c r="H73" s="141">
        <f t="shared" si="69"/>
        <v>0.13095876674839907</v>
      </c>
      <c r="I73" s="375">
        <f>C73-E73</f>
        <v>-313.072</v>
      </c>
      <c r="J73" s="144">
        <f>IF(E73=0,"N.D.",C73/E73-1)</f>
        <v>-1</v>
      </c>
      <c r="K73" s="366">
        <f>C73-G73</f>
        <v>-180.67391000000001</v>
      </c>
      <c r="L73" s="141">
        <f>IF(G73=0,"N.D.",C73/G73-1)</f>
        <v>-1</v>
      </c>
      <c r="M73" s="126"/>
      <c r="N73" s="139" t="s">
        <v>241</v>
      </c>
      <c r="O73" s="366">
        <f>(BDER!E15)/1000</f>
        <v>2166.6818199999998</v>
      </c>
      <c r="P73" s="144">
        <f t="shared" si="64"/>
        <v>0.10315895255191518</v>
      </c>
      <c r="Q73" s="366">
        <f>BDER!M15/1000</f>
        <v>2231.9209999999998</v>
      </c>
      <c r="R73" s="144">
        <f t="shared" si="65"/>
        <v>0.11562747714864773</v>
      </c>
      <c r="S73" s="366">
        <f>(BDER!K15)/1000</f>
        <v>2805.5792499999998</v>
      </c>
      <c r="T73" s="141">
        <f>IF(S66=0,"N.D.",S73/S66)</f>
        <v>0.33533622791261347</v>
      </c>
      <c r="U73" s="385">
        <f t="shared" si="66"/>
        <v>-65.239180000000033</v>
      </c>
      <c r="V73" s="144">
        <f>IF(Q73=0,"N.D.",O73/Q73-1)</f>
        <v>-2.9230057873912196E-2</v>
      </c>
      <c r="W73" s="375">
        <f t="shared" si="67"/>
        <v>-638.89742999999999</v>
      </c>
      <c r="X73" s="141">
        <f t="shared" si="70"/>
        <v>0.22772389338137566</v>
      </c>
      <c r="Z73" s="139" t="s">
        <v>241</v>
      </c>
      <c r="AA73" s="366">
        <f>+AA70+AA71+AA72</f>
        <v>226</v>
      </c>
      <c r="AB73" s="141">
        <f>IF(AA66=0,"N.D.",AA73/AA66)</f>
        <v>6.1799289034727922E-2</v>
      </c>
      <c r="AC73" s="366">
        <f ca="1">+AC70+AC71+AC72</f>
        <v>270.47000000000003</v>
      </c>
      <c r="AD73" s="141">
        <f ca="1">IF(AC$66=0, 0, AC73/$E$66)</f>
        <v>8.292665128955283E-2</v>
      </c>
      <c r="AE73" s="366">
        <f ca="1">+AE70+AE71+AE72</f>
        <v>486.40099999999995</v>
      </c>
      <c r="AF73" s="141">
        <f ca="1">IF(AE$66=0, 0, AE73/$AE$66)</f>
        <v>0.18487902497800193</v>
      </c>
      <c r="AG73" s="375">
        <f ca="1">AA73-AC73</f>
        <v>-44.470000000000027</v>
      </c>
      <c r="AH73" s="144">
        <f ca="1">IF(AC73=0,"N.D.",AA73/AC73-1)</f>
        <v>-0.16441749547084716</v>
      </c>
      <c r="AI73" s="366">
        <f ca="1">AA73-AE73</f>
        <v>-260.40099999999995</v>
      </c>
      <c r="AJ73" s="141">
        <f ca="1">IF(AE73=0,"N.D.",AA73/AE73-1)</f>
        <v>-0.53536279736266978</v>
      </c>
    </row>
    <row r="74" spans="2:36" ht="12.65" customHeight="1" x14ac:dyDescent="0.3">
      <c r="B74" s="139" t="s">
        <v>242</v>
      </c>
      <c r="C74" s="366">
        <f>(BDER!D16)/1000</f>
        <v>0</v>
      </c>
      <c r="D74" s="141" t="str">
        <f>IF(C66=0,"N.D.",C74/C66)</f>
        <v>N.D.</v>
      </c>
      <c r="E74" s="366">
        <f>BDER!L16/1000</f>
        <v>1393.431</v>
      </c>
      <c r="F74" s="141">
        <f>IF(E$66=0, 0, E74/$E$66)</f>
        <v>0.42722877447795643</v>
      </c>
      <c r="G74" s="366">
        <f>(BDER!H16)/1000</f>
        <v>522.79849999999999</v>
      </c>
      <c r="H74" s="141">
        <f t="shared" si="69"/>
        <v>0.37894263105233572</v>
      </c>
      <c r="I74" s="375">
        <f>C74-E74</f>
        <v>-1393.431</v>
      </c>
      <c r="J74" s="144">
        <f>IF(E74=0,"N.D.",C74/E74-1)</f>
        <v>-1</v>
      </c>
      <c r="K74" s="366">
        <f>C74-G74</f>
        <v>-522.79849999999999</v>
      </c>
      <c r="L74" s="141">
        <f>IF(G74=0,"N.D.",C74/G74-1)</f>
        <v>-1</v>
      </c>
      <c r="M74" s="126"/>
      <c r="N74" s="139" t="s">
        <v>242</v>
      </c>
      <c r="O74" s="366">
        <f>(BDER!E16)/1000</f>
        <v>8429.0179399999997</v>
      </c>
      <c r="P74" s="144">
        <f t="shared" si="64"/>
        <v>0.40131811404209866</v>
      </c>
      <c r="Q74" s="366">
        <f>BDER!M16/1000</f>
        <v>7758.5039999999999</v>
      </c>
      <c r="R74" s="144">
        <f t="shared" si="65"/>
        <v>0.40193906682525593</v>
      </c>
      <c r="S74" s="366">
        <f>(BDER!K16)/1000</f>
        <v>1815.0438700000002</v>
      </c>
      <c r="T74" s="141">
        <f>IF(S66=0,"N.D.",S74/S66)</f>
        <v>0.21694270973158647</v>
      </c>
      <c r="U74" s="385">
        <f t="shared" si="66"/>
        <v>670.51393999999982</v>
      </c>
      <c r="V74" s="144">
        <f>IF(Q74=0,"N.D.",O74/Q74-1)</f>
        <v>8.6423096514482767E-2</v>
      </c>
      <c r="W74" s="375">
        <f t="shared" si="67"/>
        <v>6613.9740699999993</v>
      </c>
      <c r="X74" s="141">
        <f>IF(S74=0,"N.D.",IF(W74&gt;0,ABS(O74/S74-1),ABS(O74/S74-1)))</f>
        <v>3.6439747707034753</v>
      </c>
      <c r="Z74" s="139" t="s">
        <v>242</v>
      </c>
      <c r="AA74" s="366">
        <f>+AA68-AA73</f>
        <v>1785</v>
      </c>
      <c r="AB74" s="141">
        <f>IF(AA66=0,"N.D.",AA74/AA66)</f>
        <v>0.48810500410172275</v>
      </c>
      <c r="AC74" s="366">
        <f ca="1">+AC68-AC73</f>
        <v>781.44899999999984</v>
      </c>
      <c r="AD74" s="141">
        <f ca="1">IF(AC$66=0, 0, AC74/$E$66)</f>
        <v>0.23959385042174638</v>
      </c>
      <c r="AE74" s="366">
        <f ca="1">+AE68-AE73</f>
        <v>1061.8049999999998</v>
      </c>
      <c r="AF74" s="141">
        <f ca="1">IF(AE$66=0, 0, AE74/$AE$66)</f>
        <v>0.40358772518306363</v>
      </c>
      <c r="AG74" s="375">
        <f ca="1">AA74-AC74</f>
        <v>1003.5510000000002</v>
      </c>
      <c r="AH74" s="144">
        <f ca="1">IF(AC74=0,"N.D.",AA74/AC74-1)</f>
        <v>1.2842181639492791</v>
      </c>
      <c r="AI74" s="366">
        <f ca="1">AA74-AE74</f>
        <v>723.19500000000016</v>
      </c>
      <c r="AJ74" s="141">
        <f ca="1">IF(AE74=0,"N.D.",AA74/AE74-1)</f>
        <v>0.68109963693898634</v>
      </c>
    </row>
    <row r="75" spans="2:36" ht="12.65" customHeight="1" x14ac:dyDescent="0.25">
      <c r="B75" s="129"/>
      <c r="C75" s="362"/>
      <c r="D75" s="124"/>
      <c r="E75" s="362"/>
      <c r="F75" s="124"/>
      <c r="G75" s="362"/>
      <c r="H75" s="124"/>
      <c r="I75" s="362"/>
      <c r="J75" s="145"/>
      <c r="K75" s="362"/>
      <c r="L75" s="124"/>
      <c r="M75" s="125"/>
      <c r="N75" s="129"/>
      <c r="O75" s="362"/>
      <c r="P75" s="145"/>
      <c r="Q75" s="362"/>
      <c r="R75" s="145"/>
      <c r="S75" s="362"/>
      <c r="T75" s="124"/>
      <c r="U75" s="362"/>
      <c r="V75" s="145"/>
      <c r="W75" s="362"/>
      <c r="X75" s="124"/>
      <c r="Z75" s="129"/>
      <c r="AA75" s="362"/>
      <c r="AB75" s="124"/>
      <c r="AC75" s="362"/>
      <c r="AD75" s="124"/>
      <c r="AE75" s="362"/>
      <c r="AF75" s="124"/>
      <c r="AG75" s="362"/>
      <c r="AH75" s="145"/>
      <c r="AI75" s="362"/>
      <c r="AJ75" s="124"/>
    </row>
    <row r="76" spans="2:36" ht="12.65" customHeight="1" x14ac:dyDescent="0.3">
      <c r="B76" s="129" t="s">
        <v>243</v>
      </c>
      <c r="C76" s="364">
        <f>(BDER!D17)/1000</f>
        <v>0</v>
      </c>
      <c r="D76" s="148" t="str">
        <f>IF(C66=0,"N.D.",C76/C66)</f>
        <v>N.D.</v>
      </c>
      <c r="E76" s="364">
        <f>BDER!L17/1000</f>
        <v>-93</v>
      </c>
      <c r="F76" s="131">
        <f t="shared" ref="F76:F82" si="71">IF(E$66=0, 0, E76/$E$66)</f>
        <v>-2.8513988870959486E-2</v>
      </c>
      <c r="G76" s="364">
        <f>(BDER!H17)/1000</f>
        <v>-133.71036999999998</v>
      </c>
      <c r="H76" s="131">
        <f t="shared" si="69"/>
        <v>-9.6917951001736405E-2</v>
      </c>
      <c r="I76" s="379">
        <f t="shared" ref="I76:I82" si="72">C76-E76</f>
        <v>93</v>
      </c>
      <c r="J76" s="134">
        <f t="shared" ref="J76:J82" si="73">IF(E76=0,"N.D.",C76/E76-1)</f>
        <v>-1</v>
      </c>
      <c r="K76" s="364">
        <f t="shared" ref="K76:K82" si="74">C76-G76</f>
        <v>133.71036999999998</v>
      </c>
      <c r="L76" s="131">
        <f t="shared" ref="L76:L82" si="75">IF(G76=0,"N.D.",C76/G76-1)</f>
        <v>-1</v>
      </c>
      <c r="M76" s="125"/>
      <c r="N76" s="355" t="s">
        <v>243</v>
      </c>
      <c r="O76" s="364">
        <f>(BDER!E17)/1000</f>
        <v>-197.55495000000002</v>
      </c>
      <c r="P76" s="134">
        <f t="shared" si="64"/>
        <v>-9.4058857767339282E-3</v>
      </c>
      <c r="Q76" s="386">
        <f>BDER!M17/1000</f>
        <v>-744</v>
      </c>
      <c r="R76" s="134">
        <f t="shared" si="65"/>
        <v>-3.8543856614366691E-2</v>
      </c>
      <c r="S76" s="364">
        <f>(BDER!K17)/1000</f>
        <v>-552.37243000000001</v>
      </c>
      <c r="T76" s="131">
        <f>IF(S66=0,"N.D.",S76/S66)</f>
        <v>-6.6022190276437256E-2</v>
      </c>
      <c r="U76" s="381">
        <f t="shared" si="66"/>
        <v>546.44505000000004</v>
      </c>
      <c r="V76" s="134">
        <f t="shared" ref="V76:V82" si="76">IF(Q76=0,"N.D.",O76/Q76-1)</f>
        <v>-0.73446915322580641</v>
      </c>
      <c r="W76" s="379">
        <f t="shared" si="67"/>
        <v>354.81747999999999</v>
      </c>
      <c r="X76" s="131">
        <f t="shared" ref="X76:X82" si="77">IF(S76=0,"N.D.",IF(W76&gt;0,ABS(O76/S76-1),ABS(O76/S76-1)))</f>
        <v>0.64235190014823873</v>
      </c>
      <c r="Z76" s="129" t="s">
        <v>243</v>
      </c>
      <c r="AA76" s="364">
        <v>-93</v>
      </c>
      <c r="AB76" s="148">
        <f>IF(AA66=0,"N.D.",AA76/AA66)</f>
        <v>-2.5430680885972109E-2</v>
      </c>
      <c r="AC76" s="364">
        <f ca="1">INDIRECT(ADDRESS(MATCH($B$63,BDPP!$B:$B,0)+14,MATCH(TEXT(EOMONTH(MES_CIERRE,1),"MMMM"),BDPP!$10:$10,0),,,"BDPP"))/1000</f>
        <v>-93</v>
      </c>
      <c r="AD76" s="131">
        <f t="shared" ref="AD76:AD82" ca="1" si="78">IF(AC$66=0, 0, AC76/$E$66)</f>
        <v>-2.8513988870959486E-2</v>
      </c>
      <c r="AE76" s="364">
        <f ca="1">INDIRECT(ADDRESS(MATCH($B$63,INDIRECT("'"&amp;IF(MONTH(MES_CIERRE)=12,"ER ACT","ER AA")&amp;"'!$B:$B"),0)+11,MATCH(TEXT(EOMONTH(MES_CIERRE,1),"MMMM"),'ER AA'!$10:$10,0),,,IF(MONTH(MES_CIERRE)=12,"ER ACT","ER AA")))</f>
        <v>-20.315000000000001</v>
      </c>
      <c r="AF76" s="131">
        <f t="shared" ref="AF76:AF82" ca="1" si="79">IF(AE$66=0, 0, AE76/$AE$66)</f>
        <v>-7.721648171833754E-3</v>
      </c>
      <c r="AG76" s="379">
        <f t="shared" ref="AG76:AG82" ca="1" si="80">AA76-AC76</f>
        <v>0</v>
      </c>
      <c r="AH76" s="134">
        <f t="shared" ref="AH76:AH82" ca="1" si="81">IF(AC76=0,"N.D.",AA76/AC76-1)</f>
        <v>0</v>
      </c>
      <c r="AI76" s="364">
        <f t="shared" ref="AI76:AI82" ca="1" si="82">AA76-AE76</f>
        <v>-72.685000000000002</v>
      </c>
      <c r="AJ76" s="131">
        <f t="shared" ref="AJ76:AJ82" ca="1" si="83">IF(AE76=0,"N.D.",AA76/AE76-1)</f>
        <v>3.577898104848634</v>
      </c>
    </row>
    <row r="77" spans="2:36" ht="12.65" customHeight="1" x14ac:dyDescent="0.25">
      <c r="B77" s="129" t="s">
        <v>244</v>
      </c>
      <c r="C77" s="365">
        <f>(BDER!D18)/1000</f>
        <v>0</v>
      </c>
      <c r="D77" s="149" t="str">
        <f>IF(C66=0,"N.D.",C77/C66)</f>
        <v>N.D.</v>
      </c>
      <c r="E77" s="365">
        <f>BDER!L18/1000</f>
        <v>0</v>
      </c>
      <c r="F77" s="146">
        <f t="shared" si="71"/>
        <v>0</v>
      </c>
      <c r="G77" s="365">
        <f>(BDER!H18)/1000</f>
        <v>0</v>
      </c>
      <c r="H77" s="146">
        <f t="shared" si="69"/>
        <v>0</v>
      </c>
      <c r="I77" s="382">
        <f t="shared" si="72"/>
        <v>0</v>
      </c>
      <c r="J77" s="138" t="str">
        <f t="shared" si="73"/>
        <v>N.D.</v>
      </c>
      <c r="K77" s="365">
        <f t="shared" si="74"/>
        <v>0</v>
      </c>
      <c r="L77" s="146" t="str">
        <f t="shared" si="75"/>
        <v>N.D.</v>
      </c>
      <c r="M77" s="125"/>
      <c r="N77" s="129" t="s">
        <v>244</v>
      </c>
      <c r="O77" s="365">
        <f>(BDER!E18)/1000</f>
        <v>0</v>
      </c>
      <c r="P77" s="138">
        <f t="shared" si="64"/>
        <v>0</v>
      </c>
      <c r="Q77" s="382">
        <f>BDER!M18/1000</f>
        <v>0</v>
      </c>
      <c r="R77" s="138">
        <f t="shared" si="65"/>
        <v>0</v>
      </c>
      <c r="S77" s="365">
        <f>(BDER!K18)/1000</f>
        <v>0</v>
      </c>
      <c r="T77" s="146">
        <f>IF(S66=0,"N.D.",S77/S66)</f>
        <v>0</v>
      </c>
      <c r="U77" s="383">
        <f t="shared" si="66"/>
        <v>0</v>
      </c>
      <c r="V77" s="138" t="str">
        <f t="shared" si="76"/>
        <v>N.D.</v>
      </c>
      <c r="W77" s="382">
        <f t="shared" si="67"/>
        <v>0</v>
      </c>
      <c r="X77" s="146" t="str">
        <f t="shared" si="77"/>
        <v>N.D.</v>
      </c>
      <c r="Z77" s="129" t="s">
        <v>244</v>
      </c>
      <c r="AA77" s="365">
        <v>0</v>
      </c>
      <c r="AB77" s="149">
        <f>IF(AA66=0,"N.D.",AA77/AA66)</f>
        <v>0</v>
      </c>
      <c r="AC77" s="365">
        <f ca="1">INDIRECT(ADDRESS(MATCH($B$63,BDPP!$B:$B,0)+15,MATCH(TEXT(EOMONTH(MES_CIERRE,1),"MMMM"),BDPP!$10:$10,0),,,"BDPP"))/1000</f>
        <v>0</v>
      </c>
      <c r="AD77" s="146">
        <f t="shared" ca="1" si="78"/>
        <v>0</v>
      </c>
      <c r="AE77" s="365">
        <f ca="1">INDIRECT(ADDRESS(MATCH($B$63,INDIRECT("'"&amp;IF(MONTH(MES_CIERRE)=12,"ER ACT","ER AA")&amp;"'!$B:$B"),0)+12,MATCH(TEXT(EOMONTH(MES_CIERRE,1),"MMMM"),'ER AA'!$10:$10,0),,,IF(MONTH(MES_CIERRE)=12,"ER ACT","ER AA")))</f>
        <v>0</v>
      </c>
      <c r="AF77" s="146">
        <f t="shared" ca="1" si="79"/>
        <v>0</v>
      </c>
      <c r="AG77" s="382">
        <f t="shared" ca="1" si="80"/>
        <v>0</v>
      </c>
      <c r="AH77" s="138" t="str">
        <f t="shared" ca="1" si="81"/>
        <v>N.D.</v>
      </c>
      <c r="AI77" s="365">
        <f t="shared" ca="1" si="82"/>
        <v>0</v>
      </c>
      <c r="AJ77" s="146" t="str">
        <f t="shared" ca="1" si="83"/>
        <v>N.D.</v>
      </c>
    </row>
    <row r="78" spans="2:36" ht="12.65" customHeight="1" x14ac:dyDescent="0.25">
      <c r="B78" s="129" t="s">
        <v>245</v>
      </c>
      <c r="C78" s="365">
        <f>(BDER!D19)/1000</f>
        <v>0</v>
      </c>
      <c r="D78" s="149" t="str">
        <f>IF(C66=0,"N.D.",C78/C66)</f>
        <v>N.D.</v>
      </c>
      <c r="E78" s="365">
        <f>BDER!L19/1000</f>
        <v>3</v>
      </c>
      <c r="F78" s="146">
        <f t="shared" si="71"/>
        <v>9.1980609261159635E-4</v>
      </c>
      <c r="G78" s="365">
        <f>(BDER!H19)/1000</f>
        <v>1.0716600000000001</v>
      </c>
      <c r="H78" s="146">
        <f t="shared" si="69"/>
        <v>7.7677663572781118E-4</v>
      </c>
      <c r="I78" s="382">
        <f t="shared" si="72"/>
        <v>-3</v>
      </c>
      <c r="J78" s="138">
        <f t="shared" si="73"/>
        <v>-1</v>
      </c>
      <c r="K78" s="365">
        <f t="shared" si="74"/>
        <v>-1.0716600000000001</v>
      </c>
      <c r="L78" s="146">
        <f t="shared" si="75"/>
        <v>-1</v>
      </c>
      <c r="M78" s="125"/>
      <c r="N78" s="129" t="s">
        <v>245</v>
      </c>
      <c r="O78" s="365">
        <f>(BDER!E19)/1000</f>
        <v>9.0056499999999993</v>
      </c>
      <c r="P78" s="138">
        <f t="shared" si="64"/>
        <v>4.2877242633122521E-4</v>
      </c>
      <c r="Q78" s="382">
        <f>BDER!M19/1000</f>
        <v>24</v>
      </c>
      <c r="R78" s="138">
        <f t="shared" si="65"/>
        <v>1.2433502133666675E-3</v>
      </c>
      <c r="S78" s="365">
        <f>(BDER!K19)/1000</f>
        <v>14.089079999999999</v>
      </c>
      <c r="T78" s="146">
        <f>IF(S66=0,"N.D.",S78/S66)</f>
        <v>1.683994113500463E-3</v>
      </c>
      <c r="U78" s="383">
        <f t="shared" si="66"/>
        <v>-14.994350000000001</v>
      </c>
      <c r="V78" s="138">
        <f t="shared" si="76"/>
        <v>-0.62476458333333329</v>
      </c>
      <c r="W78" s="382">
        <f t="shared" si="67"/>
        <v>-5.0834299999999999</v>
      </c>
      <c r="X78" s="146">
        <f t="shared" si="77"/>
        <v>0.36080638338344306</v>
      </c>
      <c r="Z78" s="129" t="s">
        <v>245</v>
      </c>
      <c r="AA78" s="365">
        <v>3</v>
      </c>
      <c r="AB78" s="149">
        <f>IF(AA66=0,"N.D.",AA78/AA66)</f>
        <v>8.2034454470877774E-4</v>
      </c>
      <c r="AC78" s="365">
        <f ca="1">INDIRECT(ADDRESS(MATCH($B$63,BDPP!$B:$B,0)+16,MATCH(TEXT(EOMONTH(MES_CIERRE,1),"MMMM"),BDPP!$10:$10,0),,,"BDPP"))/1000</f>
        <v>3</v>
      </c>
      <c r="AD78" s="146">
        <f t="shared" ca="1" si="78"/>
        <v>9.1980609261159635E-4</v>
      </c>
      <c r="AE78" s="365">
        <f ca="1">INDIRECT(ADDRESS(MATCH($B$63,INDIRECT("'"&amp;IF(MONTH(MES_CIERRE)=12,"ER ACT","ER AA")&amp;"'!$B:$B"),0)+13,MATCH(TEXT(EOMONTH(MES_CIERRE,1),"MMMM"),'ER AA'!$10:$10,0),,,IF(MONTH(MES_CIERRE)=12,"ER ACT","ER AA")))</f>
        <v>2.2210000000000001</v>
      </c>
      <c r="AF78" s="146">
        <f t="shared" ca="1" si="79"/>
        <v>8.4419298989134967E-4</v>
      </c>
      <c r="AG78" s="382">
        <f t="shared" ca="1" si="80"/>
        <v>0</v>
      </c>
      <c r="AH78" s="138">
        <f t="shared" ca="1" si="81"/>
        <v>0</v>
      </c>
      <c r="AI78" s="365">
        <f t="shared" ca="1" si="82"/>
        <v>0.77899999999999991</v>
      </c>
      <c r="AJ78" s="146">
        <f t="shared" ca="1" si="83"/>
        <v>0.35074290859972979</v>
      </c>
    </row>
    <row r="79" spans="2:36" ht="12.65" customHeight="1" x14ac:dyDescent="0.25">
      <c r="B79" s="129" t="s">
        <v>246</v>
      </c>
      <c r="C79" s="365">
        <f>(BDER!D20)/1000</f>
        <v>0</v>
      </c>
      <c r="D79" s="149" t="str">
        <f>IF(C66=0,"N.D.",C79/C66)</f>
        <v>N.D.</v>
      </c>
      <c r="E79" s="365">
        <f>BDER!L20/1000</f>
        <v>250</v>
      </c>
      <c r="F79" s="146">
        <f t="shared" si="71"/>
        <v>7.6650507717633029E-2</v>
      </c>
      <c r="G79" s="365">
        <f>(BDER!H20)/1000</f>
        <v>396.28365000000002</v>
      </c>
      <c r="H79" s="146">
        <f t="shared" si="69"/>
        <v>0.28724024451872554</v>
      </c>
      <c r="I79" s="382">
        <f t="shared" si="72"/>
        <v>-250</v>
      </c>
      <c r="J79" s="138">
        <f t="shared" si="73"/>
        <v>-1</v>
      </c>
      <c r="K79" s="365">
        <f t="shared" si="74"/>
        <v>-396.28365000000002</v>
      </c>
      <c r="L79" s="146">
        <f t="shared" si="75"/>
        <v>-1</v>
      </c>
      <c r="M79" s="125"/>
      <c r="N79" s="129" t="s">
        <v>246</v>
      </c>
      <c r="O79" s="365">
        <f>(BDER!E20)/1000</f>
        <v>2879.8669799999998</v>
      </c>
      <c r="P79" s="138">
        <f t="shared" si="64"/>
        <v>0.13711476156921243</v>
      </c>
      <c r="Q79" s="382">
        <f>BDER!M20/1000</f>
        <v>2000</v>
      </c>
      <c r="R79" s="138">
        <f t="shared" si="65"/>
        <v>0.10361251778055562</v>
      </c>
      <c r="S79" s="365">
        <f>(BDER!K20)/1000</f>
        <v>2523.6838399999997</v>
      </c>
      <c r="T79" s="136">
        <f>IF(S66=0,"N.D.",S79/S66)</f>
        <v>0.30164274252798934</v>
      </c>
      <c r="U79" s="383">
        <f t="shared" si="66"/>
        <v>879.86697999999978</v>
      </c>
      <c r="V79" s="138">
        <f t="shared" si="76"/>
        <v>0.43993348999999982</v>
      </c>
      <c r="W79" s="382">
        <f t="shared" si="67"/>
        <v>356.18314000000009</v>
      </c>
      <c r="X79" s="146">
        <f t="shared" si="77"/>
        <v>0.14113619715534576</v>
      </c>
      <c r="Z79" s="129" t="s">
        <v>246</v>
      </c>
      <c r="AA79" s="365">
        <v>250</v>
      </c>
      <c r="AB79" s="149">
        <f>IF(AA66=0,"N.D.",AA79/AA66)</f>
        <v>6.8362045392398138E-2</v>
      </c>
      <c r="AC79" s="365">
        <f ca="1">INDIRECT(ADDRESS(MATCH($B$63,BDPP!$B:$B,0)+17,MATCH(TEXT(EOMONTH(MES_CIERRE,1),"MMMM"),BDPP!$10:$10,0),,,"BDPP"))/1000</f>
        <v>250</v>
      </c>
      <c r="AD79" s="146">
        <f t="shared" ca="1" si="78"/>
        <v>7.6650507717633029E-2</v>
      </c>
      <c r="AE79" s="365">
        <f ca="1">INDIRECT(ADDRESS(MATCH($B$63,INDIRECT("'"&amp;IF(MONTH(MES_CIERRE)=12,"ER ACT","ER AA")&amp;"'!$B:$B"),0)+14,MATCH(TEXT(EOMONTH(MES_CIERRE,1),"MMMM"),'ER AA'!$10:$10,0),,,IF(MONTH(MES_CIERRE)=12,"ER ACT","ER AA")))</f>
        <v>242.83799999999999</v>
      </c>
      <c r="AF79" s="146">
        <f t="shared" ca="1" si="79"/>
        <v>9.2301727725905239E-2</v>
      </c>
      <c r="AG79" s="382">
        <f t="shared" ca="1" si="80"/>
        <v>0</v>
      </c>
      <c r="AH79" s="138">
        <f t="shared" ca="1" si="81"/>
        <v>0</v>
      </c>
      <c r="AI79" s="365">
        <f t="shared" ca="1" si="82"/>
        <v>7.1620000000000061</v>
      </c>
      <c r="AJ79" s="146">
        <f t="shared" ca="1" si="83"/>
        <v>2.9492912970787044E-2</v>
      </c>
    </row>
    <row r="80" spans="2:36" ht="12.65" hidden="1" customHeight="1" x14ac:dyDescent="0.25">
      <c r="B80" s="129"/>
      <c r="C80" s="367">
        <f>(BDER!D21)/1000</f>
        <v>0</v>
      </c>
      <c r="D80" s="150" t="str">
        <f>IF(C66=0,"N.D.",C80/C66)</f>
        <v>N.D.</v>
      </c>
      <c r="E80" s="367">
        <f>BDER!L21</f>
        <v>0</v>
      </c>
      <c r="F80" s="136">
        <f t="shared" si="71"/>
        <v>0</v>
      </c>
      <c r="G80" s="367">
        <f>(BDER!H21)/1000</f>
        <v>0</v>
      </c>
      <c r="H80" s="136">
        <f t="shared" si="69"/>
        <v>0</v>
      </c>
      <c r="I80" s="382">
        <f t="shared" si="72"/>
        <v>0</v>
      </c>
      <c r="J80" s="138" t="str">
        <f t="shared" si="73"/>
        <v>N.D.</v>
      </c>
      <c r="K80" s="367">
        <f t="shared" si="74"/>
        <v>0</v>
      </c>
      <c r="L80" s="136" t="str">
        <f t="shared" si="75"/>
        <v>N.D.</v>
      </c>
      <c r="M80" s="125"/>
      <c r="N80" s="129"/>
      <c r="O80" s="367">
        <f>(BDER!E21)/1000</f>
        <v>0</v>
      </c>
      <c r="P80" s="138">
        <f t="shared" si="64"/>
        <v>0</v>
      </c>
      <c r="Q80" s="387">
        <f>BDER!M21/1000</f>
        <v>0</v>
      </c>
      <c r="R80" s="138">
        <f t="shared" si="65"/>
        <v>0</v>
      </c>
      <c r="S80" s="367">
        <f>(BDER!K21)/1000</f>
        <v>0</v>
      </c>
      <c r="T80" s="154">
        <f>IF(S66=0,"N.D.",S80/S66)</f>
        <v>0</v>
      </c>
      <c r="U80" s="383">
        <f t="shared" si="66"/>
        <v>0</v>
      </c>
      <c r="V80" s="138" t="str">
        <f t="shared" si="76"/>
        <v>N.D.</v>
      </c>
      <c r="W80" s="382">
        <f t="shared" si="67"/>
        <v>0</v>
      </c>
      <c r="X80" s="136" t="str">
        <f t="shared" si="77"/>
        <v>N.D.</v>
      </c>
      <c r="Z80" s="129"/>
      <c r="AA80" s="367"/>
      <c r="AB80" s="150">
        <f>IF(AA66=0,"N.D.",AA80/AA66)</f>
        <v>0</v>
      </c>
      <c r="AC80" s="367">
        <f ca="1">INDIRECT(ADDRESS(MATCH($B$63,BDPP!$B:$B,0)+18,MATCH(TEXT(EOMONTH(MES_CIERRE,1),"MMMM"),BDPP!$10:$10,0),,,"BDPP"))/1000</f>
        <v>0</v>
      </c>
      <c r="AD80" s="136">
        <f t="shared" ca="1" si="78"/>
        <v>0</v>
      </c>
      <c r="AE80" s="367">
        <f ca="1">INDIRECT(ADDRESS(MATCH($B$63,INDIRECT("'"&amp;IF(MONTH(MES_CIERRE)=12,"ER ACT","ER AA")&amp;"'!$B:$B"),0)+15,MATCH(TEXT(EOMONTH(MES_CIERRE,1),"MMMM"),'ER AA'!$10:$10,0),,,IF(MONTH(MES_CIERRE)=12,"ER ACT","ER AA")))</f>
        <v>0</v>
      </c>
      <c r="AF80" s="136">
        <f t="shared" ca="1" si="79"/>
        <v>0</v>
      </c>
      <c r="AG80" s="382">
        <f t="shared" ca="1" si="80"/>
        <v>0</v>
      </c>
      <c r="AH80" s="138" t="str">
        <f t="shared" ca="1" si="81"/>
        <v>N.D.</v>
      </c>
      <c r="AI80" s="367">
        <f t="shared" ca="1" si="82"/>
        <v>0</v>
      </c>
      <c r="AJ80" s="136" t="str">
        <f t="shared" ca="1" si="83"/>
        <v>N.D.</v>
      </c>
    </row>
    <row r="81" spans="2:36" ht="12.65" customHeight="1" x14ac:dyDescent="0.3">
      <c r="B81" s="139" t="s">
        <v>143</v>
      </c>
      <c r="C81" s="366">
        <f>(BDER!D22)/1000</f>
        <v>0</v>
      </c>
      <c r="D81" s="141" t="str">
        <f>IF(C66=0,"N.D.",C81/C66)</f>
        <v>N.D.</v>
      </c>
      <c r="E81" s="366">
        <f>BDER!L22/1000</f>
        <v>-340</v>
      </c>
      <c r="F81" s="141">
        <f t="shared" si="71"/>
        <v>-0.10424469049598091</v>
      </c>
      <c r="G81" s="366">
        <f>(BDER!H22)/1000</f>
        <v>-528.92236000000003</v>
      </c>
      <c r="H81" s="141">
        <f t="shared" si="69"/>
        <v>-0.38338141888473415</v>
      </c>
      <c r="I81" s="375">
        <f t="shared" si="72"/>
        <v>340</v>
      </c>
      <c r="J81" s="144">
        <f t="shared" si="73"/>
        <v>-1</v>
      </c>
      <c r="K81" s="366">
        <f t="shared" si="74"/>
        <v>528.92236000000003</v>
      </c>
      <c r="L81" s="141">
        <f t="shared" si="75"/>
        <v>-1</v>
      </c>
      <c r="M81" s="126"/>
      <c r="N81" s="139" t="s">
        <v>143</v>
      </c>
      <c r="O81" s="366">
        <f>(BDER!E22)/1000</f>
        <v>-3068.4162799999999</v>
      </c>
      <c r="P81" s="144">
        <f t="shared" si="64"/>
        <v>-0.14609187491961514</v>
      </c>
      <c r="Q81" s="366">
        <f>BDER!M22/1000</f>
        <v>-2720</v>
      </c>
      <c r="R81" s="144">
        <f t="shared" si="65"/>
        <v>-0.14091302418155566</v>
      </c>
      <c r="S81" s="366">
        <f>(BDER!K22)/1000</f>
        <v>-3061.9671899999998</v>
      </c>
      <c r="T81" s="141">
        <f>IF(S66=0,"N.D.",S81/S66)</f>
        <v>-0.36598093869092618</v>
      </c>
      <c r="U81" s="385">
        <f t="shared" si="66"/>
        <v>-348.41627999999992</v>
      </c>
      <c r="V81" s="144">
        <f t="shared" si="76"/>
        <v>0.12809422058823516</v>
      </c>
      <c r="W81" s="375">
        <f t="shared" si="67"/>
        <v>-6.4490900000000693</v>
      </c>
      <c r="X81" s="141">
        <f t="shared" si="77"/>
        <v>2.1061917387821261E-3</v>
      </c>
      <c r="Z81" s="139" t="s">
        <v>143</v>
      </c>
      <c r="AA81" s="369">
        <f>+AA76+AA77+AA78-AA79-AA80</f>
        <v>-340</v>
      </c>
      <c r="AB81" s="141">
        <f>IF(AA66=0,"N.D.",AA81/AA66)</f>
        <v>-9.2972381733661472E-2</v>
      </c>
      <c r="AC81" s="369">
        <f ca="1">+AC76+AC77+AC78-AC79-AC80</f>
        <v>-340</v>
      </c>
      <c r="AD81" s="141">
        <f t="shared" ca="1" si="78"/>
        <v>-0.10424469049598091</v>
      </c>
      <c r="AE81" s="369">
        <f ca="1">+AE76+AE77+AE78-AE79-AE80</f>
        <v>-260.93200000000002</v>
      </c>
      <c r="AF81" s="141">
        <f t="shared" ca="1" si="79"/>
        <v>-9.9179182907847663E-2</v>
      </c>
      <c r="AG81" s="375">
        <f t="shared" ca="1" si="80"/>
        <v>0</v>
      </c>
      <c r="AH81" s="144">
        <f t="shared" ca="1" si="81"/>
        <v>0</v>
      </c>
      <c r="AI81" s="366">
        <f t="shared" ca="1" si="82"/>
        <v>-79.067999999999984</v>
      </c>
      <c r="AJ81" s="141">
        <f t="shared" ca="1" si="83"/>
        <v>0.30302147685987135</v>
      </c>
    </row>
    <row r="82" spans="2:36" ht="12.65" customHeight="1" x14ac:dyDescent="0.3">
      <c r="B82" s="139" t="s">
        <v>247</v>
      </c>
      <c r="C82" s="366">
        <f>(BDER!D23)/1000</f>
        <v>0</v>
      </c>
      <c r="D82" s="141" t="str">
        <f>IF(C66=0,"N.D.",C82/C66)</f>
        <v>N.D.</v>
      </c>
      <c r="E82" s="366">
        <f>BDER!L23/1000</f>
        <v>1733.431</v>
      </c>
      <c r="F82" s="141">
        <f t="shared" si="71"/>
        <v>0.53147346497393733</v>
      </c>
      <c r="G82" s="366">
        <f>(BDER!H23)/1000</f>
        <v>1051.7208600000001</v>
      </c>
      <c r="H82" s="141">
        <f t="shared" si="69"/>
        <v>0.76232404993706993</v>
      </c>
      <c r="I82" s="375">
        <f t="shared" si="72"/>
        <v>-1733.431</v>
      </c>
      <c r="J82" s="144">
        <f t="shared" si="73"/>
        <v>-1</v>
      </c>
      <c r="K82" s="366">
        <f t="shared" si="74"/>
        <v>-1051.7208600000001</v>
      </c>
      <c r="L82" s="141">
        <f t="shared" si="75"/>
        <v>-1</v>
      </c>
      <c r="M82" s="126"/>
      <c r="N82" s="139" t="s">
        <v>247</v>
      </c>
      <c r="O82" s="366">
        <f>(BDER!E23)/1000</f>
        <v>11497.434220000001</v>
      </c>
      <c r="P82" s="144">
        <f t="shared" si="64"/>
        <v>0.54740998896171389</v>
      </c>
      <c r="Q82" s="366">
        <f>BDER!M23/1000</f>
        <v>10478.504000000001</v>
      </c>
      <c r="R82" s="144">
        <f t="shared" si="65"/>
        <v>0.54285209100681164</v>
      </c>
      <c r="S82" s="366">
        <f>(BDER!K23)/1000</f>
        <v>4877.0110599999998</v>
      </c>
      <c r="T82" s="141">
        <f>IF(S66=0,"N.D.",S82/S66)</f>
        <v>0.58292364842251254</v>
      </c>
      <c r="U82" s="385">
        <f t="shared" si="66"/>
        <v>1018.9302200000002</v>
      </c>
      <c r="V82" s="144">
        <f t="shared" si="76"/>
        <v>9.7240046861651219E-2</v>
      </c>
      <c r="W82" s="375">
        <f t="shared" si="67"/>
        <v>6620.4231600000012</v>
      </c>
      <c r="X82" s="141">
        <f t="shared" si="77"/>
        <v>1.3574755272340928</v>
      </c>
      <c r="Z82" s="139" t="s">
        <v>247</v>
      </c>
      <c r="AA82" s="366">
        <f>+AA74-AA81</f>
        <v>2125</v>
      </c>
      <c r="AB82" s="141">
        <f>IF(AA66=0,"N.D.",AA82/AA66)</f>
        <v>0.58107738583538415</v>
      </c>
      <c r="AC82" s="366">
        <f ca="1">+AC74-AC81</f>
        <v>1121.4489999999998</v>
      </c>
      <c r="AD82" s="141">
        <f t="shared" ca="1" si="78"/>
        <v>0.34383854091772731</v>
      </c>
      <c r="AE82" s="366">
        <f ca="1">+AE74-AE81</f>
        <v>1322.7369999999999</v>
      </c>
      <c r="AF82" s="141">
        <f t="shared" ca="1" si="79"/>
        <v>0.50276690809091129</v>
      </c>
      <c r="AG82" s="375">
        <f t="shared" ca="1" si="80"/>
        <v>1003.5510000000002</v>
      </c>
      <c r="AH82" s="144">
        <f t="shared" ca="1" si="81"/>
        <v>0.89486994058579605</v>
      </c>
      <c r="AI82" s="366">
        <f t="shared" ca="1" si="82"/>
        <v>802.26300000000015</v>
      </c>
      <c r="AJ82" s="141">
        <f t="shared" ca="1" si="83"/>
        <v>0.60651739537035732</v>
      </c>
    </row>
    <row r="83" spans="2:36" ht="12.65" customHeight="1" x14ac:dyDescent="0.25">
      <c r="B83" s="129"/>
      <c r="C83" s="362"/>
      <c r="D83" s="124"/>
      <c r="E83" s="362"/>
      <c r="F83" s="124"/>
      <c r="G83" s="362"/>
      <c r="H83" s="124"/>
      <c r="I83" s="362"/>
      <c r="J83" s="145"/>
      <c r="K83" s="362"/>
      <c r="L83" s="124"/>
      <c r="M83" s="125"/>
      <c r="N83" s="129"/>
      <c r="O83" s="362"/>
      <c r="P83" s="145"/>
      <c r="Q83" s="362"/>
      <c r="R83" s="145"/>
      <c r="S83" s="362"/>
      <c r="T83" s="124"/>
      <c r="U83" s="362"/>
      <c r="V83" s="145"/>
      <c r="W83" s="362"/>
      <c r="X83" s="124"/>
      <c r="Z83" s="129"/>
      <c r="AA83" s="362"/>
      <c r="AB83" s="124"/>
      <c r="AC83" s="362"/>
      <c r="AD83" s="124"/>
      <c r="AE83" s="362"/>
      <c r="AF83" s="124"/>
      <c r="AG83" s="362"/>
      <c r="AH83" s="145"/>
      <c r="AI83" s="362"/>
      <c r="AJ83" s="124"/>
    </row>
    <row r="84" spans="2:36" ht="12.65" customHeight="1" x14ac:dyDescent="0.25">
      <c r="B84" s="129" t="s">
        <v>397</v>
      </c>
      <c r="C84" s="364">
        <f>(BDER!D24)/1000</f>
        <v>0</v>
      </c>
      <c r="D84" s="148" t="str">
        <f>IF(C66=0,"N.D.",C84/C66)</f>
        <v>N.D.</v>
      </c>
      <c r="E84" s="364">
        <f>BDER!L24/1000</f>
        <v>97.846999999999994</v>
      </c>
      <c r="F84" s="131">
        <f>IF(E$66=0, 0, E84/$E$66)</f>
        <v>3.0000088914588954E-2</v>
      </c>
      <c r="G84" s="364">
        <f>(BDER!H24)/1000</f>
        <v>0</v>
      </c>
      <c r="H84" s="131">
        <f t="shared" si="69"/>
        <v>0</v>
      </c>
      <c r="I84" s="379">
        <f>C84-E84</f>
        <v>-97.846999999999994</v>
      </c>
      <c r="J84" s="134">
        <f>IF(E84=0,"N.D.",C84/E84-1)</f>
        <v>-1</v>
      </c>
      <c r="K84" s="364">
        <f>C84-G84</f>
        <v>0</v>
      </c>
      <c r="L84" s="131" t="str">
        <f>IF(G84=0,"N.D.",C84/G84-1)</f>
        <v>N.D.</v>
      </c>
      <c r="M84" s="125"/>
      <c r="N84" s="129" t="s">
        <v>397</v>
      </c>
      <c r="O84" s="364">
        <f>(BDER!E24)/1000</f>
        <v>0</v>
      </c>
      <c r="P84" s="134">
        <f t="shared" si="64"/>
        <v>0</v>
      </c>
      <c r="Q84" s="364">
        <f>BDER!M24/1000</f>
        <v>579.08100000000002</v>
      </c>
      <c r="R84" s="134">
        <f t="shared" si="65"/>
        <v>3.0000020204440966E-2</v>
      </c>
      <c r="S84" s="364">
        <f>(BDER!K24)/1000</f>
        <v>0</v>
      </c>
      <c r="T84" s="131">
        <f>IF(S66=0,"N.D.",S84/S66)</f>
        <v>0</v>
      </c>
      <c r="U84" s="381">
        <f t="shared" si="66"/>
        <v>-579.08100000000002</v>
      </c>
      <c r="V84" s="134">
        <f>IF(Q84=0,"N.D.",O84/Q84-1)</f>
        <v>-1</v>
      </c>
      <c r="W84" s="379">
        <f t="shared" si="67"/>
        <v>0</v>
      </c>
      <c r="X84" s="131" t="str">
        <f t="shared" ref="X84:X87" si="84">IF(S84=0,"N.D.",IF(W84&gt;0,ABS(O84/S84-1),ABS(O84/S84-1)))</f>
        <v>N.D.</v>
      </c>
      <c r="Z84" s="129" t="s">
        <v>397</v>
      </c>
      <c r="AA84" s="364">
        <v>219</v>
      </c>
      <c r="AB84" s="148">
        <f>IF(AA66=0,"N.D.",AA84/AA66)</f>
        <v>5.988515176374077E-2</v>
      </c>
      <c r="AC84" s="364">
        <f ca="1">INDIRECT(ADDRESS(MATCH($B$63,BDPP!$B:$B,0)+21,MATCH(TEXT(EOMONTH(MES_CIERRE,1),"MMMM"),BDPP!$10:$10,0),,,"BDPP"))/1000</f>
        <v>56.098999999999997</v>
      </c>
      <c r="AD84" s="131">
        <f ca="1">IF(AC$66=0, 0, AC84/$E$66)</f>
        <v>1.7200067329805981E-2</v>
      </c>
      <c r="AE84" s="364">
        <f ca="1">INDIRECT(ADDRESS(MATCH($B$63,INDIRECT("'"&amp;IF(MONTH(MES_CIERRE)=12,"ER ACT","ER AA")&amp;"'!$B:$B"),0)+19,MATCH(TEXT(EOMONTH(MES_CIERRE,1),"MMMM"),'ER AA'!$10:$10,0),,,IF(MONTH(MES_CIERRE)=12,"ER ACT","ER AA")))</f>
        <v>0</v>
      </c>
      <c r="AF84" s="131">
        <f ca="1">IF(AE$66=0, 0, AE84/$AE$66)</f>
        <v>0</v>
      </c>
      <c r="AG84" s="379">
        <f ca="1">AA84-AC84</f>
        <v>162.90100000000001</v>
      </c>
      <c r="AH84" s="134">
        <f ca="1">IF(AC84=0,"N.D.",AA84/AC84-1)</f>
        <v>2.9038129021907699</v>
      </c>
      <c r="AI84" s="364">
        <f ca="1">AA84-AE84</f>
        <v>219</v>
      </c>
      <c r="AJ84" s="131" t="str">
        <f ca="1">IF(AE84=0,"N.D.",AA84/AE84-1)</f>
        <v>N.D.</v>
      </c>
    </row>
    <row r="85" spans="2:36" ht="12.65" customHeight="1" x14ac:dyDescent="0.25">
      <c r="B85" s="129" t="s">
        <v>395</v>
      </c>
      <c r="C85" s="367">
        <f>(BDER!D25)/1000</f>
        <v>0</v>
      </c>
      <c r="D85" s="150" t="str">
        <f>IF(C66=0,"N.D.",C85/C66)</f>
        <v>N.D.</v>
      </c>
      <c r="E85" s="367">
        <f>BDER!L25/1000</f>
        <v>0</v>
      </c>
      <c r="F85" s="136">
        <f>IF(E$66=0, 0, E85/$E$66)</f>
        <v>0</v>
      </c>
      <c r="G85" s="367">
        <f>(BDER!H25)/1000</f>
        <v>0</v>
      </c>
      <c r="H85" s="136">
        <f t="shared" si="69"/>
        <v>0</v>
      </c>
      <c r="I85" s="382">
        <f>C85-E85</f>
        <v>0</v>
      </c>
      <c r="J85" s="138" t="str">
        <f>IF(E85=0,"N.D.",C85/E85-1)</f>
        <v>N.D.</v>
      </c>
      <c r="K85" s="367">
        <f>C85-G85</f>
        <v>0</v>
      </c>
      <c r="L85" s="136" t="str">
        <f>IF(G85=0,"N.D.",C85/G85-1)</f>
        <v>N.D.</v>
      </c>
      <c r="M85" s="125"/>
      <c r="N85" s="129" t="s">
        <v>395</v>
      </c>
      <c r="O85" s="367">
        <f>(BDER!E25)/1000</f>
        <v>0</v>
      </c>
      <c r="P85" s="138">
        <f t="shared" si="64"/>
        <v>0</v>
      </c>
      <c r="Q85" s="367">
        <f>BDER!M25</f>
        <v>0</v>
      </c>
      <c r="R85" s="138">
        <f t="shared" si="65"/>
        <v>0</v>
      </c>
      <c r="S85" s="367">
        <f>(BDER!K25)/1000</f>
        <v>0</v>
      </c>
      <c r="T85" s="136">
        <f>IF(S66=0,"N.D.",S85/S66)</f>
        <v>0</v>
      </c>
      <c r="U85" s="383">
        <f t="shared" si="66"/>
        <v>0</v>
      </c>
      <c r="V85" s="138" t="str">
        <f>IF(Q85=0,"N.D.",O85/Q85-1)</f>
        <v>N.D.</v>
      </c>
      <c r="W85" s="382">
        <f t="shared" si="67"/>
        <v>0</v>
      </c>
      <c r="X85" s="136" t="str">
        <f t="shared" si="84"/>
        <v>N.D.</v>
      </c>
      <c r="Z85" s="129" t="s">
        <v>395</v>
      </c>
      <c r="AA85" s="367"/>
      <c r="AB85" s="150">
        <f>IF(AA66=0,"N.D.",AA85/AA66)</f>
        <v>0</v>
      </c>
      <c r="AC85" s="367">
        <f ca="1">INDIRECT(ADDRESS(MATCH($B$63,BDPP!$B:$B,0)+22,MATCH(TEXT(EOMONTH(MES_CIERRE,1),"MMMM"),BDPP!$10:$10,0),,,"BDPP"))/1000</f>
        <v>0</v>
      </c>
      <c r="AD85" s="136">
        <f ca="1">IF(AC$66=0, 0, AC85/$E$66)</f>
        <v>0</v>
      </c>
      <c r="AE85" s="367">
        <f ca="1">INDIRECT(ADDRESS(MATCH($B$63,INDIRECT("'"&amp;IF(MONTH(MES_CIERRE)=12,"ER ACT","ER AA")&amp;"'!$B:$B"),0)+20,MATCH(TEXT(EOMONTH(MES_CIERRE,1),"MMMM"),'ER AA'!$10:$10,0),,,IF(MONTH(MES_CIERRE)=12,"ER ACT","ER AA")))</f>
        <v>0</v>
      </c>
      <c r="AF85" s="136">
        <f ca="1">IF(AE$66=0, 0, AE85/$AE$66)</f>
        <v>0</v>
      </c>
      <c r="AG85" s="382">
        <f ca="1">AA85-AC85</f>
        <v>0</v>
      </c>
      <c r="AH85" s="138" t="str">
        <f ca="1">IF(AC85=0,"N.D.",AA85/AC85-1)</f>
        <v>N.D.</v>
      </c>
      <c r="AI85" s="367">
        <f ca="1">AA85-AE85</f>
        <v>0</v>
      </c>
      <c r="AJ85" s="136" t="str">
        <f ca="1">IF(AE85=0,"N.D.",AA85/AE85-1)</f>
        <v>N.D.</v>
      </c>
    </row>
    <row r="86" spans="2:36" ht="12.65" customHeight="1" x14ac:dyDescent="0.3">
      <c r="B86" s="139" t="s">
        <v>146</v>
      </c>
      <c r="C86" s="366">
        <f>(BDER!D26)/1000</f>
        <v>0</v>
      </c>
      <c r="D86" s="141" t="str">
        <f>IF(C66=0,"N.D.",C86/C66)</f>
        <v>N.D.</v>
      </c>
      <c r="E86" s="366">
        <f>BDER!L26/1000</f>
        <v>1635.5840000000001</v>
      </c>
      <c r="F86" s="141">
        <f>IF(E$66=0, 0, E86/$E$66)</f>
        <v>0.50147337605934839</v>
      </c>
      <c r="G86" s="366">
        <f>(BDER!H26)/1000</f>
        <v>1051.7208600000001</v>
      </c>
      <c r="H86" s="141">
        <f t="shared" si="69"/>
        <v>0.76232404993706993</v>
      </c>
      <c r="I86" s="375">
        <f>C86-E86</f>
        <v>-1635.5840000000001</v>
      </c>
      <c r="J86" s="144">
        <f>IF(E86=0,"N.D.",C86/E86-1)</f>
        <v>-1</v>
      </c>
      <c r="K86" s="366">
        <f>C86-G86</f>
        <v>-1051.7208600000001</v>
      </c>
      <c r="L86" s="141">
        <f>IF(G86=0,"N.D.",C86/G86-1)</f>
        <v>-1</v>
      </c>
      <c r="M86" s="126"/>
      <c r="N86" s="139" t="s">
        <v>146</v>
      </c>
      <c r="O86" s="366">
        <f>(BDER!E26)/1000</f>
        <v>11497.434220000001</v>
      </c>
      <c r="P86" s="144">
        <f t="shared" si="64"/>
        <v>0.54740998896171389</v>
      </c>
      <c r="Q86" s="366">
        <f>BDER!M26/1000</f>
        <v>9899.4230000000007</v>
      </c>
      <c r="R86" s="144">
        <f t="shared" si="65"/>
        <v>0.51285207080237072</v>
      </c>
      <c r="S86" s="366">
        <f>(BDER!K26)/1000</f>
        <v>4877.0110599999998</v>
      </c>
      <c r="T86" s="141">
        <f>IF(S66=0,"N.D.",S86/S66)</f>
        <v>0.58292364842251254</v>
      </c>
      <c r="U86" s="385">
        <f t="shared" si="66"/>
        <v>1598.0112200000003</v>
      </c>
      <c r="V86" s="144">
        <f>IF(Q86=0,"N.D.",O86/Q86-1)</f>
        <v>0.1614246830345567</v>
      </c>
      <c r="W86" s="375">
        <f t="shared" si="67"/>
        <v>6620.4231600000012</v>
      </c>
      <c r="X86" s="141">
        <f t="shared" si="84"/>
        <v>1.3574755272340928</v>
      </c>
      <c r="Z86" s="139" t="s">
        <v>146</v>
      </c>
      <c r="AA86" s="366">
        <f>+AA82-AA84-AA85</f>
        <v>1906</v>
      </c>
      <c r="AB86" s="141">
        <f>IF(AA66=0,"N.D.",AA86/AA66)</f>
        <v>0.52119223407164339</v>
      </c>
      <c r="AC86" s="366">
        <f ca="1">+AC82-AC84-AC85</f>
        <v>1065.3499999999999</v>
      </c>
      <c r="AD86" s="141">
        <f ca="1">IF(AC$66=0, 0, AC86/$E$66)</f>
        <v>0.32663847358792136</v>
      </c>
      <c r="AE86" s="366">
        <f ca="1">+AE82-AE84-AE85</f>
        <v>1322.7369999999999</v>
      </c>
      <c r="AF86" s="141">
        <f ca="1">IF(AE$66=0, 0, AE86/$AE$66)</f>
        <v>0.50276690809091129</v>
      </c>
      <c r="AG86" s="375">
        <f ca="1">AA86-AC86</f>
        <v>840.65000000000009</v>
      </c>
      <c r="AH86" s="144">
        <f ca="1">IF(AC86=0,"N.D.",AA86/AC86-1)</f>
        <v>0.7890833998216551</v>
      </c>
      <c r="AI86" s="366">
        <f ca="1">AA86-AE86</f>
        <v>583.26300000000015</v>
      </c>
      <c r="AJ86" s="141">
        <f ca="1">IF(AE86=0,"N.D.",AA86/AE86-1)</f>
        <v>0.44095160262395328</v>
      </c>
    </row>
    <row r="87" spans="2:36" ht="12.65" customHeight="1" x14ac:dyDescent="0.3">
      <c r="B87" s="139" t="s">
        <v>248</v>
      </c>
      <c r="C87" s="366">
        <f>(BDER!D27)/1000</f>
        <v>0</v>
      </c>
      <c r="D87" s="141" t="str">
        <f>IF(C66=0,"N.D.",C87/C66)</f>
        <v>N.D.</v>
      </c>
      <c r="E87" s="366">
        <f>BDER!L27/1000</f>
        <v>1397.056</v>
      </c>
      <c r="F87" s="141">
        <f>IF(E$66=0, 0, E87/$E$66)</f>
        <v>0.42834020683986213</v>
      </c>
      <c r="G87" s="366">
        <f>(BDER!H27)/1000</f>
        <v>523.95149000000004</v>
      </c>
      <c r="H87" s="141">
        <f t="shared" si="69"/>
        <v>0.37977835851554964</v>
      </c>
      <c r="I87" s="375">
        <f>C87-E87</f>
        <v>-1397.056</v>
      </c>
      <c r="J87" s="144">
        <f>IF(E87=0,"N.D.",C87/E87-1)</f>
        <v>-1</v>
      </c>
      <c r="K87" s="366">
        <f>C87-G87</f>
        <v>-523.95149000000004</v>
      </c>
      <c r="L87" s="141">
        <f>IF(G87=0,"N.D.",C87/G87-1)</f>
        <v>-1</v>
      </c>
      <c r="M87" s="126"/>
      <c r="N87" s="139" t="s">
        <v>248</v>
      </c>
      <c r="O87" s="366">
        <f>(BDER!E27)/1000</f>
        <v>8441.0306199999995</v>
      </c>
      <c r="P87" s="144">
        <f t="shared" si="64"/>
        <v>0.40189005565101532</v>
      </c>
      <c r="Q87" s="366">
        <f>BDER!M27/1000</f>
        <v>7787.5039999999999</v>
      </c>
      <c r="R87" s="144">
        <f t="shared" si="65"/>
        <v>0.40344144833307399</v>
      </c>
      <c r="S87" s="366">
        <f>(BDER!K27)/1000</f>
        <v>1824.2677900000001</v>
      </c>
      <c r="T87" s="141">
        <f>IF(S66=0,"N.D.",S87/S66)</f>
        <v>0.2180451966919415</v>
      </c>
      <c r="U87" s="385">
        <f t="shared" si="66"/>
        <v>653.52661999999964</v>
      </c>
      <c r="V87" s="144">
        <f>IF(Q87=0,"N.D.",O87/Q87-1)</f>
        <v>8.3919908098923468E-2</v>
      </c>
      <c r="W87" s="375">
        <f t="shared" si="67"/>
        <v>6616.7628299999997</v>
      </c>
      <c r="X87" s="141">
        <f t="shared" si="84"/>
        <v>3.6270786922132734</v>
      </c>
      <c r="Z87" s="139" t="s">
        <v>248</v>
      </c>
      <c r="AA87" s="366">
        <f>+AA74+AA72</f>
        <v>1788</v>
      </c>
      <c r="AB87" s="141">
        <f>IF(AA66=0,"N.D.",AA87/AA66)</f>
        <v>0.4889253486464315</v>
      </c>
      <c r="AC87" s="366">
        <f ca="1">+AC74+AC72</f>
        <v>785.07399999999984</v>
      </c>
      <c r="AD87" s="141">
        <f ca="1">IF(AC$66=0, 0, AC87/$E$66)</f>
        <v>0.24070528278365208</v>
      </c>
      <c r="AE87" s="366">
        <f ca="1">+AE74+AE72</f>
        <v>1061.8049999999998</v>
      </c>
      <c r="AF87" s="141">
        <f ca="1">IF(AE$66=0, 0, AE87/$AE$66)</f>
        <v>0.40358772518306363</v>
      </c>
      <c r="AG87" s="375">
        <f ca="1">AA87-AC87</f>
        <v>1002.9260000000002</v>
      </c>
      <c r="AH87" s="144">
        <f ca="1">IF(AC87=0,"N.D.",AA87/AC87-1)</f>
        <v>1.2774923128265621</v>
      </c>
      <c r="AI87" s="366">
        <f ca="1">AA87-AE87</f>
        <v>726.19500000000016</v>
      </c>
      <c r="AJ87" s="141">
        <f ca="1">IF(AE87=0,"N.D.",AA87/AE87-1)</f>
        <v>0.68392501448006016</v>
      </c>
    </row>
    <row r="88" spans="2:36" ht="12.65" customHeight="1" x14ac:dyDescent="0.3">
      <c r="B88" s="139"/>
      <c r="C88" s="368"/>
      <c r="D88" s="330"/>
      <c r="E88" s="368"/>
      <c r="F88" s="330"/>
      <c r="G88" s="368"/>
      <c r="H88" s="330"/>
      <c r="I88" s="368"/>
      <c r="J88" s="331"/>
      <c r="K88" s="368"/>
      <c r="L88" s="330"/>
      <c r="M88" s="126"/>
      <c r="N88" s="139"/>
      <c r="O88" s="368"/>
      <c r="P88" s="331"/>
      <c r="Q88" s="368"/>
      <c r="R88" s="331"/>
      <c r="S88" s="368"/>
      <c r="T88" s="330"/>
      <c r="U88" s="368"/>
      <c r="V88" s="331"/>
      <c r="W88" s="368"/>
      <c r="X88" s="330"/>
      <c r="Z88" s="139"/>
      <c r="AA88" s="368"/>
      <c r="AB88" s="330"/>
      <c r="AC88" s="368"/>
      <c r="AD88" s="330"/>
      <c r="AE88" s="368"/>
      <c r="AF88" s="330"/>
      <c r="AG88" s="368"/>
      <c r="AH88" s="331"/>
      <c r="AI88" s="368"/>
      <c r="AJ88" s="330"/>
    </row>
    <row r="89" spans="2:36" ht="12.65" customHeight="1" x14ac:dyDescent="0.25">
      <c r="C89" s="362"/>
      <c r="D89" s="362"/>
      <c r="E89" s="362"/>
      <c r="F89" s="362"/>
      <c r="G89" s="362"/>
      <c r="H89" s="362"/>
      <c r="I89" s="362"/>
      <c r="J89" s="362"/>
      <c r="K89" s="362"/>
      <c r="L89" s="362"/>
      <c r="O89" s="362"/>
      <c r="P89" s="362"/>
      <c r="Q89" s="362"/>
      <c r="R89" s="362"/>
      <c r="S89" s="362"/>
      <c r="T89" s="362"/>
      <c r="U89" s="362"/>
      <c r="V89" s="362"/>
      <c r="W89" s="362"/>
      <c r="X89" s="362"/>
      <c r="AA89" s="362"/>
      <c r="AB89" s="362"/>
      <c r="AC89" s="362"/>
      <c r="AD89" s="362"/>
      <c r="AE89" s="362"/>
      <c r="AF89" s="362"/>
      <c r="AG89" s="362"/>
      <c r="AH89" s="362"/>
      <c r="AI89" s="362"/>
      <c r="AJ89" s="362"/>
    </row>
    <row r="90" spans="2:36" ht="12.65" customHeight="1" x14ac:dyDescent="0.3">
      <c r="B90" s="359" t="s">
        <v>161</v>
      </c>
      <c r="C90" s="362"/>
      <c r="D90" s="362"/>
      <c r="E90" s="362"/>
      <c r="F90" s="362"/>
      <c r="G90" s="362"/>
      <c r="H90" s="362"/>
      <c r="I90" s="362"/>
      <c r="J90" s="362"/>
      <c r="K90" s="362"/>
      <c r="L90" s="362"/>
      <c r="N90" s="359" t="s">
        <v>161</v>
      </c>
      <c r="O90" s="362"/>
      <c r="P90" s="362"/>
      <c r="Q90" s="362"/>
      <c r="R90" s="362"/>
      <c r="S90" s="362"/>
      <c r="T90" s="362"/>
      <c r="U90" s="362"/>
      <c r="V90" s="362"/>
      <c r="W90" s="362"/>
      <c r="X90" s="362"/>
      <c r="Z90" s="359" t="s">
        <v>161</v>
      </c>
      <c r="AA90" s="362"/>
      <c r="AB90" s="362"/>
      <c r="AC90" s="362"/>
      <c r="AD90" s="362"/>
      <c r="AE90" s="362"/>
      <c r="AF90" s="362"/>
      <c r="AG90" s="362"/>
      <c r="AH90" s="362"/>
      <c r="AI90" s="362"/>
      <c r="AJ90" s="362"/>
    </row>
    <row r="91" spans="2:36" ht="12.65" customHeight="1" x14ac:dyDescent="0.3">
      <c r="B91" s="359" t="s">
        <v>253</v>
      </c>
      <c r="N91" s="359" t="s">
        <v>32</v>
      </c>
      <c r="Z91" s="359" t="s">
        <v>391</v>
      </c>
    </row>
    <row r="92" spans="2:36" ht="12.65" customHeight="1" x14ac:dyDescent="0.3">
      <c r="B92" s="363"/>
      <c r="C92" s="201" t="s">
        <v>2</v>
      </c>
      <c r="E92" s="363" t="s">
        <v>10</v>
      </c>
      <c r="G92" s="201" t="s">
        <v>110</v>
      </c>
      <c r="I92" s="363" t="s">
        <v>111</v>
      </c>
      <c r="K92" s="363" t="s">
        <v>112</v>
      </c>
      <c r="N92" s="363"/>
      <c r="O92" s="201" t="s">
        <v>141</v>
      </c>
      <c r="P92" s="377"/>
      <c r="Q92" s="363" t="s">
        <v>10</v>
      </c>
      <c r="R92" s="377"/>
      <c r="S92" s="201" t="s">
        <v>110</v>
      </c>
      <c r="T92" s="377"/>
      <c r="U92" s="363" t="s">
        <v>111</v>
      </c>
      <c r="V92" s="377"/>
      <c r="W92" s="363" t="s">
        <v>142</v>
      </c>
      <c r="X92" s="377"/>
      <c r="Z92" s="363"/>
      <c r="AA92" s="201" t="s">
        <v>2</v>
      </c>
      <c r="AC92" s="363" t="s">
        <v>10</v>
      </c>
      <c r="AE92" s="201" t="s">
        <v>110</v>
      </c>
      <c r="AG92" s="363" t="s">
        <v>111</v>
      </c>
      <c r="AI92" s="363" t="s">
        <v>112</v>
      </c>
    </row>
    <row r="93" spans="2:36" ht="12.65" customHeight="1" x14ac:dyDescent="0.25">
      <c r="B93" s="129" t="s">
        <v>236</v>
      </c>
      <c r="C93" s="364">
        <f>(BDER!D36)/1000</f>
        <v>0</v>
      </c>
      <c r="D93" s="148" t="str">
        <f>IF(C93=0,"N.D.",C93/C93)</f>
        <v>N.D.</v>
      </c>
      <c r="E93" s="379">
        <f>BDER!L34/1000</f>
        <v>1280.69</v>
      </c>
      <c r="F93" s="131">
        <f>IF(E93=0,"N.D.",E93/E93)</f>
        <v>1</v>
      </c>
      <c r="G93" s="364">
        <f>(BDER!H36)/1000</f>
        <v>2173.1824200000001</v>
      </c>
      <c r="H93" s="131">
        <f>IF(G93=0,"N.D.",G93/G93)</f>
        <v>1</v>
      </c>
      <c r="I93" s="379">
        <f>C93-E93</f>
        <v>-1280.69</v>
      </c>
      <c r="J93" s="134">
        <f>IF(E93=0,"N.D.",C93/E93-1)</f>
        <v>-1</v>
      </c>
      <c r="K93" s="364">
        <f>C93-G93</f>
        <v>-2173.1824200000001</v>
      </c>
      <c r="L93" s="131">
        <f>IF(G93=0,"N.D.",C93/G93-1)</f>
        <v>-1</v>
      </c>
      <c r="N93" s="129" t="s">
        <v>236</v>
      </c>
      <c r="O93" s="364">
        <f>(BDER!E36)/1000</f>
        <v>10127.168310000001</v>
      </c>
      <c r="P93" s="148">
        <f>IF(O93=0,"N.D.",O93/O93)</f>
        <v>1</v>
      </c>
      <c r="Q93" s="379">
        <f>BDER!M34/1000</f>
        <v>15531.242</v>
      </c>
      <c r="R93" s="131">
        <f>IF(Q93=0,"N.D.",Q93/Q93)</f>
        <v>1</v>
      </c>
      <c r="S93" s="364">
        <f>(BDER!K36)/1000</f>
        <v>10027.642689999999</v>
      </c>
      <c r="T93" s="131">
        <f>IF(S93=0,"N.D.",S93/S93)</f>
        <v>1</v>
      </c>
      <c r="U93" s="379">
        <f>O93-Q93</f>
        <v>-5404.0736899999993</v>
      </c>
      <c r="V93" s="134">
        <f>IF(Q93=0,"N.D.",O93/Q93-1)</f>
        <v>-0.34794858582462362</v>
      </c>
      <c r="W93" s="364">
        <f>O93-S93</f>
        <v>99.525620000002164</v>
      </c>
      <c r="X93" s="131">
        <f>IF(S93=0,"N.D.",O93/S93-1)</f>
        <v>9.925126281100205E-3</v>
      </c>
      <c r="Z93" s="129" t="s">
        <v>236</v>
      </c>
      <c r="AA93" s="364">
        <v>1638</v>
      </c>
      <c r="AB93" s="148">
        <f>IF(AA93=0,"N.D.",AA93/AA93)</f>
        <v>1</v>
      </c>
      <c r="AC93" s="378">
        <f ca="1">INDIRECT(ADDRESS(MATCH($B$90,BDPP!$B:$B,0)+6,MATCH(TEXT(EOMONTH(MES_CIERRE,1),"MMMM"),BDPP!$10:$10,0),,,"BDPP"))/1000</f>
        <v>1196.162</v>
      </c>
      <c r="AD93" s="131">
        <f ca="1">IF(AC93=0,"N.D.",AC93/AC93)</f>
        <v>1</v>
      </c>
      <c r="AE93" s="378">
        <f ca="1">INDIRECT(ADDRESS(MATCH($B$90,INDIRECT("'"&amp;IF(MONTH(MES_CIERRE)=12,"ER ACT","ER AA")&amp;"'!$B:$B"),0)+1,MATCH(TEXT(EOMONTH(MES_CIERRE,1),"MMMM"),'ER AA'!$10:$10,0),,,IF(MONTH(MES_CIERRE)=12,"ER ACT","ER AA")))</f>
        <v>1987.3779999999999</v>
      </c>
      <c r="AF93" s="131">
        <f ca="1">IF(AE93=0,"N.D.",AE93/AE93)</f>
        <v>1</v>
      </c>
      <c r="AG93" s="379">
        <f ca="1">AA93-AC93</f>
        <v>441.83799999999997</v>
      </c>
      <c r="AH93" s="134">
        <f ca="1">IF(AC93=0,"N.D.",AA93/AC93-1)</f>
        <v>0.36937973284555103</v>
      </c>
      <c r="AI93" s="364">
        <f ca="1">AA93-AE93</f>
        <v>-349.37799999999993</v>
      </c>
      <c r="AJ93" s="131">
        <f ca="1">IF(AE93=0,"N.D.",AA93/AE93-1)</f>
        <v>-0.17579846410697908</v>
      </c>
    </row>
    <row r="94" spans="2:36" ht="12.65" customHeight="1" x14ac:dyDescent="0.25">
      <c r="B94" s="129" t="s">
        <v>145</v>
      </c>
      <c r="C94" s="365">
        <f>(BDER!D37)/1000</f>
        <v>0</v>
      </c>
      <c r="D94" s="136" t="str">
        <f>IF(C93=0,"N.D.",C94/C93)</f>
        <v>N.D.</v>
      </c>
      <c r="E94" s="365">
        <f>BDER!L37/1000</f>
        <v>866.3</v>
      </c>
      <c r="F94" s="136">
        <f>IF(E93=0,"N.D.",E94/E93)</f>
        <v>0.67643223574791711</v>
      </c>
      <c r="G94" s="365">
        <f>(BDER!H37)/1000</f>
        <v>1584.5716200000002</v>
      </c>
      <c r="H94" s="136">
        <f>IF(G93=0,"N.D.",G94/G93)</f>
        <v>0.72914800221879217</v>
      </c>
      <c r="I94" s="382">
        <f>C94-E94</f>
        <v>-866.3</v>
      </c>
      <c r="J94" s="138">
        <f>IF(E94=0,"N.D.",C94/E94-1)</f>
        <v>-1</v>
      </c>
      <c r="K94" s="365">
        <f>C94-G94</f>
        <v>-1584.5716200000002</v>
      </c>
      <c r="L94" s="136">
        <f>IF(G94=0,"N.D.",C94/G94-1)</f>
        <v>-1</v>
      </c>
      <c r="N94" s="129" t="s">
        <v>145</v>
      </c>
      <c r="O94" s="365">
        <f>(BDER!E37)/1000</f>
        <v>7930.6412300000002</v>
      </c>
      <c r="P94" s="136">
        <f>IF(O93=0,"N.D.",O94/O93)</f>
        <v>0.78310550266740842</v>
      </c>
      <c r="Q94" s="365">
        <f>BDER!M37/1000</f>
        <v>11758.23</v>
      </c>
      <c r="R94" s="136">
        <f>IF(Q93=0,"N.D.",Q94/Q93)</f>
        <v>0.75706952476820588</v>
      </c>
      <c r="S94" s="365">
        <f>(BDER!K37)/1000</f>
        <v>7339.5048799999995</v>
      </c>
      <c r="T94" s="136">
        <f>IF(S93=0,"N.D.",S94/S93)</f>
        <v>0.7319272442085788</v>
      </c>
      <c r="U94" s="382">
        <f>O94-Q94</f>
        <v>-3827.5887699999994</v>
      </c>
      <c r="V94" s="138">
        <f>IF(Q94=0,"N.D.",O94/Q94-1)</f>
        <v>-0.32552423026254795</v>
      </c>
      <c r="W94" s="365">
        <f>O94-S94</f>
        <v>591.13635000000068</v>
      </c>
      <c r="X94" s="136">
        <f>IF(S94=0,"N.D.",O94/S94-1)</f>
        <v>8.0541720410982398E-2</v>
      </c>
      <c r="Z94" s="129" t="s">
        <v>145</v>
      </c>
      <c r="AA94" s="365">
        <v>1147</v>
      </c>
      <c r="AB94" s="136">
        <f>IF(AA93=0,"N.D.",AA94/AA93)</f>
        <v>0.7002442002442002</v>
      </c>
      <c r="AC94" s="365">
        <f ca="1">INDIRECT(ADDRESS(MATCH($B$90,BDPP!$B:$B,0)+7,MATCH(TEXT(EOMONTH(MES_CIERRE,1),"MMMM"),BDPP!$10:$10,0),,,"BDPP"))/1000</f>
        <v>779.55</v>
      </c>
      <c r="AD94" s="136">
        <f ca="1">IF(AC93=0,"N.D.",AC94/AC93)</f>
        <v>0.65170938384600074</v>
      </c>
      <c r="AE94" s="365">
        <f ca="1">INDIRECT(ADDRESS(MATCH($B$90,INDIRECT("'"&amp;IF(MONTH(MES_CIERRE)=12,"ER ACT","ER AA")&amp;"'!$B:$B"),0)+2,MATCH(TEXT(EOMONTH(MES_CIERRE,1),"MMMM"),'ER AA'!$10:$10,0),,,IF(MONTH(MES_CIERRE)=12,"ER ACT","ER AA")))</f>
        <v>1463.5139999999999</v>
      </c>
      <c r="AF94" s="136">
        <f ca="1">IF(AE93=0,"N.D.",AE94/AE93)</f>
        <v>0.7364044484743214</v>
      </c>
      <c r="AG94" s="382">
        <f ca="1">AA94-AC94</f>
        <v>367.45000000000005</v>
      </c>
      <c r="AH94" s="138">
        <f ca="1">IF(AC94=0,"N.D.",AA94/AC94-1)</f>
        <v>0.47136168302225645</v>
      </c>
      <c r="AI94" s="365">
        <f ca="1">AA94-AE94</f>
        <v>-316.5139999999999</v>
      </c>
      <c r="AJ94" s="136">
        <f ca="1">IF(AE94=0,"N.D.",AA94/AE94-1)</f>
        <v>-0.21626988194168273</v>
      </c>
    </row>
    <row r="95" spans="2:36" ht="12.65" customHeight="1" x14ac:dyDescent="0.3">
      <c r="B95" s="139" t="s">
        <v>237</v>
      </c>
      <c r="C95" s="366">
        <f>(BDER!D38)/1000</f>
        <v>0</v>
      </c>
      <c r="D95" s="141" t="str">
        <f>IF(C93=0,"N.D.",C95/C93)</f>
        <v>N.D.</v>
      </c>
      <c r="E95" s="366">
        <f>BDER!L38/1000</f>
        <v>414.39</v>
      </c>
      <c r="F95" s="141">
        <f>IF(E93=0,"N.D.",E95/E93)</f>
        <v>0.32356776425208283</v>
      </c>
      <c r="G95" s="366">
        <f>+G93-G94</f>
        <v>588.61079999999993</v>
      </c>
      <c r="H95" s="141">
        <f>IF(G93=0,"N.D.",G95/G93)</f>
        <v>0.27085199778120783</v>
      </c>
      <c r="I95" s="375">
        <f>C95-E95</f>
        <v>-414.39</v>
      </c>
      <c r="J95" s="144">
        <f>IF(E95=0,"N.D.",C95/E95-1)</f>
        <v>-1</v>
      </c>
      <c r="K95" s="366">
        <f>C95-G95</f>
        <v>-588.61079999999993</v>
      </c>
      <c r="L95" s="141">
        <f>IF(G95=0,"N.D.",C95/G95-1)</f>
        <v>-1</v>
      </c>
      <c r="N95" s="139" t="s">
        <v>237</v>
      </c>
      <c r="O95" s="366">
        <f>+O93-O94</f>
        <v>2196.5270800000008</v>
      </c>
      <c r="P95" s="141">
        <f>IF(O93=0,"N.D.",O95/O93)</f>
        <v>0.21689449733259153</v>
      </c>
      <c r="Q95" s="366">
        <f>BDER!M38/1000</f>
        <v>3773.0120000000002</v>
      </c>
      <c r="R95" s="141">
        <f>IF(Q93=0,"N.D.",Q95/Q93)</f>
        <v>0.24293047523179409</v>
      </c>
      <c r="S95" s="366">
        <f>+S93-S94</f>
        <v>2688.1378099999993</v>
      </c>
      <c r="T95" s="141">
        <f>IF(S93=0,"N.D.",S95/S93)</f>
        <v>0.26807275579142115</v>
      </c>
      <c r="U95" s="375">
        <f>O95-Q95</f>
        <v>-1576.4849199999994</v>
      </c>
      <c r="V95" s="144">
        <f>IF(Q95=0,"N.D.",O95/Q95-1)</f>
        <v>-0.41783193904498561</v>
      </c>
      <c r="W95" s="366">
        <f>O95-S95</f>
        <v>-491.61072999999851</v>
      </c>
      <c r="X95" s="141">
        <f>IF(S95=0,"N.D.",O95/S95-1)</f>
        <v>-0.18288152049764095</v>
      </c>
      <c r="Z95" s="139" t="s">
        <v>237</v>
      </c>
      <c r="AA95" s="384">
        <f>+AA93-AA94</f>
        <v>491</v>
      </c>
      <c r="AB95" s="141">
        <f>IF(AA93=0,"N.D.",AA95/AA93)</f>
        <v>0.29975579975579975</v>
      </c>
      <c r="AC95" s="384">
        <f ca="1">+AC93-AC94</f>
        <v>416.61200000000008</v>
      </c>
      <c r="AD95" s="141">
        <f ca="1">IF(AC93=0,"N.D.",AC95/AC93)</f>
        <v>0.34829061615399926</v>
      </c>
      <c r="AE95" s="384">
        <f ca="1">+AE93-AE94</f>
        <v>523.86400000000003</v>
      </c>
      <c r="AF95" s="141">
        <f ca="1">IF(AE93=0,"N.D.",AE95/AE93)</f>
        <v>0.2635955515256786</v>
      </c>
      <c r="AG95" s="375">
        <f ca="1">AA95-AC95</f>
        <v>74.38799999999992</v>
      </c>
      <c r="AH95" s="144">
        <f ca="1">IF(AC95=0,"N.D.",AA95/AC95-1)</f>
        <v>0.17855462636697905</v>
      </c>
      <c r="AI95" s="366">
        <f ca="1">AA95-AE95</f>
        <v>-32.864000000000033</v>
      </c>
      <c r="AJ95" s="141">
        <f ca="1">IF(AE95=0,"N.D.",AA95/AE95-1)</f>
        <v>-6.2733839317074769E-2</v>
      </c>
    </row>
    <row r="96" spans="2:36" ht="12.65" customHeight="1" x14ac:dyDescent="0.25">
      <c r="B96" s="129"/>
      <c r="C96" s="362"/>
      <c r="D96" s="124"/>
      <c r="E96" s="362"/>
      <c r="F96" s="124"/>
      <c r="G96" s="362"/>
      <c r="H96" s="124"/>
      <c r="I96" s="362"/>
      <c r="J96" s="145"/>
      <c r="K96" s="362"/>
      <c r="L96" s="124"/>
      <c r="N96" s="129"/>
      <c r="O96" s="362"/>
      <c r="P96" s="124"/>
      <c r="Q96" s="362"/>
      <c r="R96" s="124"/>
      <c r="S96" s="362"/>
      <c r="T96" s="124"/>
      <c r="U96" s="362"/>
      <c r="V96" s="145"/>
      <c r="W96" s="362"/>
      <c r="X96" s="124"/>
      <c r="Z96" s="129"/>
      <c r="AA96" s="362"/>
      <c r="AB96" s="124"/>
      <c r="AC96" s="362"/>
      <c r="AD96" s="124"/>
      <c r="AE96" s="362"/>
      <c r="AF96" s="124"/>
      <c r="AG96" s="362"/>
      <c r="AH96" s="145"/>
      <c r="AI96" s="362"/>
      <c r="AJ96" s="124"/>
    </row>
    <row r="97" spans="2:36" ht="12.65" customHeight="1" x14ac:dyDescent="0.25">
      <c r="B97" s="129" t="s">
        <v>238</v>
      </c>
      <c r="C97" s="364">
        <f>(BDER!D39)/1000</f>
        <v>0</v>
      </c>
      <c r="D97" s="131" t="str">
        <f>IF(C93=0,"N.D.",C97/C93)</f>
        <v>N.D.</v>
      </c>
      <c r="E97" s="364">
        <f>BDER!L39/1000</f>
        <v>0</v>
      </c>
      <c r="F97" s="131">
        <f>IF(E93=0,"N.D.",E97/E93)</f>
        <v>0</v>
      </c>
      <c r="G97" s="364">
        <f>(BDER!H39)/1000</f>
        <v>0</v>
      </c>
      <c r="H97" s="131">
        <f>IF(G93=0,"N.D.",G97/G93)</f>
        <v>0</v>
      </c>
      <c r="I97" s="379">
        <f>C97-E97</f>
        <v>0</v>
      </c>
      <c r="J97" s="134" t="str">
        <f>IF(E97=0,"N.D.",C97/E97-1)</f>
        <v>N.D.</v>
      </c>
      <c r="K97" s="364">
        <f>C97-G97</f>
        <v>0</v>
      </c>
      <c r="L97" s="131" t="str">
        <f>IF(G97=0,"N.D.",C97/G97-1)</f>
        <v>N.D.</v>
      </c>
      <c r="N97" s="129" t="s">
        <v>238</v>
      </c>
      <c r="O97" s="364">
        <f>(BDER!E39)/1000</f>
        <v>0</v>
      </c>
      <c r="P97" s="131">
        <f>IF(O93=0,"N.D.",O97/O93)</f>
        <v>0</v>
      </c>
      <c r="Q97" s="364">
        <f>BDER!M39/1000</f>
        <v>0</v>
      </c>
      <c r="R97" s="131">
        <f>IF(Q93=0,"N.D.",Q97/Q93)</f>
        <v>0</v>
      </c>
      <c r="S97" s="379">
        <f>(BDER!K39)/1000</f>
        <v>0</v>
      </c>
      <c r="T97" s="131">
        <f>IF(S93=0,"N.D.",S97/S93)</f>
        <v>0</v>
      </c>
      <c r="U97" s="379">
        <f>O97-Q97</f>
        <v>0</v>
      </c>
      <c r="V97" s="134" t="str">
        <f>IF(Q97=0,"N.D.",O97/Q97-1)</f>
        <v>N.D.</v>
      </c>
      <c r="W97" s="364">
        <f>O97-S97</f>
        <v>0</v>
      </c>
      <c r="X97" s="131" t="str">
        <f>IF(S97=0,"N.D.",O97/S97-1)</f>
        <v>N.D.</v>
      </c>
      <c r="Z97" s="129" t="s">
        <v>238</v>
      </c>
      <c r="AA97" s="364">
        <v>0</v>
      </c>
      <c r="AB97" s="131">
        <f>IF(AA93=0,"N.D.",AA97/AA93)</f>
        <v>0</v>
      </c>
      <c r="AC97" s="364">
        <f ca="1">INDIRECT(ADDRESS(MATCH($B$90,BDPP!$B:$B,0)+9,MATCH(TEXT(EOMONTH(MES_CIERRE,1),"MMMM"),BDPP!$10:$10,0),,,"BDPP"))/1000</f>
        <v>0</v>
      </c>
      <c r="AD97" s="131">
        <f ca="1">IF(AC93=0,"N.D.",AC97/AC93)</f>
        <v>0</v>
      </c>
      <c r="AE97" s="364">
        <f ca="1">INDIRECT(ADDRESS(MATCH($B$90,INDIRECT("'"&amp;IF(MONTH(MES_CIERRE)=12,"ER ACT","ER AA")&amp;"'!$B:$B"),0)+5,MATCH(TEXT(EOMONTH(MES_CIERRE,1),"MMMM"),'ER AA'!$10:$10,0),,,IF(MONTH(MES_CIERRE)=12,"ER ACT","ER AA")))</f>
        <v>0</v>
      </c>
      <c r="AF97" s="131">
        <f ca="1">IF(AE93=0,"N.D.",AE97/AE93)</f>
        <v>0</v>
      </c>
      <c r="AG97" s="379">
        <f ca="1">AA97-AC97</f>
        <v>0</v>
      </c>
      <c r="AH97" s="134" t="str">
        <f ca="1">IF(AC97=0,"N.D.",AA97/AC97-1)</f>
        <v>N.D.</v>
      </c>
      <c r="AI97" s="364">
        <f ca="1">AA97-AE97</f>
        <v>0</v>
      </c>
      <c r="AJ97" s="131" t="str">
        <f ca="1">IF(AE97=0,"N.D.",AA97/AE97-1)</f>
        <v>N.D.</v>
      </c>
    </row>
    <row r="98" spans="2:36" ht="12.65" customHeight="1" x14ac:dyDescent="0.25">
      <c r="B98" s="129" t="s">
        <v>239</v>
      </c>
      <c r="C98" s="365">
        <f>(BDER!D40)/1000</f>
        <v>0</v>
      </c>
      <c r="D98" s="146" t="str">
        <f>IF(C93=0,"N.D.",C98/C93)</f>
        <v>N.D.</v>
      </c>
      <c r="E98" s="365">
        <f>BDER!L40/1000</f>
        <v>134.55000000000001</v>
      </c>
      <c r="F98" s="146">
        <f>IF(E93=0,"N.D.",E98/E93)</f>
        <v>0.10506055329548915</v>
      </c>
      <c r="G98" s="365">
        <f>(BDER!H40)/1000</f>
        <v>133.42889000000002</v>
      </c>
      <c r="H98" s="146">
        <f>IF(G93=0,"N.D.",G98/G93)</f>
        <v>6.1397924431948983E-2</v>
      </c>
      <c r="I98" s="382">
        <f>C98-E98</f>
        <v>-134.55000000000001</v>
      </c>
      <c r="J98" s="138">
        <f>IF(E98=0,"N.D.",C98/E98-1)</f>
        <v>-1</v>
      </c>
      <c r="K98" s="365">
        <f>C98-G98</f>
        <v>-133.42889000000002</v>
      </c>
      <c r="L98" s="146">
        <f>IF(G98=0,"N.D.",C98/G98-1)</f>
        <v>-1</v>
      </c>
      <c r="N98" s="129" t="s">
        <v>239</v>
      </c>
      <c r="O98" s="365">
        <f>(BDER!E40)/1000</f>
        <v>866.90021999999999</v>
      </c>
      <c r="P98" s="146">
        <f>IF(O93=0,"N.D.",O98/O93)</f>
        <v>8.5601442917067491E-2</v>
      </c>
      <c r="Q98" s="365">
        <f>BDER!M40/1000</f>
        <v>982.4</v>
      </c>
      <c r="R98" s="146">
        <f>IF(Q93=0,"N.D.",Q98/Q93)</f>
        <v>6.3253151293373708E-2</v>
      </c>
      <c r="S98" s="382">
        <f>(BDER!K40)/1000</f>
        <v>900.36484999999993</v>
      </c>
      <c r="T98" s="146">
        <f>IF(S93=0,"N.D.",S98/S93)</f>
        <v>8.9788286024379674E-2</v>
      </c>
      <c r="U98" s="382">
        <f>O98-Q98</f>
        <v>-115.49977999999999</v>
      </c>
      <c r="V98" s="138">
        <f>IF(Q98=0,"N.D.",O98/Q98-1)</f>
        <v>-0.11756899429967427</v>
      </c>
      <c r="W98" s="365">
        <f>O98-S98</f>
        <v>-33.464629999999943</v>
      </c>
      <c r="X98" s="146">
        <f>IF(S98=0,"N.D.",O98/S98-1)</f>
        <v>-3.7167854786867682E-2</v>
      </c>
      <c r="Z98" s="129" t="s">
        <v>239</v>
      </c>
      <c r="AA98" s="365">
        <v>99</v>
      </c>
      <c r="AB98" s="146">
        <f>IF(AA93=0,"N.D.",AA98/AA93)</f>
        <v>6.043956043956044E-2</v>
      </c>
      <c r="AC98" s="365">
        <f ca="1">INDIRECT(ADDRESS(MATCH($B$90,BDPP!$B:$B,0)+10,MATCH(TEXT(EOMONTH(MES_CIERRE,1),"MMMM"),BDPP!$10:$10,0),,,"BDPP"))/1000</f>
        <v>115.55</v>
      </c>
      <c r="AD98" s="146">
        <f ca="1">IF(AC93=0,"N.D.",AC98/AC93)</f>
        <v>9.6600627674177902E-2</v>
      </c>
      <c r="AE98" s="365">
        <f ca="1">INDIRECT(ADDRESS(MATCH($B$90,INDIRECT("'"&amp;IF(MONTH(MES_CIERRE)=12,"ER ACT","ER AA")&amp;"'!$B:$B"),0)+6,MATCH(TEXT(EOMONTH(MES_CIERRE,1),"MMMM"),'ER AA'!$10:$10,0),,,IF(MONTH(MES_CIERRE)=12,"ER ACT","ER AA")))</f>
        <v>103.48699999999999</v>
      </c>
      <c r="AF98" s="146">
        <f ca="1">IF(AE93=0,"N.D.",AE98/AE93)</f>
        <v>5.2072127194725912E-2</v>
      </c>
      <c r="AG98" s="382">
        <f ca="1">AA98-AC98</f>
        <v>-16.549999999999997</v>
      </c>
      <c r="AH98" s="138">
        <f ca="1">IF(AC98=0,"N.D.",AA98/AC98-1)</f>
        <v>-0.14322803980960619</v>
      </c>
      <c r="AI98" s="365">
        <f ca="1">AA98-AE98</f>
        <v>-4.4869999999999948</v>
      </c>
      <c r="AJ98" s="146">
        <f ca="1">IF(AE98=0,"N.D.",AA98/AE98-1)</f>
        <v>-4.3358102950128985E-2</v>
      </c>
    </row>
    <row r="99" spans="2:36" ht="12.65" customHeight="1" x14ac:dyDescent="0.25">
      <c r="B99" s="129" t="s">
        <v>240</v>
      </c>
      <c r="C99" s="367">
        <f>(BDER!D41)/1000</f>
        <v>0</v>
      </c>
      <c r="D99" s="136" t="str">
        <f>IF(C93=0,"N.D.",C99/C93)</f>
        <v>N.D.</v>
      </c>
      <c r="E99" s="367">
        <f>BDER!L41/1000</f>
        <v>24.3</v>
      </c>
      <c r="F99" s="136">
        <f>IF(E93=0,"N.D.",E99/E93)</f>
        <v>1.8974146749018109E-2</v>
      </c>
      <c r="G99" s="367">
        <f>(BDER!H41)/1000</f>
        <v>24.08915</v>
      </c>
      <c r="H99" s="136">
        <f>IF(G93=0,"N.D.",G99/G93)</f>
        <v>1.108473443292441E-2</v>
      </c>
      <c r="I99" s="382">
        <f>C99-E99</f>
        <v>-24.3</v>
      </c>
      <c r="J99" s="138">
        <f>IF(E99=0,"N.D.",C99/E99-1)</f>
        <v>-1</v>
      </c>
      <c r="K99" s="367">
        <f>C99-G99</f>
        <v>-24.08915</v>
      </c>
      <c r="L99" s="136">
        <f>IF(G99=0,"N.D.",C99/G99-1)</f>
        <v>-1</v>
      </c>
      <c r="N99" s="129" t="s">
        <v>240</v>
      </c>
      <c r="O99" s="367">
        <f>(BDER!E41)/1000</f>
        <v>170.49596</v>
      </c>
      <c r="P99" s="136">
        <f>IF(O93=0,"N.D.",O99/O93)</f>
        <v>1.6835501769200869E-2</v>
      </c>
      <c r="Q99" s="367">
        <f>BDER!M41/1000</f>
        <v>194.4</v>
      </c>
      <c r="R99" s="136">
        <f>IF(Q93=0,"N.D.",Q99/Q93)</f>
        <v>1.2516706648444471E-2</v>
      </c>
      <c r="S99" s="387">
        <f>(BDER!K41)/1000</f>
        <v>192.95061999999999</v>
      </c>
      <c r="T99" s="136">
        <f>IF(S93=0,"N.D.",S99/S93)</f>
        <v>1.9241872288929752E-2</v>
      </c>
      <c r="U99" s="382">
        <f>O99-Q99</f>
        <v>-23.904040000000009</v>
      </c>
      <c r="V99" s="138">
        <f>IF(Q99=0,"N.D.",O99/Q99-1)</f>
        <v>-0.12296316872427993</v>
      </c>
      <c r="W99" s="367">
        <f>O99-S99</f>
        <v>-22.45465999999999</v>
      </c>
      <c r="X99" s="136">
        <f>IF(S99=0,"N.D.",O99/S99-1)</f>
        <v>-0.11637516375951518</v>
      </c>
      <c r="Z99" s="129" t="s">
        <v>240</v>
      </c>
      <c r="AA99" s="367">
        <v>24</v>
      </c>
      <c r="AB99" s="136">
        <f>IF(AA93=0,"N.D.",AA99/AA93)</f>
        <v>1.4652014652014652E-2</v>
      </c>
      <c r="AC99" s="367">
        <f ca="1">INDIRECT(ADDRESS(MATCH($B$90,BDPP!$B:$B,0)+11,MATCH(TEXT(EOMONTH(MES_CIERRE,1),"MMMM"),BDPP!$10:$10,0),,,"BDPP"))/1000</f>
        <v>24.3</v>
      </c>
      <c r="AD99" s="136">
        <f ca="1">IF(AC93=0,"N.D.",AC99/AC93)</f>
        <v>2.0314974058697734E-2</v>
      </c>
      <c r="AE99" s="367">
        <f ca="1">INDIRECT(ADDRESS(MATCH($B$90,INDIRECT("'"&amp;IF(MONTH(MES_CIERRE)=12,"ER ACT","ER AA")&amp;"'!$B:$B"),0)+7,MATCH(TEXT(EOMONTH(MES_CIERRE,1),"MMMM"),'ER AA'!$10:$10,0),,,IF(MONTH(MES_CIERRE)=12,"ER ACT","ER AA")))</f>
        <v>0</v>
      </c>
      <c r="AF99" s="136">
        <f ca="1">IF(AE93=0,"N.D.",AE99/AE93)</f>
        <v>0</v>
      </c>
      <c r="AG99" s="382">
        <f ca="1">AA99-AC99</f>
        <v>-0.30000000000000071</v>
      </c>
      <c r="AH99" s="138">
        <f ca="1">IF(AC99=0,"N.D.",AA99/AC99-1)</f>
        <v>-1.2345679012345734E-2</v>
      </c>
      <c r="AI99" s="367">
        <f ca="1">AA99-AE99</f>
        <v>24</v>
      </c>
      <c r="AJ99" s="136" t="str">
        <f ca="1">IF(AE99=0,"N.D.",AA99/AE99-1)</f>
        <v>N.D.</v>
      </c>
    </row>
    <row r="100" spans="2:36" ht="12.65" customHeight="1" x14ac:dyDescent="0.3">
      <c r="B100" s="139" t="s">
        <v>241</v>
      </c>
      <c r="C100" s="366">
        <f>(BDER!D42)/1000</f>
        <v>0</v>
      </c>
      <c r="D100" s="141" t="str">
        <f>IF(C93=0,"N.D.",C100/C93)</f>
        <v>N.D.</v>
      </c>
      <c r="E100" s="366">
        <f>BDER!L42/1000</f>
        <v>158.85</v>
      </c>
      <c r="F100" s="141">
        <f>IF(E93=0,"N.D.",E100/E93)</f>
        <v>0.12403470004450724</v>
      </c>
      <c r="G100" s="366">
        <f>(BDER!H42)/1000</f>
        <v>157.51804000000001</v>
      </c>
      <c r="H100" s="141">
        <f>IF(G93=0,"N.D.",G100/G93)</f>
        <v>7.2482658864873387E-2</v>
      </c>
      <c r="I100" s="375">
        <f>C100-E100</f>
        <v>-158.85</v>
      </c>
      <c r="J100" s="144">
        <f>IF(E100=0,"N.D.",C100/E100-1)</f>
        <v>-1</v>
      </c>
      <c r="K100" s="366">
        <f>C100-G100</f>
        <v>-157.51804000000001</v>
      </c>
      <c r="L100" s="141">
        <f>IF(G100=0,"N.D.",C100/G100-1)</f>
        <v>-1</v>
      </c>
      <c r="N100" s="139" t="s">
        <v>241</v>
      </c>
      <c r="O100" s="366">
        <f>+O99+O98+O97</f>
        <v>1037.39618</v>
      </c>
      <c r="P100" s="141">
        <f>IF(O93=0,"N.D.",O100/O93)</f>
        <v>0.10243694468626836</v>
      </c>
      <c r="Q100" s="366">
        <f>BDER!M42/1000</f>
        <v>1176.8</v>
      </c>
      <c r="R100" s="141">
        <f>IF(Q93=0,"N.D.",Q100/Q93)</f>
        <v>7.5769857941818175E-2</v>
      </c>
      <c r="S100" s="375">
        <f>(BDER!K42)/1000</f>
        <v>1093.31547</v>
      </c>
      <c r="T100" s="141">
        <f>IF(S93=0,"N.D.",S100/S93)</f>
        <v>0.10903015831330944</v>
      </c>
      <c r="U100" s="375">
        <f>O100-Q100</f>
        <v>-139.40382</v>
      </c>
      <c r="V100" s="144">
        <f>IF(Q100=0,"N.D.",O100/Q100-1)</f>
        <v>-0.11846007817811011</v>
      </c>
      <c r="W100" s="366">
        <f>O100-S100</f>
        <v>-55.919290000000046</v>
      </c>
      <c r="X100" s="141">
        <f>IF(S100=0,"N.D.",O100/S100-1)</f>
        <v>-5.1146527726347868E-2</v>
      </c>
      <c r="Z100" s="139" t="s">
        <v>241</v>
      </c>
      <c r="AA100" s="366">
        <f>+AA97+AA98+AA99</f>
        <v>123</v>
      </c>
      <c r="AB100" s="141">
        <f>IF(AA93=0,"N.D.",AA100/AA93)</f>
        <v>7.5091575091575088E-2</v>
      </c>
      <c r="AC100" s="366">
        <f ca="1">+AC97+AC98+AC99</f>
        <v>139.85</v>
      </c>
      <c r="AD100" s="141">
        <f ca="1">IF(AC93=0,"N.D.",AC100/AC93)</f>
        <v>0.11691560173287564</v>
      </c>
      <c r="AE100" s="366">
        <f ca="1">+AE97+AE98+AE99</f>
        <v>103.48699999999999</v>
      </c>
      <c r="AF100" s="141">
        <f ca="1">IF(AE93=0,"N.D.",AE100/AE93)</f>
        <v>5.2072127194725912E-2</v>
      </c>
      <c r="AG100" s="375">
        <f ca="1">AA100-AC100</f>
        <v>-16.849999999999994</v>
      </c>
      <c r="AH100" s="144">
        <f ca="1">IF(AC100=0,"N.D.",AA100/AC100-1)</f>
        <v>-0.12048623525205571</v>
      </c>
      <c r="AI100" s="366">
        <f ca="1">AA100-AE100</f>
        <v>19.513000000000005</v>
      </c>
      <c r="AJ100" s="141">
        <f ca="1">IF(AE100=0,"N.D.",AA100/AE100-1)</f>
        <v>0.18855508421347622</v>
      </c>
    </row>
    <row r="101" spans="2:36" ht="12.65" customHeight="1" x14ac:dyDescent="0.3">
      <c r="B101" s="139" t="s">
        <v>242</v>
      </c>
      <c r="C101" s="366">
        <f>(BDER!D43)/1000</f>
        <v>0</v>
      </c>
      <c r="D101" s="141" t="str">
        <f>IF(C93=0,"N.D.",C101/C93)</f>
        <v>N.D.</v>
      </c>
      <c r="E101" s="366">
        <f>BDER!L43/1000</f>
        <v>255.54</v>
      </c>
      <c r="F101" s="141">
        <f>IF(E93=0,"N.D.",E101/E93)</f>
        <v>0.19953306420757558</v>
      </c>
      <c r="G101" s="366">
        <f>+G95-G100</f>
        <v>431.09275999999988</v>
      </c>
      <c r="H101" s="141">
        <f>IF(G93=0,"N.D.",G101/G93)</f>
        <v>0.19836933891633443</v>
      </c>
      <c r="I101" s="375">
        <f>C101-E101</f>
        <v>-255.54</v>
      </c>
      <c r="J101" s="144">
        <f>IF(E101=0,"N.D.",C101/E101-1)</f>
        <v>-1</v>
      </c>
      <c r="K101" s="366">
        <f>C101-G101</f>
        <v>-431.09275999999988</v>
      </c>
      <c r="L101" s="141">
        <f>IF(G101=0,"N.D.",C101/G101-1)</f>
        <v>-1</v>
      </c>
      <c r="N101" s="139" t="s">
        <v>242</v>
      </c>
      <c r="O101" s="366">
        <f>+O95-O100</f>
        <v>1159.1309000000008</v>
      </c>
      <c r="P101" s="141">
        <f>IF(O93=0,"N.D.",O101/O93)</f>
        <v>0.11445755264632318</v>
      </c>
      <c r="Q101" s="366">
        <f>BDER!M43/1000</f>
        <v>2596.212</v>
      </c>
      <c r="R101" s="141">
        <f>IF(Q93=0,"N.D.",Q101/Q93)</f>
        <v>0.16716061728997592</v>
      </c>
      <c r="S101" s="375">
        <f>+S95-S100</f>
        <v>1594.8223399999993</v>
      </c>
      <c r="T101" s="141">
        <f>IF(S93=0,"N.D.",S101/S93)</f>
        <v>0.15904259747811172</v>
      </c>
      <c r="U101" s="375">
        <f>O101-Q101</f>
        <v>-1437.0810999999992</v>
      </c>
      <c r="V101" s="144">
        <f>IF(Q101=0,"N.D.",O101/Q101-1)</f>
        <v>-0.55352995055873677</v>
      </c>
      <c r="W101" s="366">
        <f>O101-S101</f>
        <v>-435.69143999999847</v>
      </c>
      <c r="X101" s="141">
        <f>IF(S101=0,"N.D.",O101/S101-1)</f>
        <v>-0.27319120699049071</v>
      </c>
      <c r="Z101" s="139" t="s">
        <v>242</v>
      </c>
      <c r="AA101" s="366">
        <f>+AA95-AA100</f>
        <v>368</v>
      </c>
      <c r="AB101" s="141">
        <f>IF(AA93=0,"N.D.",AA101/AA93)</f>
        <v>0.22466422466422467</v>
      </c>
      <c r="AC101" s="366">
        <f ca="1">+AC95-AC100</f>
        <v>276.76200000000006</v>
      </c>
      <c r="AD101" s="141">
        <f ca="1">IF(AC93=0,"N.D.",AC101/AC93)</f>
        <v>0.2313750144211236</v>
      </c>
      <c r="AE101" s="366">
        <f ca="1">+AE95-AE100</f>
        <v>420.37700000000007</v>
      </c>
      <c r="AF101" s="141">
        <f ca="1">IF(AE93=0,"N.D.",AE101/AE93)</f>
        <v>0.21152342433095267</v>
      </c>
      <c r="AG101" s="375">
        <f ca="1">AA101-AC101</f>
        <v>91.237999999999943</v>
      </c>
      <c r="AH101" s="144">
        <f ca="1">IF(AC101=0,"N.D.",AA101/AC101-1)</f>
        <v>0.32966230913203365</v>
      </c>
      <c r="AI101" s="366">
        <f ca="1">AA101-AE101</f>
        <v>-52.377000000000066</v>
      </c>
      <c r="AJ101" s="141">
        <f ca="1">IF(AE101=0,"N.D.",AA101/AE101-1)</f>
        <v>-0.12459530373926275</v>
      </c>
    </row>
    <row r="102" spans="2:36" ht="12.65" customHeight="1" x14ac:dyDescent="0.25">
      <c r="B102" s="129"/>
      <c r="C102" s="362"/>
      <c r="D102" s="124"/>
      <c r="E102" s="388"/>
      <c r="F102" s="124"/>
      <c r="G102" s="362"/>
      <c r="H102" s="124"/>
      <c r="I102" s="362"/>
      <c r="J102" s="145"/>
      <c r="K102" s="362"/>
      <c r="L102" s="124"/>
      <c r="N102" s="129"/>
      <c r="O102" s="362"/>
      <c r="P102" s="124"/>
      <c r="Q102" s="388"/>
      <c r="R102" s="124"/>
      <c r="S102" s="362"/>
      <c r="T102" s="124"/>
      <c r="U102" s="362"/>
      <c r="V102" s="145"/>
      <c r="W102" s="362"/>
      <c r="X102" s="124"/>
      <c r="Z102" s="129"/>
      <c r="AA102" s="362"/>
      <c r="AB102" s="124"/>
      <c r="AC102" s="362"/>
      <c r="AD102" s="124"/>
      <c r="AE102" s="362"/>
      <c r="AF102" s="124"/>
      <c r="AG102" s="362"/>
      <c r="AH102" s="145"/>
      <c r="AI102" s="362"/>
      <c r="AJ102" s="124"/>
    </row>
    <row r="103" spans="2:36" ht="12.65" customHeight="1" x14ac:dyDescent="0.25">
      <c r="B103" s="129" t="s">
        <v>243</v>
      </c>
      <c r="C103" s="364">
        <f>(BDER!D44)/1000</f>
        <v>0</v>
      </c>
      <c r="D103" s="131" t="str">
        <f>IF(C93=0,"N.D.",C103/C93)</f>
        <v>N.D.</v>
      </c>
      <c r="E103" s="365">
        <f>BDER!L44/1000</f>
        <v>16.3</v>
      </c>
      <c r="F103" s="131">
        <f>IF(E93=0,"N.D.",E103/E93)</f>
        <v>1.2727514074444245E-2</v>
      </c>
      <c r="G103" s="364">
        <f>(BDER!H44)/1000</f>
        <v>176.35551000000001</v>
      </c>
      <c r="H103" s="131">
        <f>IF(G93=0,"N.D.",G103/G93)</f>
        <v>8.1150808315484171E-2</v>
      </c>
      <c r="I103" s="379">
        <f t="shared" ref="I103:I109" si="85">C103-E103</f>
        <v>-16.3</v>
      </c>
      <c r="J103" s="134">
        <f t="shared" ref="J103:J109" si="86">IF(E103=0,"N.D.",C103/E103-1)</f>
        <v>-1</v>
      </c>
      <c r="K103" s="364">
        <f t="shared" ref="K103:K109" si="87">C103-G103</f>
        <v>-176.35551000000001</v>
      </c>
      <c r="L103" s="131">
        <f t="shared" ref="L103:L109" si="88">IF(G103=0,"N.D.",C103/G103-1)</f>
        <v>-1</v>
      </c>
      <c r="N103" s="129" t="s">
        <v>243</v>
      </c>
      <c r="O103" s="364">
        <f>(BDER!E44)/1000</f>
        <v>-88.796449999999993</v>
      </c>
      <c r="P103" s="131">
        <f>IF(O93=0,"N.D.",O103/O93)</f>
        <v>-8.768142019750829E-3</v>
      </c>
      <c r="Q103" s="365">
        <f>BDER!M44/1000</f>
        <v>-116.492</v>
      </c>
      <c r="R103" s="148">
        <f>IF(Q93=0,"N.D.",Q103/Q93)</f>
        <v>-7.5004948091079906E-3</v>
      </c>
      <c r="S103" s="379">
        <f>(BDER!K44)/1000</f>
        <v>-220.64766</v>
      </c>
      <c r="T103" s="152">
        <f>IF(S93=0,"N.D.",S103/S93)</f>
        <v>-2.2003941187497579E-2</v>
      </c>
      <c r="U103" s="379">
        <f t="shared" ref="U103:U109" si="89">O103-Q103</f>
        <v>27.695550000000011</v>
      </c>
      <c r="V103" s="134">
        <f t="shared" ref="V103:V109" si="90">IF(Q103=0,"N.D.",O103/Q103-1)</f>
        <v>-0.23774636884936318</v>
      </c>
      <c r="W103" s="364">
        <f t="shared" ref="W103:W109" si="91">O103-S103</f>
        <v>131.85121000000001</v>
      </c>
      <c r="X103" s="131">
        <f t="shared" ref="X103:X109" si="92">IF(S103=0,"N.D.",O103/S103-1)</f>
        <v>-0.59756450623586943</v>
      </c>
      <c r="Z103" s="129" t="s">
        <v>243</v>
      </c>
      <c r="AA103" s="364">
        <v>-98</v>
      </c>
      <c r="AB103" s="131">
        <f>IF(AA93=0,"N.D.",AA103/AA93)</f>
        <v>-5.9829059829059832E-2</v>
      </c>
      <c r="AC103" s="364">
        <f ca="1">INDIRECT(ADDRESS(MATCH($B$90,BDPP!$B:$B,0)+14,MATCH(TEXT(EOMONTH(MES_CIERRE,1),"MMMM"),BDPP!$10:$10,0),,,"BDPP"))/1000</f>
        <v>0</v>
      </c>
      <c r="AD103" s="131">
        <f ca="1">IF(AC93=0,"N.D.",AC103/AC93)</f>
        <v>0</v>
      </c>
      <c r="AE103" s="364">
        <f ca="1">INDIRECT(ADDRESS(MATCH($B$90,INDIRECT("'"&amp;IF(MONTH(MES_CIERRE)=12,"ER ACT","ER AA")&amp;"'!$B:$B"),0)+11,MATCH(TEXT(EOMONTH(MES_CIERRE,1),"MMMM"),'ER AA'!$10:$10,0),,,IF(MONTH(MES_CIERRE)=12,"ER ACT","ER AA")))</f>
        <v>-92.364000000000004</v>
      </c>
      <c r="AF103" s="131">
        <f ca="1">IF(AE93=0,"N.D.",AE103/AE93)</f>
        <v>-4.6475305653982286E-2</v>
      </c>
      <c r="AG103" s="379">
        <f t="shared" ref="AG103:AG109" ca="1" si="93">AA103-AC103</f>
        <v>-98</v>
      </c>
      <c r="AH103" s="134" t="str">
        <f t="shared" ref="AH103:AH109" ca="1" si="94">IF(AC103=0,"N.D.",AA103/AC103-1)</f>
        <v>N.D.</v>
      </c>
      <c r="AI103" s="364">
        <f t="shared" ref="AI103:AI109" ca="1" si="95">AA103-AE103</f>
        <v>-5.6359999999999957</v>
      </c>
      <c r="AJ103" s="131">
        <f t="shared" ref="AJ103:AJ109" ca="1" si="96">IF(AE103=0,"N.D.",AA103/AE103-1)</f>
        <v>6.1019444805335388E-2</v>
      </c>
    </row>
    <row r="104" spans="2:36" ht="12.65" customHeight="1" x14ac:dyDescent="0.25">
      <c r="B104" s="129" t="s">
        <v>244</v>
      </c>
      <c r="C104" s="365">
        <f>(BDER!D45)/1000</f>
        <v>0</v>
      </c>
      <c r="D104" s="146" t="str">
        <f>IF(C93=0,"N.D.",C104/C93)</f>
        <v>N.D.</v>
      </c>
      <c r="E104" s="382">
        <f>BDER!L46/1000</f>
        <v>40.183999999999997</v>
      </c>
      <c r="F104" s="146">
        <f>IF(E93=0,"N.D.",E104/E93)</f>
        <v>3.1376835924384505E-2</v>
      </c>
      <c r="G104" s="365">
        <f>(BDER!H45)/1000</f>
        <v>0</v>
      </c>
      <c r="H104" s="146">
        <f>IF(G93=0,"N.D.",G104/G93)</f>
        <v>0</v>
      </c>
      <c r="I104" s="382">
        <f t="shared" si="85"/>
        <v>-40.183999999999997</v>
      </c>
      <c r="J104" s="138">
        <f t="shared" si="86"/>
        <v>-1</v>
      </c>
      <c r="K104" s="365">
        <f t="shared" si="87"/>
        <v>0</v>
      </c>
      <c r="L104" s="146" t="str">
        <f t="shared" si="88"/>
        <v>N.D.</v>
      </c>
      <c r="N104" s="129" t="s">
        <v>244</v>
      </c>
      <c r="O104" s="365">
        <f>(BDER!E45)/1000</f>
        <v>0</v>
      </c>
      <c r="P104" s="146">
        <f>IF(O93=0,"N.D.",O104/O93)</f>
        <v>0</v>
      </c>
      <c r="Q104" s="365">
        <f>BDER!M46/1000</f>
        <v>-11.657999999999999</v>
      </c>
      <c r="R104" s="149">
        <f>IF(Q93=0,"N.D.",Q104/Q93)</f>
        <v>-7.5061608080023473E-4</v>
      </c>
      <c r="S104" s="382">
        <f>(BDER!K45)/1000</f>
        <v>0</v>
      </c>
      <c r="T104" s="153">
        <f>IF(S93=0,"N.D.",S104/S93)</f>
        <v>0</v>
      </c>
      <c r="U104" s="382">
        <f t="shared" si="89"/>
        <v>11.657999999999999</v>
      </c>
      <c r="V104" s="138">
        <f t="shared" si="90"/>
        <v>-1</v>
      </c>
      <c r="W104" s="365">
        <f t="shared" si="91"/>
        <v>0</v>
      </c>
      <c r="X104" s="146" t="str">
        <f t="shared" si="92"/>
        <v>N.D.</v>
      </c>
      <c r="Z104" s="129" t="s">
        <v>244</v>
      </c>
      <c r="AA104" s="365">
        <v>0</v>
      </c>
      <c r="AB104" s="146">
        <f>IF(AA93=0,"N.D.",AA104/AA93)</f>
        <v>0</v>
      </c>
      <c r="AC104" s="365">
        <f ca="1">INDIRECT(ADDRESS(MATCH($B$90,BDPP!$B:$B,0)+15,MATCH(TEXT(EOMONTH(MES_CIERRE,1),"MMMM"),BDPP!$10:$10,0),,,"BDPP"))/1000</f>
        <v>23.919</v>
      </c>
      <c r="AD104" s="146">
        <f ca="1">IF(AC93=0,"N.D.",AC104/AC93)</f>
        <v>1.9996455329629265E-2</v>
      </c>
      <c r="AE104" s="365">
        <f ca="1">INDIRECT(ADDRESS(MATCH($B$90,INDIRECT("'"&amp;IF(MONTH(MES_CIERRE)=12,"ER ACT","ER AA")&amp;"'!$B:$B"),0)+12,MATCH(TEXT(EOMONTH(MES_CIERRE,1),"MMMM"),'ER AA'!$10:$10,0),,,IF(MONTH(MES_CIERRE)=12,"ER ACT","ER AA")))</f>
        <v>0</v>
      </c>
      <c r="AF104" s="146">
        <f ca="1">IF(AE93=0,"N.D.",AE104/AE93)</f>
        <v>0</v>
      </c>
      <c r="AG104" s="382">
        <f t="shared" ca="1" si="93"/>
        <v>-23.919</v>
      </c>
      <c r="AH104" s="138">
        <f t="shared" ca="1" si="94"/>
        <v>-1</v>
      </c>
      <c r="AI104" s="365">
        <f t="shared" ca="1" si="95"/>
        <v>0</v>
      </c>
      <c r="AJ104" s="146" t="str">
        <f t="shared" ca="1" si="96"/>
        <v>N.D.</v>
      </c>
    </row>
    <row r="105" spans="2:36" ht="12.65" customHeight="1" x14ac:dyDescent="0.25">
      <c r="B105" s="129" t="s">
        <v>245</v>
      </c>
      <c r="C105" s="365">
        <f>(BDER!D46)/1000</f>
        <v>0</v>
      </c>
      <c r="D105" s="146" t="str">
        <f>IF(C93=0,"N.D.",C105/C93)</f>
        <v>N.D.</v>
      </c>
      <c r="E105" s="365">
        <f>BDER!L45/1000</f>
        <v>40.183999999999997</v>
      </c>
      <c r="F105" s="146">
        <f>IF(E93=0,"N.D.",E105/E93)</f>
        <v>3.1376835924384505E-2</v>
      </c>
      <c r="G105" s="365">
        <f>(BDER!H46)/1000</f>
        <v>34.540790000000001</v>
      </c>
      <c r="H105" s="146">
        <f>IF(G93=0,"N.D.",G105/G93)</f>
        <v>1.5894105198955181E-2</v>
      </c>
      <c r="I105" s="382">
        <f t="shared" si="85"/>
        <v>-40.183999999999997</v>
      </c>
      <c r="J105" s="138">
        <f t="shared" si="86"/>
        <v>-1</v>
      </c>
      <c r="K105" s="365">
        <f t="shared" si="87"/>
        <v>-34.540790000000001</v>
      </c>
      <c r="L105" s="146">
        <f t="shared" si="88"/>
        <v>-1</v>
      </c>
      <c r="N105" s="129" t="s">
        <v>245</v>
      </c>
      <c r="O105" s="365">
        <f>(BDER!E46)/1000</f>
        <v>136.83607999999998</v>
      </c>
      <c r="P105" s="146">
        <f>IF(O93=0,"N.D.",O105/O93)</f>
        <v>1.3511780964959589E-2</v>
      </c>
      <c r="Q105" s="365">
        <f>BDER!M45/1000</f>
        <v>-11.657999999999999</v>
      </c>
      <c r="R105" s="149">
        <f>IF(Q93=0,"N.D.",Q105/Q93)</f>
        <v>-7.5061608080023473E-4</v>
      </c>
      <c r="S105" s="382">
        <f>(BDER!K46)/1000</f>
        <v>289.16998999999998</v>
      </c>
      <c r="T105" s="153">
        <f>IF(S93=0,"N.D.",S105/S93)</f>
        <v>2.883728498706609E-2</v>
      </c>
      <c r="U105" s="382">
        <f t="shared" si="89"/>
        <v>148.49407999999997</v>
      </c>
      <c r="V105" s="138">
        <f t="shared" si="90"/>
        <v>-12.737526162291987</v>
      </c>
      <c r="W105" s="365">
        <f t="shared" si="91"/>
        <v>-152.33391</v>
      </c>
      <c r="X105" s="146">
        <f t="shared" si="92"/>
        <v>-0.52679709260286667</v>
      </c>
      <c r="Z105" s="129" t="s">
        <v>245</v>
      </c>
      <c r="AA105" s="365">
        <v>30</v>
      </c>
      <c r="AB105" s="146">
        <f>IF(AA93=0,"N.D.",AA105/AA93)</f>
        <v>1.8315018315018316E-2</v>
      </c>
      <c r="AC105" s="365">
        <f ca="1">INDIRECT(ADDRESS(MATCH($B$90,BDPP!$B:$B,0)+16,MATCH(TEXT(EOMONTH(MES_CIERRE,1),"MMMM"),BDPP!$10:$10,0),,,"BDPP"))/1000</f>
        <v>23.919</v>
      </c>
      <c r="AD105" s="146">
        <f ca="1">IF(AC93=0,"N.D.",AC105/AC93)</f>
        <v>1.9996455329629265E-2</v>
      </c>
      <c r="AE105" s="365">
        <f ca="1">INDIRECT(ADDRESS(MATCH($B$90,INDIRECT("'"&amp;IF(MONTH(MES_CIERRE)=12,"ER ACT","ER AA")&amp;"'!$B:$B"),0)+13,MATCH(TEXT(EOMONTH(MES_CIERRE,1),"MMMM"),'ER AA'!$10:$10,0),,,IF(MONTH(MES_CIERRE)=12,"ER ACT","ER AA")))</f>
        <v>34.564</v>
      </c>
      <c r="AF105" s="146">
        <f ca="1">IF(AE93=0,"N.D.",AE105/AE93)</f>
        <v>1.7391759393532585E-2</v>
      </c>
      <c r="AG105" s="382">
        <f t="shared" ca="1" si="93"/>
        <v>6.0809999999999995</v>
      </c>
      <c r="AH105" s="138">
        <f t="shared" ca="1" si="94"/>
        <v>0.2542330364981813</v>
      </c>
      <c r="AI105" s="365">
        <f t="shared" ca="1" si="95"/>
        <v>-4.5640000000000001</v>
      </c>
      <c r="AJ105" s="146">
        <f t="shared" ca="1" si="96"/>
        <v>-0.13204490221039233</v>
      </c>
    </row>
    <row r="106" spans="2:36" ht="12.65" customHeight="1" x14ac:dyDescent="0.25">
      <c r="B106" s="129" t="s">
        <v>246</v>
      </c>
      <c r="C106" s="365">
        <f>(BDER!D47)/1000</f>
        <v>0</v>
      </c>
      <c r="D106" s="146" t="str">
        <f>IF(C93=0,"N.D.",C106/C93)</f>
        <v>N.D.</v>
      </c>
      <c r="E106" s="365">
        <f>BDER!L47/1000</f>
        <v>18.047000000000001</v>
      </c>
      <c r="F106" s="146">
        <f>IF(E93=0,"N.D.",E106/E93)</f>
        <v>1.4091622484754311E-2</v>
      </c>
      <c r="G106" s="365">
        <f>(BDER!H47)/1000</f>
        <v>0</v>
      </c>
      <c r="H106" s="146">
        <f>IF(G93=0,"N.D.",G106/G93)</f>
        <v>0</v>
      </c>
      <c r="I106" s="382">
        <f t="shared" si="85"/>
        <v>-18.047000000000001</v>
      </c>
      <c r="J106" s="138">
        <f t="shared" si="86"/>
        <v>-1</v>
      </c>
      <c r="K106" s="365">
        <f t="shared" si="87"/>
        <v>0</v>
      </c>
      <c r="L106" s="146" t="str">
        <f t="shared" si="88"/>
        <v>N.D.</v>
      </c>
      <c r="N106" s="129" t="s">
        <v>246</v>
      </c>
      <c r="O106" s="365">
        <f>(BDER!E47)/1000</f>
        <v>0</v>
      </c>
      <c r="P106" s="146">
        <f>IF(O93=0,"N.D.",O106/O93)</f>
        <v>0</v>
      </c>
      <c r="Q106" s="365">
        <f>BDER!M47/1000</f>
        <v>55.76</v>
      </c>
      <c r="R106" s="149">
        <f>IF(Q93=0,"N.D.",Q106/Q93)</f>
        <v>3.5901829357883933E-3</v>
      </c>
      <c r="S106" s="382">
        <f>(BDER!K47)/1000</f>
        <v>0</v>
      </c>
      <c r="T106" s="153">
        <f>IF(S93=0,"N.D.",S106/S93)</f>
        <v>0</v>
      </c>
      <c r="U106" s="382">
        <f t="shared" si="89"/>
        <v>-55.76</v>
      </c>
      <c r="V106" s="138">
        <f t="shared" si="90"/>
        <v>-1</v>
      </c>
      <c r="W106" s="365">
        <f t="shared" si="91"/>
        <v>0</v>
      </c>
      <c r="X106" s="146" t="str">
        <f t="shared" si="92"/>
        <v>N.D.</v>
      </c>
      <c r="Z106" s="129" t="s">
        <v>246</v>
      </c>
      <c r="AA106" s="365">
        <v>0</v>
      </c>
      <c r="AB106" s="146">
        <f>IF(AA93=0,"N.D.",AA106/AA93)</f>
        <v>0</v>
      </c>
      <c r="AC106" s="365">
        <f ca="1">INDIRECT(ADDRESS(MATCH($B$90,BDPP!$B:$B,0)+17,MATCH(TEXT(EOMONTH(MES_CIERRE,1),"MMMM"),BDPP!$10:$10,0),,,"BDPP"))/1000</f>
        <v>17.731000000000002</v>
      </c>
      <c r="AD106" s="146">
        <f ca="1">IF(AC93=0,"N.D.",AC106/AC93)</f>
        <v>1.4823243005546072E-2</v>
      </c>
      <c r="AE106" s="365">
        <f ca="1">INDIRECT(ADDRESS(MATCH($B$90,INDIRECT("'"&amp;IF(MONTH(MES_CIERRE)=12,"ER ACT","ER AA")&amp;"'!$B:$B"),0)+14,MATCH(TEXT(EOMONTH(MES_CIERRE,1),"MMMM"),'ER AA'!$10:$10,0),,,IF(MONTH(MES_CIERRE)=12,"ER ACT","ER AA")))</f>
        <v>0</v>
      </c>
      <c r="AF106" s="146">
        <f ca="1">IF(AE93=0,"N.D.",AE106/AE93)</f>
        <v>0</v>
      </c>
      <c r="AG106" s="382">
        <f t="shared" ca="1" si="93"/>
        <v>-17.731000000000002</v>
      </c>
      <c r="AH106" s="138">
        <f t="shared" ca="1" si="94"/>
        <v>-1</v>
      </c>
      <c r="AI106" s="365">
        <f t="shared" ca="1" si="95"/>
        <v>0</v>
      </c>
      <c r="AJ106" s="146" t="str">
        <f t="shared" ca="1" si="96"/>
        <v>N.D.</v>
      </c>
    </row>
    <row r="107" spans="2:36" ht="12.65" hidden="1" customHeight="1" x14ac:dyDescent="0.25">
      <c r="B107" s="129"/>
      <c r="C107" s="367">
        <f>(BDER!D48)/1000</f>
        <v>0</v>
      </c>
      <c r="D107" s="136" t="str">
        <f>IF(C93=0,"N.D.",C107/C93)</f>
        <v>N.D.</v>
      </c>
      <c r="E107" s="387">
        <v>0</v>
      </c>
      <c r="F107" s="136">
        <f>IF(E93=0,"N.D.",E107/E93)</f>
        <v>0</v>
      </c>
      <c r="G107" s="367">
        <f>(BDER!H48)/1000</f>
        <v>0</v>
      </c>
      <c r="H107" s="136">
        <f>IF(G93=0,"N.D.",G107/G93)</f>
        <v>0</v>
      </c>
      <c r="I107" s="382">
        <f t="shared" si="85"/>
        <v>0</v>
      </c>
      <c r="J107" s="138" t="str">
        <f t="shared" si="86"/>
        <v>N.D.</v>
      </c>
      <c r="K107" s="367">
        <f t="shared" si="87"/>
        <v>0</v>
      </c>
      <c r="L107" s="136" t="str">
        <f t="shared" si="88"/>
        <v>N.D.</v>
      </c>
      <c r="N107" s="129"/>
      <c r="O107" s="367">
        <f>(BDER!E48)/1000</f>
        <v>0</v>
      </c>
      <c r="P107" s="136">
        <f>IF(O93=0,"N.D.",O107/O93)</f>
        <v>0</v>
      </c>
      <c r="Q107" s="367">
        <v>0</v>
      </c>
      <c r="R107" s="150">
        <f>IF(Q93=0,"N.D.",Q107/Q93)</f>
        <v>0</v>
      </c>
      <c r="S107" s="387">
        <f>(BDER!K48)/1000</f>
        <v>0</v>
      </c>
      <c r="T107" s="154">
        <f>IF(S93=0,"N.D.",S107/S93)</f>
        <v>0</v>
      </c>
      <c r="U107" s="382">
        <f t="shared" si="89"/>
        <v>0</v>
      </c>
      <c r="V107" s="138" t="str">
        <f t="shared" si="90"/>
        <v>N.D.</v>
      </c>
      <c r="W107" s="367">
        <f t="shared" si="91"/>
        <v>0</v>
      </c>
      <c r="X107" s="136" t="str">
        <f t="shared" si="92"/>
        <v>N.D.</v>
      </c>
      <c r="Z107" s="129"/>
      <c r="AA107" s="367"/>
      <c r="AB107" s="136">
        <f>IF(AA93=0,"N.D.",AA107/AA93)</f>
        <v>0</v>
      </c>
      <c r="AC107" s="367">
        <f ca="1">INDIRECT(ADDRESS(MATCH($B$90,BDPP!$B:$B,0)+18,MATCH(TEXT(EOMONTH(MES_CIERRE,1),"MMMM"),BDPP!$10:$10,0),,,"BDPP"))/1000</f>
        <v>0</v>
      </c>
      <c r="AD107" s="136">
        <f ca="1">IF(AC93=0,"N.D.",AC107/AC93)</f>
        <v>0</v>
      </c>
      <c r="AE107" s="367">
        <f ca="1">INDIRECT(ADDRESS(MATCH($B$90,INDIRECT("'"&amp;IF(MONTH(MES_CIERRE)=12,"ER ACT","ER AA")&amp;"'!$B:$B"),0)+15,MATCH(TEXT(EOMONTH(MES_CIERRE,1),"MMMM"),'ER AA'!$10:$10,0),,,IF(MONTH(MES_CIERRE)=12,"ER ACT","ER AA")))</f>
        <v>0</v>
      </c>
      <c r="AF107" s="136">
        <f ca="1">IF(AE93=0,"N.D.",AE107/AE93)</f>
        <v>0</v>
      </c>
      <c r="AG107" s="382">
        <f t="shared" ca="1" si="93"/>
        <v>0</v>
      </c>
      <c r="AH107" s="138" t="str">
        <f t="shared" ca="1" si="94"/>
        <v>N.D.</v>
      </c>
      <c r="AI107" s="367">
        <f t="shared" ca="1" si="95"/>
        <v>0</v>
      </c>
      <c r="AJ107" s="136" t="str">
        <f t="shared" ca="1" si="96"/>
        <v>N.D.</v>
      </c>
    </row>
    <row r="108" spans="2:36" ht="12.65" customHeight="1" x14ac:dyDescent="0.3">
      <c r="B108" s="139" t="s">
        <v>143</v>
      </c>
      <c r="C108" s="366">
        <f>(BDER!D49)/1000</f>
        <v>0</v>
      </c>
      <c r="D108" s="141" t="str">
        <f>IF(C93=0,"N.D.",C108/C93)</f>
        <v>N.D.</v>
      </c>
      <c r="E108" s="366">
        <f>BDER!L49/1000</f>
        <v>78.620999999999995</v>
      </c>
      <c r="F108" s="141">
        <f>IF(E93=0,"N.D.",E108/E93)</f>
        <v>6.1389563438458951E-2</v>
      </c>
      <c r="G108" s="366">
        <f>+G103+G105+G104</f>
        <v>210.8963</v>
      </c>
      <c r="H108" s="141">
        <f>IF(G93=0,"N.D.",G108/G93)</f>
        <v>9.7044913514439335E-2</v>
      </c>
      <c r="I108" s="375">
        <f t="shared" si="85"/>
        <v>-78.620999999999995</v>
      </c>
      <c r="J108" s="144">
        <f t="shared" si="86"/>
        <v>-1</v>
      </c>
      <c r="K108" s="366">
        <f t="shared" si="87"/>
        <v>-210.8963</v>
      </c>
      <c r="L108" s="141">
        <f t="shared" si="88"/>
        <v>-1</v>
      </c>
      <c r="N108" s="139" t="s">
        <v>143</v>
      </c>
      <c r="O108" s="366">
        <f>(BDER!E49)/1000</f>
        <v>48.039629999999995</v>
      </c>
      <c r="P108" s="141">
        <f>IF(O93=0,"N.D.",O108/O93)</f>
        <v>4.7436389452087608E-3</v>
      </c>
      <c r="Q108" s="366">
        <f>BDER!M49/1000</f>
        <v>-195.56800000000001</v>
      </c>
      <c r="R108" s="141">
        <f>IF(Q93=0,"N.D.",Q108/Q93)</f>
        <v>-1.2591909906496853E-2</v>
      </c>
      <c r="S108" s="366">
        <f>BDER!K49/1000</f>
        <v>68.522329999999997</v>
      </c>
      <c r="T108" s="141">
        <f>IF(S93=0,"N.D.",S108/S93)</f>
        <v>6.8333437995685108E-3</v>
      </c>
      <c r="U108" s="375">
        <f t="shared" si="89"/>
        <v>243.60763</v>
      </c>
      <c r="V108" s="144">
        <f t="shared" si="90"/>
        <v>-1.2456415671275465</v>
      </c>
      <c r="W108" s="366">
        <f t="shared" si="91"/>
        <v>-20.482700000000001</v>
      </c>
      <c r="X108" s="141">
        <f t="shared" si="92"/>
        <v>-0.29892007466763026</v>
      </c>
      <c r="Z108" s="139" t="s">
        <v>143</v>
      </c>
      <c r="AA108" s="369">
        <f>+AA103+AA104+AA105-AA106-AA107</f>
        <v>-68</v>
      </c>
      <c r="AB108" s="141">
        <f>IF(AA93=0,"N.D.",AA108/AA93)</f>
        <v>-4.1514041514041512E-2</v>
      </c>
      <c r="AC108" s="369">
        <f ca="1">+AC103+AC104+AC105-AC106-AC107</f>
        <v>30.106999999999999</v>
      </c>
      <c r="AD108" s="141">
        <f ca="1">IF(AC93=0,"N.D.",AC108/AC93)</f>
        <v>2.5169667653712455E-2</v>
      </c>
      <c r="AE108" s="369">
        <f ca="1">+AE103+AE104+AE105-AE106-AE107</f>
        <v>-57.800000000000004</v>
      </c>
      <c r="AF108" s="141">
        <f ca="1">IF(AE93=0,"N.D.",AE108/AE93)</f>
        <v>-2.9083546260449702E-2</v>
      </c>
      <c r="AG108" s="375">
        <f t="shared" ca="1" si="93"/>
        <v>-98.106999999999999</v>
      </c>
      <c r="AH108" s="144">
        <f t="shared" ca="1" si="94"/>
        <v>-3.2586109542631281</v>
      </c>
      <c r="AI108" s="366">
        <f t="shared" ca="1" si="95"/>
        <v>-10.199999999999996</v>
      </c>
      <c r="AJ108" s="141">
        <f t="shared" ca="1" si="96"/>
        <v>0.17647058823529393</v>
      </c>
    </row>
    <row r="109" spans="2:36" ht="12.65" customHeight="1" x14ac:dyDescent="0.3">
      <c r="B109" s="139" t="s">
        <v>247</v>
      </c>
      <c r="C109" s="366">
        <f>(BDER!D50)/1000</f>
        <v>0</v>
      </c>
      <c r="D109" s="141" t="str">
        <f>IF(C93=0,"N.D.",C109/C93)</f>
        <v>N.D.</v>
      </c>
      <c r="E109" s="366">
        <f>BDER!L50/1000</f>
        <v>176.91900000000001</v>
      </c>
      <c r="F109" s="141">
        <f>IF(E93=0,"N.D.",E109/E93)</f>
        <v>0.13814350076911666</v>
      </c>
      <c r="G109" s="366">
        <f>+G101-G108</f>
        <v>220.19645999999989</v>
      </c>
      <c r="H109" s="141">
        <f>IF(G93=0,"N.D.",G109/G93)</f>
        <v>0.10132442540189511</v>
      </c>
      <c r="I109" s="375">
        <f t="shared" si="85"/>
        <v>-176.91900000000001</v>
      </c>
      <c r="J109" s="144">
        <f t="shared" si="86"/>
        <v>-1</v>
      </c>
      <c r="K109" s="366">
        <f t="shared" si="87"/>
        <v>-220.19645999999989</v>
      </c>
      <c r="L109" s="141">
        <f t="shared" si="88"/>
        <v>-1</v>
      </c>
      <c r="N109" s="139" t="s">
        <v>247</v>
      </c>
      <c r="O109" s="366">
        <f>+O101-O108</f>
        <v>1111.0912700000008</v>
      </c>
      <c r="P109" s="141">
        <f>IF(O93=0,"N.D.",O109/O93)</f>
        <v>0.10971391370111441</v>
      </c>
      <c r="Q109" s="366">
        <f>BDER!M50/1000</f>
        <v>2791.78</v>
      </c>
      <c r="R109" s="141">
        <f>IF(Q93=0,"N.D.",Q109/Q93)</f>
        <v>0.17975252719647278</v>
      </c>
      <c r="S109" s="366">
        <f>+S101-S108</f>
        <v>1526.3000099999992</v>
      </c>
      <c r="T109" s="141">
        <f>IF(S93=0,"N.D.",S109/S93)</f>
        <v>0.15220925367854321</v>
      </c>
      <c r="U109" s="375">
        <f t="shared" si="89"/>
        <v>-1680.6887299999994</v>
      </c>
      <c r="V109" s="144">
        <f t="shared" si="90"/>
        <v>-0.60201331408635328</v>
      </c>
      <c r="W109" s="366">
        <f t="shared" si="91"/>
        <v>-415.20873999999844</v>
      </c>
      <c r="X109" s="141">
        <f t="shared" si="92"/>
        <v>-0.27203612479829486</v>
      </c>
      <c r="Z109" s="139" t="s">
        <v>247</v>
      </c>
      <c r="AA109" s="366">
        <f>+AA101-AA108</f>
        <v>436</v>
      </c>
      <c r="AB109" s="141">
        <f>IF(AA93=0,"N.D.",AA109/AA93)</f>
        <v>0.26617826617826618</v>
      </c>
      <c r="AC109" s="366">
        <f ca="1">+AC101-AC108</f>
        <v>246.65500000000006</v>
      </c>
      <c r="AD109" s="141">
        <f ca="1">IF(AC93=0,"N.D.",AC109/AC93)</f>
        <v>0.20620534676741115</v>
      </c>
      <c r="AE109" s="366">
        <f ca="1">+AE101-AE108</f>
        <v>478.17700000000008</v>
      </c>
      <c r="AF109" s="141">
        <f ca="1">IF(AE93=0,"N.D.",AE109/AE93)</f>
        <v>0.24060697059140237</v>
      </c>
      <c r="AG109" s="375">
        <f t="shared" ca="1" si="93"/>
        <v>189.34499999999994</v>
      </c>
      <c r="AH109" s="144">
        <f t="shared" ca="1" si="94"/>
        <v>0.7676511726905999</v>
      </c>
      <c r="AI109" s="366">
        <f t="shared" ca="1" si="95"/>
        <v>-42.177000000000078</v>
      </c>
      <c r="AJ109" s="141">
        <f t="shared" ca="1" si="96"/>
        <v>-8.8203740455940149E-2</v>
      </c>
    </row>
    <row r="110" spans="2:36" ht="12.65" customHeight="1" x14ac:dyDescent="0.25">
      <c r="B110" s="129"/>
      <c r="C110" s="362"/>
      <c r="D110" s="124"/>
      <c r="E110" s="362"/>
      <c r="F110" s="124"/>
      <c r="G110" s="362"/>
      <c r="H110" s="124"/>
      <c r="I110" s="362"/>
      <c r="J110" s="145"/>
      <c r="K110" s="362"/>
      <c r="L110" s="124"/>
      <c r="N110" s="129"/>
      <c r="O110" s="362"/>
      <c r="P110" s="124"/>
      <c r="Q110" s="362"/>
      <c r="R110" s="124"/>
      <c r="S110" s="362"/>
      <c r="T110" s="124"/>
      <c r="U110" s="362"/>
      <c r="V110" s="145"/>
      <c r="W110" s="362"/>
      <c r="X110" s="124"/>
      <c r="Z110" s="129"/>
      <c r="AA110" s="362"/>
      <c r="AB110" s="124"/>
      <c r="AC110" s="362"/>
      <c r="AD110" s="124"/>
      <c r="AE110" s="362"/>
      <c r="AF110" s="124"/>
      <c r="AG110" s="362"/>
      <c r="AH110" s="145"/>
      <c r="AI110" s="362"/>
      <c r="AJ110" s="124"/>
    </row>
    <row r="111" spans="2:36" ht="12.65" customHeight="1" x14ac:dyDescent="0.25">
      <c r="B111" s="129" t="s">
        <v>397</v>
      </c>
      <c r="C111" s="364">
        <f>(BDER!D51)/1000</f>
        <v>0</v>
      </c>
      <c r="D111" s="131" t="str">
        <f>IF(C93=0,"N.D.",C111/C93)</f>
        <v>N.D.</v>
      </c>
      <c r="E111" s="379">
        <f>BDER!L51/1000</f>
        <v>2.5609999999999999</v>
      </c>
      <c r="F111" s="131">
        <f>IF(E93=0,"N.D.",E111/E93)</f>
        <v>1.9997032849479574E-3</v>
      </c>
      <c r="G111" s="364">
        <f>(BDER!H51)/1000</f>
        <v>0</v>
      </c>
      <c r="H111" s="131">
        <f>IF(G93=0,"N.D.",G111/G93)</f>
        <v>0</v>
      </c>
      <c r="I111" s="379">
        <f>C111-E111</f>
        <v>-2.5609999999999999</v>
      </c>
      <c r="J111" s="134">
        <f>IF(E111=0,"N.D.",C111/E111-1)</f>
        <v>-1</v>
      </c>
      <c r="K111" s="364">
        <f>C111-G111</f>
        <v>0</v>
      </c>
      <c r="L111" s="131" t="str">
        <f>IF(G111=0,"N.D.",C111/G111-1)</f>
        <v>N.D.</v>
      </c>
      <c r="N111" s="129" t="s">
        <v>397</v>
      </c>
      <c r="O111" s="364">
        <f>(BDER!E51)/1000</f>
        <v>0</v>
      </c>
      <c r="P111" s="131">
        <f>IF(O93=0,"N.D.",O111/O93)</f>
        <v>0</v>
      </c>
      <c r="Q111" s="364">
        <f>BDER!M51/1000</f>
        <v>31.062000000000001</v>
      </c>
      <c r="R111" s="131">
        <f>IF(Q93=0,"N.D.",Q111/Q93)</f>
        <v>1.9999688370060812E-3</v>
      </c>
      <c r="S111" s="364">
        <f>(BDER!K51)/1000</f>
        <v>0</v>
      </c>
      <c r="T111" s="131">
        <f>IF(S93=0,"N.D.",S111/S93)</f>
        <v>0</v>
      </c>
      <c r="U111" s="379">
        <f>O111-Q111</f>
        <v>-31.062000000000001</v>
      </c>
      <c r="V111" s="134">
        <f>IF(Q111=0,"N.D.",O111/Q111-1)</f>
        <v>-1</v>
      </c>
      <c r="W111" s="364">
        <f>O111-S111</f>
        <v>0</v>
      </c>
      <c r="X111" s="131" t="str">
        <f>IF(S111=0,"N.D.",O111/S111-1)</f>
        <v>N.D.</v>
      </c>
      <c r="Z111" s="129" t="s">
        <v>397</v>
      </c>
      <c r="AA111" s="364">
        <v>91</v>
      </c>
      <c r="AB111" s="131">
        <f>IF(AA93=0,"N.D.",AA111/AA93)</f>
        <v>5.5555555555555552E-2</v>
      </c>
      <c r="AC111" s="364">
        <f ca="1">INDIRECT(ADDRESS(MATCH($B$90,BDPP!$B:$B,0)+21,MATCH(TEXT(EOMONTH(MES_CIERRE,1),"MMMM"),BDPP!$10:$10,0),,,"BDPP"))/1000</f>
        <v>2.3919999999999999</v>
      </c>
      <c r="AD111" s="131">
        <f ca="1">IF(AC93=0,"N.D.",AC111/AC93)</f>
        <v>1.9997291336792174E-3</v>
      </c>
      <c r="AE111" s="364">
        <f ca="1">INDIRECT(ADDRESS(MATCH($B$90,INDIRECT("'"&amp;IF(MONTH(MES_CIERRE)=12,"ER ACT","ER AA")&amp;"'!$B:$B"),0)+19,MATCH(TEXT(EOMONTH(MES_CIERRE,1),"MMMM"),'ER AA'!$10:$10,0),,,IF(MONTH(MES_CIERRE)=12,"ER ACT","ER AA")))</f>
        <v>0</v>
      </c>
      <c r="AF111" s="131">
        <f ca="1">IF(AE93=0,"N.D.",AE111/AE93)</f>
        <v>0</v>
      </c>
      <c r="AG111" s="379">
        <f ca="1">AA111-AC111</f>
        <v>88.608000000000004</v>
      </c>
      <c r="AH111" s="134">
        <f ca="1">IF(AC111=0,"N.D.",AA111/AC111-1)</f>
        <v>37.04347826086957</v>
      </c>
      <c r="AI111" s="364">
        <f ca="1">AA111-AE111</f>
        <v>91</v>
      </c>
      <c r="AJ111" s="131" t="str">
        <f ca="1">IF(AE111=0,"N.D.",AA111/AE111-1)</f>
        <v>N.D.</v>
      </c>
    </row>
    <row r="112" spans="2:36" ht="12.65" customHeight="1" x14ac:dyDescent="0.25">
      <c r="B112" s="129" t="s">
        <v>395</v>
      </c>
      <c r="C112" s="367">
        <f>(BDER!D52)/1000</f>
        <v>0</v>
      </c>
      <c r="D112" s="136" t="str">
        <f>IF(C93=0,"N.D.",C112/C93)</f>
        <v>N.D.</v>
      </c>
      <c r="E112" s="387">
        <f>BDER!L52/1000</f>
        <v>0</v>
      </c>
      <c r="F112" s="136">
        <f>IF(E93=0,"N.D.",E112/E93)</f>
        <v>0</v>
      </c>
      <c r="G112" s="367">
        <f>(BDER!H52)/1000</f>
        <v>0</v>
      </c>
      <c r="H112" s="136">
        <f>IF(G93=0,"N.D.",G112/G93)</f>
        <v>0</v>
      </c>
      <c r="I112" s="382">
        <f>C112-E112</f>
        <v>0</v>
      </c>
      <c r="J112" s="138" t="str">
        <f>IF(E112=0,"N.D.",C112/E112-1)</f>
        <v>N.D.</v>
      </c>
      <c r="K112" s="367">
        <f>C112-G112</f>
        <v>0</v>
      </c>
      <c r="L112" s="136" t="str">
        <f>IF(G112=0,"N.D.",C112/G112-1)</f>
        <v>N.D.</v>
      </c>
      <c r="N112" s="129" t="s">
        <v>395</v>
      </c>
      <c r="O112" s="367">
        <f>(BDER!E52)/1000</f>
        <v>0</v>
      </c>
      <c r="P112" s="136">
        <f>IF(O93=0,"N.D.",O112/O93)</f>
        <v>0</v>
      </c>
      <c r="Q112" s="367">
        <f>BDER!M52/1000</f>
        <v>0</v>
      </c>
      <c r="R112" s="136">
        <f>IF(Q93=0,"N.D.",Q112/Q93)</f>
        <v>0</v>
      </c>
      <c r="S112" s="367">
        <f>(BDER!K52)/1000</f>
        <v>0</v>
      </c>
      <c r="T112" s="136">
        <f>IF(S93=0,"N.D.",S112/S93)</f>
        <v>0</v>
      </c>
      <c r="U112" s="382">
        <f>O112-Q112</f>
        <v>0</v>
      </c>
      <c r="V112" s="138" t="str">
        <f>IF(Q112=0,"N.D.",O112/Q112-1)</f>
        <v>N.D.</v>
      </c>
      <c r="W112" s="367">
        <f>O112-S112</f>
        <v>0</v>
      </c>
      <c r="X112" s="136" t="str">
        <f>IF(S112=0,"N.D.",O112/S112-1)</f>
        <v>N.D.</v>
      </c>
      <c r="Z112" s="129" t="s">
        <v>395</v>
      </c>
      <c r="AA112" s="367"/>
      <c r="AB112" s="136">
        <f>IF(AA93=0,"N.D.",AA112/AA93)</f>
        <v>0</v>
      </c>
      <c r="AC112" s="367">
        <f ca="1">INDIRECT(ADDRESS(MATCH($B$90,BDPP!$B:$B,0)+22,MATCH(TEXT(EOMONTH(MES_CIERRE,1),"MMMM"),BDPP!$10:$10,0),,,"BDPP"))/1000</f>
        <v>0</v>
      </c>
      <c r="AD112" s="136">
        <f ca="1">IF(AC93=0,"N.D.",AC112/AC93)</f>
        <v>0</v>
      </c>
      <c r="AE112" s="367">
        <f ca="1">INDIRECT(ADDRESS(MATCH($B$90,INDIRECT("'"&amp;IF(MONTH(MES_CIERRE)=12,"ER ACT","ER AA")&amp;"'!$B:$B"),0)+20,MATCH(TEXT(EOMONTH(MES_CIERRE,1),"MMMM"),'ER AA'!$10:$10,0),,,IF(MONTH(MES_CIERRE)=12,"ER ACT","ER AA")))</f>
        <v>0</v>
      </c>
      <c r="AF112" s="136">
        <f ca="1">IF(AE93=0,"N.D.",AE112/AE93)</f>
        <v>0</v>
      </c>
      <c r="AG112" s="382">
        <f ca="1">AA112-AC112</f>
        <v>0</v>
      </c>
      <c r="AH112" s="138" t="str">
        <f ca="1">IF(AC112=0,"N.D.",AA112/AC112-1)</f>
        <v>N.D.</v>
      </c>
      <c r="AI112" s="367">
        <f ca="1">AA112-AE112</f>
        <v>0</v>
      </c>
      <c r="AJ112" s="136" t="str">
        <f ca="1">IF(AE112=0,"N.D.",AA112/AE112-1)</f>
        <v>N.D.</v>
      </c>
    </row>
    <row r="113" spans="2:36" ht="12.65" customHeight="1" x14ac:dyDescent="0.3">
      <c r="B113" s="139" t="s">
        <v>146</v>
      </c>
      <c r="C113" s="366">
        <f>(BDER!D53)/1000</f>
        <v>0</v>
      </c>
      <c r="D113" s="141" t="str">
        <f>IF(C93=0,"N.D.",C113/C93)</f>
        <v>N.D.</v>
      </c>
      <c r="E113" s="366">
        <f>BDER!L53/1000</f>
        <v>174.358</v>
      </c>
      <c r="F113" s="141">
        <f>IF(E93=0,"N.D.",E113/E93)</f>
        <v>0.13614379748416869</v>
      </c>
      <c r="G113" s="366">
        <f>+G109-G111-G112</f>
        <v>220.19645999999989</v>
      </c>
      <c r="H113" s="141">
        <f>IF(G93=0,"N.D.",G113/G93)</f>
        <v>0.10132442540189511</v>
      </c>
      <c r="I113" s="375">
        <f>C113-E113</f>
        <v>-174.358</v>
      </c>
      <c r="J113" s="144">
        <f>IF(E113=0,"N.D.",C113/E113-1)</f>
        <v>-1</v>
      </c>
      <c r="K113" s="366">
        <f>C113-G113</f>
        <v>-220.19645999999989</v>
      </c>
      <c r="L113" s="141">
        <f>IF(G113=0,"N.D.",C113/G113-1)</f>
        <v>-1</v>
      </c>
      <c r="N113" s="139" t="s">
        <v>146</v>
      </c>
      <c r="O113" s="366">
        <f>+O109</f>
        <v>1111.0912700000008</v>
      </c>
      <c r="P113" s="141">
        <f>IF(O93=0,"N.D.",O113/O93)</f>
        <v>0.10971391370111441</v>
      </c>
      <c r="Q113" s="366">
        <f>BDER!M53/1000</f>
        <v>2760.7179999999998</v>
      </c>
      <c r="R113" s="141">
        <f>IF(Q93=0,"N.D.",Q113/Q93)</f>
        <v>0.17775255835946666</v>
      </c>
      <c r="S113" s="366">
        <f>+S109-S111-S112</f>
        <v>1526.3000099999992</v>
      </c>
      <c r="T113" s="141">
        <f>IF(S93=0,"N.D.",S113/S93)</f>
        <v>0.15220925367854321</v>
      </c>
      <c r="U113" s="375">
        <f>O113-Q113</f>
        <v>-1649.626729999999</v>
      </c>
      <c r="V113" s="144">
        <f>IF(Q113=0,"N.D.",O113/Q113-1)</f>
        <v>-0.59753539839998115</v>
      </c>
      <c r="W113" s="366">
        <f>O113-S113</f>
        <v>-415.20873999999844</v>
      </c>
      <c r="X113" s="141">
        <f>IF(S113=0,"N.D.",O113/S113-1)</f>
        <v>-0.27203612479829486</v>
      </c>
      <c r="Z113" s="139" t="s">
        <v>146</v>
      </c>
      <c r="AA113" s="366">
        <f>+AA109-AA111-AA112</f>
        <v>345</v>
      </c>
      <c r="AB113" s="141">
        <f>IF(AA93=0,"N.D.",AA113/AA93)</f>
        <v>0.21062271062271062</v>
      </c>
      <c r="AC113" s="366">
        <f ca="1">+AC109-AC111-AC112</f>
        <v>244.26300000000006</v>
      </c>
      <c r="AD113" s="141">
        <f ca="1">IF(AC93=0,"N.D.",AC113/AC93)</f>
        <v>0.20420561763373193</v>
      </c>
      <c r="AE113" s="366">
        <f ca="1">+AE109-AE111-AE112</f>
        <v>478.17700000000008</v>
      </c>
      <c r="AF113" s="141">
        <f ca="1">IF(AE93=0,"N.D.",AE113/AE93)</f>
        <v>0.24060697059140237</v>
      </c>
      <c r="AG113" s="375">
        <f ca="1">AA113-AC113</f>
        <v>100.73699999999994</v>
      </c>
      <c r="AH113" s="144">
        <f ca="1">IF(AC113=0,"N.D.",AA113/AC113-1)</f>
        <v>0.4124120312941375</v>
      </c>
      <c r="AI113" s="366">
        <f ca="1">AA113-AE113</f>
        <v>-133.17700000000008</v>
      </c>
      <c r="AJ113" s="141">
        <f ca="1">IF(AE113=0,"N.D.",AA113/AE113-1)</f>
        <v>-0.278509840498393</v>
      </c>
    </row>
    <row r="114" spans="2:36" ht="12.65" customHeight="1" x14ac:dyDescent="0.3">
      <c r="B114" s="139" t="s">
        <v>248</v>
      </c>
      <c r="C114" s="366">
        <f>(BDER!D54)/1000</f>
        <v>0</v>
      </c>
      <c r="D114" s="141" t="str">
        <f>IF(C93=0,"N.D.",C114/C93)</f>
        <v>N.D.</v>
      </c>
      <c r="E114" s="375">
        <f>BDER!L54/1000</f>
        <v>279.83999999999997</v>
      </c>
      <c r="F114" s="141">
        <f>IF(E93=0,"N.D.",E114/E93)</f>
        <v>0.21850721095659367</v>
      </c>
      <c r="G114" s="366">
        <f>+G101+G99</f>
        <v>455.1819099999999</v>
      </c>
      <c r="H114" s="141">
        <f>IF(G93=0,"N.D.",G114/G93)</f>
        <v>0.20945407334925886</v>
      </c>
      <c r="I114" s="375">
        <f>C114-E114</f>
        <v>-279.83999999999997</v>
      </c>
      <c r="J114" s="144">
        <f>IF(E114=0,"N.D.",C114/E114-1)</f>
        <v>-1</v>
      </c>
      <c r="K114" s="366">
        <f>C114-G114</f>
        <v>-455.1819099999999</v>
      </c>
      <c r="L114" s="141">
        <f>IF(G114=0,"N.D.",C114/G114-1)</f>
        <v>-1</v>
      </c>
      <c r="N114" s="139" t="s">
        <v>248</v>
      </c>
      <c r="O114" s="366">
        <f>+O101+O99</f>
        <v>1329.6268600000008</v>
      </c>
      <c r="P114" s="141">
        <f>IF(O93=0,"N.D.",O114/O93)</f>
        <v>0.13129305441552405</v>
      </c>
      <c r="Q114" s="366">
        <f>BDER!M54/1000</f>
        <v>2790.6120000000001</v>
      </c>
      <c r="R114" s="141">
        <f>IF(Q93=0,"N.D.",Q114/Q93)</f>
        <v>0.17967732393842037</v>
      </c>
      <c r="S114" s="366">
        <f>+S101+S99</f>
        <v>1787.7729599999993</v>
      </c>
      <c r="T114" s="141">
        <f>IF(S93=0,"N.D.",S114/S93)</f>
        <v>0.17828446976704149</v>
      </c>
      <c r="U114" s="375">
        <f>O114-Q114</f>
        <v>-1460.9851399999993</v>
      </c>
      <c r="V114" s="144">
        <f>IF(Q114=0,"N.D.",O114/Q114-1)</f>
        <v>-0.52353574771412126</v>
      </c>
      <c r="W114" s="366">
        <f>O114-S114</f>
        <v>-458.14609999999857</v>
      </c>
      <c r="X114" s="141">
        <f>IF(S114=0,"N.D.",O114/S114-1)</f>
        <v>-0.25626637735923619</v>
      </c>
      <c r="Z114" s="139" t="s">
        <v>248</v>
      </c>
      <c r="AA114" s="366">
        <f>+AA101+AA99</f>
        <v>392</v>
      </c>
      <c r="AB114" s="141">
        <f>IF(AA93=0,"N.D.",AA114/AA93)</f>
        <v>0.23931623931623933</v>
      </c>
      <c r="AC114" s="366">
        <f ca="1">+AC101+AC99</f>
        <v>301.06200000000007</v>
      </c>
      <c r="AD114" s="141">
        <f ca="1">IF(AC93=0,"N.D.",AC114/AC93)</f>
        <v>0.25168998847982132</v>
      </c>
      <c r="AE114" s="366">
        <f ca="1">+AE101+AE99</f>
        <v>420.37700000000007</v>
      </c>
      <c r="AF114" s="141">
        <f ca="1">IF(AE93=0,"N.D.",AE114/AE93)</f>
        <v>0.21152342433095267</v>
      </c>
      <c r="AG114" s="375">
        <f ca="1">AA114-AC114</f>
        <v>90.937999999999931</v>
      </c>
      <c r="AH114" s="144">
        <f ca="1">IF(AC114=0,"N.D.",AA114/AC114-1)</f>
        <v>0.30205738352897371</v>
      </c>
      <c r="AI114" s="366">
        <f ca="1">AA114-AE114</f>
        <v>-28.377000000000066</v>
      </c>
      <c r="AJ114" s="141">
        <f ca="1">IF(AE114=0,"N.D.",AA114/AE114-1)</f>
        <v>-6.7503693113562524E-2</v>
      </c>
    </row>
    <row r="115" spans="2:36" ht="12.65" customHeight="1" x14ac:dyDescent="0.25">
      <c r="C115" s="362"/>
      <c r="D115" s="362"/>
      <c r="E115" s="362"/>
      <c r="F115" s="362"/>
      <c r="G115" s="362"/>
      <c r="H115" s="362"/>
      <c r="I115" s="362"/>
      <c r="J115" s="362"/>
      <c r="K115" s="362"/>
      <c r="L115" s="362"/>
      <c r="O115" s="362"/>
      <c r="P115" s="362"/>
      <c r="Q115" s="362"/>
      <c r="R115" s="362"/>
      <c r="S115" s="362"/>
      <c r="T115" s="362"/>
      <c r="U115" s="362"/>
      <c r="V115" s="362"/>
      <c r="W115" s="362"/>
      <c r="X115" s="362"/>
      <c r="AA115" s="362"/>
      <c r="AB115" s="362"/>
      <c r="AC115" s="362"/>
      <c r="AD115" s="362"/>
      <c r="AE115" s="362"/>
      <c r="AF115" s="362"/>
      <c r="AG115" s="362"/>
      <c r="AH115" s="362"/>
      <c r="AI115" s="362"/>
      <c r="AJ115" s="362"/>
    </row>
    <row r="118" spans="2:36" ht="12.65" customHeight="1" x14ac:dyDescent="0.25">
      <c r="C118" s="362"/>
      <c r="E118" s="362"/>
      <c r="G118" s="362"/>
      <c r="I118" s="362"/>
      <c r="J118" s="356"/>
      <c r="L118" s="356"/>
      <c r="O118" s="360"/>
      <c r="P118" s="361"/>
      <c r="Q118" s="362"/>
      <c r="R118" s="361"/>
      <c r="S118" s="362"/>
      <c r="T118" s="362"/>
      <c r="AA118" s="362"/>
      <c r="AC118" s="362"/>
      <c r="AE118" s="362"/>
      <c r="AG118" s="362"/>
      <c r="AH118" s="356"/>
      <c r="AJ118" s="356"/>
    </row>
    <row r="119" spans="2:36" ht="12.65" customHeight="1" x14ac:dyDescent="0.3">
      <c r="B119" s="129"/>
      <c r="C119" s="362"/>
      <c r="D119" s="389"/>
      <c r="E119" s="362"/>
      <c r="F119" s="362"/>
      <c r="G119" s="362"/>
      <c r="H119" s="362"/>
      <c r="I119" s="362"/>
      <c r="J119" s="362"/>
      <c r="K119" s="362"/>
      <c r="L119" s="362"/>
      <c r="N119" s="129"/>
      <c r="O119" s="362"/>
      <c r="P119" s="362"/>
      <c r="Q119" s="362"/>
      <c r="R119" s="362"/>
      <c r="S119" s="362"/>
      <c r="T119" s="362"/>
      <c r="U119" s="362"/>
      <c r="V119" s="362"/>
      <c r="W119" s="362"/>
      <c r="X119" s="362"/>
      <c r="Z119" s="129"/>
      <c r="AA119" s="362"/>
      <c r="AB119" s="389"/>
      <c r="AC119" s="362"/>
      <c r="AD119" s="362"/>
      <c r="AE119" s="362"/>
      <c r="AF119" s="362"/>
      <c r="AG119" s="362"/>
      <c r="AH119" s="362"/>
      <c r="AI119" s="362"/>
      <c r="AJ119" s="362"/>
    </row>
    <row r="120" spans="2:36" ht="12.65" customHeight="1" x14ac:dyDescent="0.3">
      <c r="B120" s="139"/>
      <c r="C120" s="362"/>
      <c r="D120" s="362"/>
      <c r="E120" s="362"/>
      <c r="F120" s="362"/>
      <c r="G120" s="362"/>
      <c r="H120" s="362"/>
      <c r="I120" s="362"/>
      <c r="J120" s="362"/>
      <c r="K120" s="362"/>
      <c r="L120" s="362"/>
      <c r="N120" s="139"/>
      <c r="O120" s="362"/>
      <c r="P120" s="362"/>
      <c r="Q120" s="362"/>
      <c r="R120" s="362"/>
      <c r="S120" s="362"/>
      <c r="T120" s="362"/>
      <c r="U120" s="362"/>
      <c r="V120" s="362"/>
      <c r="W120" s="362"/>
      <c r="X120" s="362"/>
      <c r="Z120" s="139"/>
      <c r="AA120" s="362"/>
      <c r="AB120" s="362"/>
      <c r="AC120" s="362"/>
      <c r="AD120" s="362"/>
      <c r="AE120" s="362"/>
      <c r="AF120" s="362"/>
      <c r="AG120" s="362"/>
      <c r="AH120" s="362"/>
      <c r="AI120" s="362"/>
      <c r="AJ120" s="362"/>
    </row>
    <row r="121" spans="2:36" ht="12.65" customHeight="1" x14ac:dyDescent="0.25">
      <c r="B121" s="129"/>
      <c r="C121" s="362"/>
      <c r="D121" s="362"/>
      <c r="E121" s="362"/>
      <c r="F121" s="362"/>
      <c r="G121" s="362"/>
      <c r="H121" s="362"/>
      <c r="I121" s="362"/>
      <c r="J121" s="362"/>
      <c r="K121" s="362"/>
      <c r="L121" s="362"/>
      <c r="N121" s="129"/>
      <c r="O121" s="362"/>
      <c r="P121" s="362"/>
      <c r="Q121" s="362"/>
      <c r="R121" s="362"/>
      <c r="S121" s="362"/>
      <c r="T121" s="362"/>
      <c r="U121" s="362"/>
      <c r="V121" s="362"/>
      <c r="W121" s="362"/>
      <c r="X121" s="362"/>
      <c r="Z121" s="129"/>
      <c r="AA121" s="362"/>
      <c r="AB121" s="362"/>
      <c r="AC121" s="362"/>
      <c r="AD121" s="362"/>
      <c r="AE121" s="362"/>
      <c r="AF121" s="362"/>
      <c r="AG121" s="362"/>
      <c r="AH121" s="362"/>
      <c r="AI121" s="362"/>
      <c r="AJ121" s="362"/>
    </row>
    <row r="122" spans="2:36" ht="12.65" customHeight="1" x14ac:dyDescent="0.25">
      <c r="B122" s="129"/>
      <c r="C122" s="362"/>
      <c r="D122" s="362"/>
      <c r="E122" s="362"/>
      <c r="F122" s="362"/>
      <c r="G122" s="362"/>
      <c r="H122" s="362"/>
      <c r="I122" s="362"/>
      <c r="J122" s="362"/>
      <c r="K122" s="362"/>
      <c r="L122" s="362"/>
      <c r="N122" s="129"/>
      <c r="O122" s="362"/>
      <c r="P122" s="362"/>
      <c r="Q122" s="362"/>
      <c r="R122" s="362"/>
      <c r="S122" s="362"/>
      <c r="T122" s="362"/>
      <c r="U122" s="362"/>
      <c r="V122" s="362"/>
      <c r="W122" s="362"/>
      <c r="X122" s="362"/>
      <c r="Z122" s="129"/>
      <c r="AA122" s="362"/>
      <c r="AB122" s="362"/>
      <c r="AC122" s="362"/>
      <c r="AD122" s="362"/>
      <c r="AE122" s="362"/>
      <c r="AF122" s="362"/>
      <c r="AG122" s="362"/>
      <c r="AH122" s="362"/>
      <c r="AI122" s="362"/>
      <c r="AJ122" s="362"/>
    </row>
    <row r="123" spans="2:36" ht="12.65" customHeight="1" x14ac:dyDescent="0.25">
      <c r="B123" s="129"/>
      <c r="C123" s="362"/>
      <c r="D123" s="362"/>
      <c r="E123" s="362"/>
      <c r="F123" s="362"/>
      <c r="G123" s="362"/>
      <c r="H123" s="362"/>
      <c r="I123" s="362"/>
      <c r="J123" s="362"/>
      <c r="K123" s="362"/>
      <c r="L123" s="362"/>
      <c r="N123" s="129"/>
      <c r="O123" s="362"/>
      <c r="P123" s="362"/>
      <c r="Q123" s="362"/>
      <c r="R123" s="362"/>
      <c r="S123" s="362"/>
      <c r="T123" s="362"/>
      <c r="U123" s="362"/>
      <c r="V123" s="362"/>
      <c r="W123" s="362"/>
      <c r="X123" s="362"/>
      <c r="Z123" s="129"/>
      <c r="AA123" s="362"/>
      <c r="AB123" s="362"/>
      <c r="AC123" s="362"/>
      <c r="AD123" s="362"/>
      <c r="AE123" s="362"/>
      <c r="AF123" s="362"/>
      <c r="AG123" s="362"/>
      <c r="AH123" s="362"/>
      <c r="AI123" s="362"/>
      <c r="AJ123" s="362"/>
    </row>
    <row r="124" spans="2:36" ht="12.65" customHeight="1" x14ac:dyDescent="0.25">
      <c r="B124" s="129"/>
      <c r="C124" s="362"/>
      <c r="D124" s="362"/>
      <c r="E124" s="362"/>
      <c r="F124" s="362"/>
      <c r="G124" s="362"/>
      <c r="H124" s="362"/>
      <c r="I124" s="362"/>
      <c r="J124" s="362"/>
      <c r="K124" s="362"/>
      <c r="L124" s="362"/>
      <c r="N124" s="129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Z124" s="129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</row>
    <row r="125" spans="2:36" ht="12.65" customHeight="1" x14ac:dyDescent="0.3">
      <c r="B125" s="139"/>
      <c r="C125" s="362"/>
      <c r="D125" s="362"/>
      <c r="E125" s="362"/>
      <c r="F125" s="362"/>
      <c r="G125" s="362"/>
      <c r="H125" s="362"/>
      <c r="I125" s="362"/>
      <c r="J125" s="362"/>
      <c r="K125" s="362"/>
      <c r="L125" s="362"/>
      <c r="N125" s="139"/>
      <c r="O125" s="362"/>
      <c r="P125" s="362"/>
      <c r="Q125" s="362"/>
      <c r="R125" s="362"/>
      <c r="S125" s="362"/>
      <c r="T125" s="362"/>
      <c r="U125" s="362"/>
      <c r="V125" s="362"/>
      <c r="W125" s="362"/>
      <c r="X125" s="362"/>
      <c r="Z125" s="139"/>
      <c r="AA125" s="362"/>
      <c r="AB125" s="362"/>
      <c r="AC125" s="362"/>
      <c r="AD125" s="362"/>
      <c r="AE125" s="362"/>
      <c r="AF125" s="362"/>
      <c r="AG125" s="362"/>
      <c r="AH125" s="362"/>
      <c r="AI125" s="362"/>
      <c r="AJ125" s="362"/>
    </row>
    <row r="126" spans="2:36" ht="12.65" customHeight="1" x14ac:dyDescent="0.3">
      <c r="B126" s="139"/>
      <c r="C126" s="362"/>
      <c r="D126" s="362"/>
      <c r="E126" s="362"/>
      <c r="F126" s="362"/>
      <c r="G126" s="362"/>
      <c r="H126" s="362"/>
      <c r="I126" s="362"/>
      <c r="J126" s="362"/>
      <c r="K126" s="362"/>
      <c r="L126" s="362"/>
      <c r="N126" s="139"/>
      <c r="O126" s="362"/>
      <c r="P126" s="362"/>
      <c r="Q126" s="362"/>
      <c r="R126" s="362"/>
      <c r="S126" s="362"/>
      <c r="T126" s="362"/>
      <c r="U126" s="362"/>
      <c r="V126" s="362"/>
      <c r="W126" s="362"/>
      <c r="X126" s="362"/>
      <c r="Z126" s="139"/>
      <c r="AA126" s="362"/>
      <c r="AB126" s="362"/>
      <c r="AC126" s="362"/>
      <c r="AD126" s="362"/>
      <c r="AE126" s="362"/>
      <c r="AF126" s="362"/>
      <c r="AG126" s="362"/>
      <c r="AH126" s="362"/>
      <c r="AI126" s="362"/>
      <c r="AJ126" s="362"/>
    </row>
    <row r="127" spans="2:36" ht="12.65" customHeight="1" x14ac:dyDescent="0.25">
      <c r="B127" s="129"/>
      <c r="C127" s="362"/>
      <c r="D127" s="362"/>
      <c r="E127" s="362"/>
      <c r="F127" s="362"/>
      <c r="G127" s="362"/>
      <c r="H127" s="362"/>
      <c r="I127" s="362"/>
      <c r="J127" s="362"/>
      <c r="K127" s="362"/>
      <c r="L127" s="362"/>
      <c r="N127" s="129"/>
      <c r="O127" s="362"/>
      <c r="P127" s="362"/>
      <c r="Q127" s="362"/>
      <c r="R127" s="362"/>
      <c r="S127" s="362"/>
      <c r="T127" s="362"/>
      <c r="U127" s="362"/>
      <c r="V127" s="362"/>
      <c r="W127" s="362"/>
      <c r="X127" s="362"/>
      <c r="Z127" s="129"/>
      <c r="AA127" s="362"/>
      <c r="AB127" s="362"/>
      <c r="AC127" s="362"/>
      <c r="AD127" s="362"/>
      <c r="AE127" s="362"/>
      <c r="AF127" s="362"/>
      <c r="AG127" s="362"/>
      <c r="AH127" s="362"/>
      <c r="AI127" s="362"/>
      <c r="AJ127" s="362"/>
    </row>
    <row r="128" spans="2:36" ht="12.65" customHeight="1" x14ac:dyDescent="0.25">
      <c r="B128" s="129"/>
      <c r="C128" s="362"/>
      <c r="D128" s="362"/>
      <c r="E128" s="362"/>
      <c r="F128" s="362"/>
      <c r="G128" s="362"/>
      <c r="H128" s="362"/>
      <c r="I128" s="362"/>
      <c r="J128" s="362"/>
      <c r="K128" s="362"/>
      <c r="L128" s="362"/>
      <c r="N128" s="129"/>
      <c r="O128" s="362"/>
      <c r="P128" s="362"/>
      <c r="Q128" s="362"/>
      <c r="R128" s="362"/>
      <c r="S128" s="362"/>
      <c r="T128" s="362"/>
      <c r="U128" s="362"/>
      <c r="V128" s="362"/>
      <c r="W128" s="362"/>
      <c r="X128" s="362"/>
      <c r="Z128" s="129"/>
      <c r="AA128" s="362"/>
      <c r="AB128" s="362"/>
      <c r="AC128" s="362"/>
      <c r="AD128" s="362"/>
      <c r="AE128" s="362"/>
      <c r="AF128" s="362"/>
      <c r="AG128" s="362"/>
      <c r="AH128" s="362"/>
      <c r="AI128" s="362"/>
      <c r="AJ128" s="362"/>
    </row>
    <row r="129" spans="2:36" ht="12.65" customHeight="1" x14ac:dyDescent="0.25">
      <c r="B129" s="129"/>
      <c r="C129" s="362"/>
      <c r="D129" s="362"/>
      <c r="E129" s="362"/>
      <c r="F129" s="362"/>
      <c r="G129" s="362"/>
      <c r="H129" s="362"/>
      <c r="I129" s="362"/>
      <c r="J129" s="362"/>
      <c r="K129" s="362"/>
      <c r="L129" s="362"/>
      <c r="N129" s="129"/>
      <c r="O129" s="362"/>
      <c r="P129" s="362"/>
      <c r="Q129" s="362"/>
      <c r="R129" s="362"/>
      <c r="S129" s="362"/>
      <c r="T129" s="362"/>
      <c r="U129" s="362"/>
      <c r="V129" s="362"/>
      <c r="W129" s="362"/>
      <c r="X129" s="362"/>
      <c r="Z129" s="129"/>
      <c r="AA129" s="362"/>
      <c r="AB129" s="362"/>
      <c r="AC129" s="362"/>
      <c r="AD129" s="362"/>
      <c r="AE129" s="362"/>
      <c r="AF129" s="362"/>
      <c r="AG129" s="362"/>
      <c r="AH129" s="362"/>
      <c r="AI129" s="362"/>
      <c r="AJ129" s="362"/>
    </row>
    <row r="130" spans="2:36" ht="12.65" customHeight="1" x14ac:dyDescent="0.25">
      <c r="B130" s="129"/>
      <c r="C130" s="362"/>
      <c r="D130" s="362"/>
      <c r="E130" s="362"/>
      <c r="F130" s="362"/>
      <c r="G130" s="362"/>
      <c r="H130" s="362"/>
      <c r="I130" s="362"/>
      <c r="J130" s="362"/>
      <c r="K130" s="362"/>
      <c r="L130" s="362"/>
      <c r="N130" s="129"/>
      <c r="O130" s="362"/>
      <c r="P130" s="362"/>
      <c r="Q130" s="362"/>
      <c r="R130" s="362"/>
      <c r="S130" s="362"/>
      <c r="T130" s="362"/>
      <c r="U130" s="362"/>
      <c r="V130" s="362"/>
      <c r="W130" s="362"/>
      <c r="X130" s="362"/>
      <c r="Z130" s="129"/>
      <c r="AA130" s="362"/>
      <c r="AB130" s="362"/>
      <c r="AC130" s="362"/>
      <c r="AD130" s="362"/>
      <c r="AE130" s="362"/>
      <c r="AF130" s="362"/>
      <c r="AG130" s="362"/>
      <c r="AH130" s="362"/>
      <c r="AI130" s="362"/>
      <c r="AJ130" s="362"/>
    </row>
    <row r="131" spans="2:36" ht="12.65" customHeight="1" x14ac:dyDescent="0.25">
      <c r="B131" s="129"/>
      <c r="C131" s="362"/>
      <c r="D131" s="362"/>
      <c r="E131" s="362"/>
      <c r="F131" s="362"/>
      <c r="G131" s="362"/>
      <c r="H131" s="362"/>
      <c r="I131" s="362"/>
      <c r="J131" s="362"/>
      <c r="K131" s="362"/>
      <c r="L131" s="362"/>
      <c r="N131" s="129"/>
      <c r="O131" s="362"/>
      <c r="P131" s="362"/>
      <c r="Q131" s="362"/>
      <c r="R131" s="362"/>
      <c r="S131" s="362"/>
      <c r="T131" s="362"/>
      <c r="U131" s="362"/>
      <c r="V131" s="362"/>
      <c r="W131" s="362"/>
      <c r="X131" s="362"/>
      <c r="Z131" s="129"/>
      <c r="AA131" s="362"/>
      <c r="AB131" s="362"/>
      <c r="AC131" s="362"/>
      <c r="AD131" s="362"/>
      <c r="AE131" s="362"/>
      <c r="AF131" s="362"/>
      <c r="AG131" s="362"/>
      <c r="AH131" s="362"/>
      <c r="AI131" s="362"/>
      <c r="AJ131" s="362"/>
    </row>
    <row r="132" spans="2:36" ht="12.65" customHeight="1" x14ac:dyDescent="0.25">
      <c r="B132" s="129"/>
      <c r="C132" s="362"/>
      <c r="D132" s="362"/>
      <c r="E132" s="362"/>
      <c r="F132" s="362"/>
      <c r="G132" s="362"/>
      <c r="H132" s="362"/>
      <c r="I132" s="362"/>
      <c r="J132" s="362"/>
      <c r="K132" s="362"/>
      <c r="L132" s="362"/>
      <c r="N132" s="129"/>
      <c r="O132" s="362"/>
      <c r="P132" s="362"/>
      <c r="Q132" s="362"/>
      <c r="R132" s="362"/>
      <c r="S132" s="362"/>
      <c r="T132" s="362"/>
      <c r="U132" s="362"/>
      <c r="V132" s="362"/>
      <c r="W132" s="362"/>
      <c r="X132" s="362"/>
      <c r="Z132" s="129"/>
      <c r="AA132" s="362"/>
      <c r="AB132" s="362"/>
      <c r="AC132" s="362"/>
      <c r="AD132" s="362"/>
      <c r="AE132" s="362"/>
      <c r="AF132" s="362"/>
      <c r="AG132" s="362"/>
      <c r="AH132" s="362"/>
      <c r="AI132" s="362"/>
      <c r="AJ132" s="362"/>
    </row>
    <row r="133" spans="2:36" ht="12.65" customHeight="1" x14ac:dyDescent="0.3">
      <c r="B133" s="139"/>
      <c r="C133" s="362"/>
      <c r="D133" s="362"/>
      <c r="E133" s="362"/>
      <c r="F133" s="362"/>
      <c r="G133" s="362"/>
      <c r="H133" s="362"/>
      <c r="I133" s="362"/>
      <c r="J133" s="362"/>
      <c r="K133" s="362"/>
      <c r="L133" s="362"/>
      <c r="N133" s="139"/>
      <c r="O133" s="362"/>
      <c r="P133" s="362"/>
      <c r="Q133" s="362"/>
      <c r="R133" s="362"/>
      <c r="S133" s="362"/>
      <c r="T133" s="362"/>
      <c r="U133" s="362"/>
      <c r="V133" s="362"/>
      <c r="W133" s="362"/>
      <c r="X133" s="362"/>
      <c r="Z133" s="139"/>
      <c r="AA133" s="362"/>
      <c r="AB133" s="362"/>
      <c r="AC133" s="362"/>
      <c r="AD133" s="362"/>
      <c r="AE133" s="362"/>
      <c r="AF133" s="362"/>
      <c r="AG133" s="362"/>
      <c r="AH133" s="362"/>
      <c r="AI133" s="362"/>
      <c r="AJ133" s="362"/>
    </row>
    <row r="134" spans="2:36" ht="12.65" customHeight="1" x14ac:dyDescent="0.3">
      <c r="B134" s="139"/>
      <c r="C134" s="362"/>
      <c r="D134" s="362"/>
      <c r="E134" s="362"/>
      <c r="F134" s="362"/>
      <c r="G134" s="362"/>
      <c r="H134" s="362"/>
      <c r="I134" s="362"/>
      <c r="J134" s="362"/>
      <c r="K134" s="362"/>
      <c r="L134" s="362"/>
      <c r="N134" s="139"/>
      <c r="O134" s="362"/>
      <c r="P134" s="362"/>
      <c r="Q134" s="362"/>
      <c r="R134" s="362"/>
      <c r="S134" s="362"/>
      <c r="T134" s="362"/>
      <c r="U134" s="362"/>
      <c r="V134" s="362"/>
      <c r="W134" s="362"/>
      <c r="X134" s="362"/>
      <c r="Z134" s="139"/>
      <c r="AA134" s="362"/>
      <c r="AB134" s="362"/>
      <c r="AC134" s="362"/>
      <c r="AD134" s="362"/>
      <c r="AE134" s="362"/>
      <c r="AF134" s="362"/>
      <c r="AG134" s="362"/>
      <c r="AH134" s="362"/>
      <c r="AI134" s="362"/>
      <c r="AJ134" s="362"/>
    </row>
    <row r="135" spans="2:36" ht="12.65" customHeight="1" x14ac:dyDescent="0.25">
      <c r="B135" s="129"/>
      <c r="C135" s="362"/>
      <c r="D135" s="362"/>
      <c r="E135" s="362"/>
      <c r="F135" s="362"/>
      <c r="G135" s="362"/>
      <c r="H135" s="362"/>
      <c r="I135" s="362"/>
      <c r="J135" s="362"/>
      <c r="K135" s="362"/>
      <c r="L135" s="362"/>
      <c r="N135" s="129"/>
      <c r="O135" s="362"/>
      <c r="P135" s="362"/>
      <c r="Q135" s="362"/>
      <c r="R135" s="362"/>
      <c r="S135" s="362"/>
      <c r="T135" s="362"/>
      <c r="U135" s="362"/>
      <c r="V135" s="362"/>
      <c r="W135" s="362"/>
      <c r="X135" s="362"/>
      <c r="Z135" s="129"/>
      <c r="AA135" s="362"/>
      <c r="AB135" s="362"/>
      <c r="AC135" s="362"/>
      <c r="AD135" s="362"/>
      <c r="AE135" s="362"/>
      <c r="AF135" s="362"/>
      <c r="AG135" s="362"/>
      <c r="AH135" s="362"/>
      <c r="AI135" s="362"/>
      <c r="AJ135" s="362"/>
    </row>
    <row r="136" spans="2:36" ht="12.65" customHeight="1" x14ac:dyDescent="0.25">
      <c r="B136" s="129"/>
      <c r="C136" s="362"/>
      <c r="D136" s="362"/>
      <c r="E136" s="362"/>
      <c r="F136" s="362"/>
      <c r="G136" s="362"/>
      <c r="H136" s="362"/>
      <c r="I136" s="362"/>
      <c r="J136" s="362"/>
      <c r="K136" s="362"/>
      <c r="L136" s="362"/>
      <c r="N136" s="129"/>
      <c r="O136" s="362"/>
      <c r="P136" s="362"/>
      <c r="Q136" s="362"/>
      <c r="R136" s="362"/>
      <c r="S136" s="362"/>
      <c r="T136" s="362"/>
      <c r="U136" s="362"/>
      <c r="V136" s="362"/>
      <c r="W136" s="362"/>
      <c r="X136" s="362"/>
      <c r="Z136" s="129"/>
      <c r="AA136" s="362"/>
      <c r="AB136" s="362"/>
      <c r="AC136" s="362"/>
      <c r="AD136" s="362"/>
      <c r="AE136" s="362"/>
      <c r="AF136" s="362"/>
      <c r="AG136" s="362"/>
      <c r="AH136" s="362"/>
      <c r="AI136" s="362"/>
      <c r="AJ136" s="362"/>
    </row>
    <row r="137" spans="2:36" ht="12.65" customHeight="1" x14ac:dyDescent="0.25">
      <c r="B137" s="129"/>
      <c r="C137" s="362"/>
      <c r="D137" s="362"/>
      <c r="E137" s="362"/>
      <c r="F137" s="362"/>
      <c r="G137" s="362"/>
      <c r="H137" s="362"/>
      <c r="I137" s="362"/>
      <c r="J137" s="362"/>
      <c r="K137" s="362"/>
      <c r="L137" s="362"/>
      <c r="N137" s="129"/>
      <c r="O137" s="362"/>
      <c r="P137" s="362"/>
      <c r="Q137" s="362"/>
      <c r="R137" s="362"/>
      <c r="S137" s="362"/>
      <c r="T137" s="362"/>
      <c r="U137" s="362"/>
      <c r="V137" s="362"/>
      <c r="W137" s="362"/>
      <c r="X137" s="362"/>
      <c r="Z137" s="129"/>
      <c r="AA137" s="362"/>
      <c r="AB137" s="362"/>
      <c r="AC137" s="362"/>
      <c r="AD137" s="362"/>
      <c r="AE137" s="362"/>
      <c r="AF137" s="362"/>
      <c r="AG137" s="362"/>
      <c r="AH137" s="362"/>
      <c r="AI137" s="362"/>
      <c r="AJ137" s="362"/>
    </row>
    <row r="138" spans="2:36" ht="12.65" customHeight="1" x14ac:dyDescent="0.3">
      <c r="B138" s="139"/>
      <c r="C138" s="362"/>
      <c r="D138" s="362"/>
      <c r="E138" s="362"/>
      <c r="F138" s="362"/>
      <c r="G138" s="362"/>
      <c r="H138" s="362"/>
      <c r="I138" s="362"/>
      <c r="J138" s="362"/>
      <c r="K138" s="362"/>
      <c r="L138" s="362"/>
      <c r="N138" s="139"/>
      <c r="O138" s="362"/>
      <c r="P138" s="362"/>
      <c r="Q138" s="362"/>
      <c r="R138" s="362"/>
      <c r="S138" s="362"/>
      <c r="T138" s="362"/>
      <c r="U138" s="362"/>
      <c r="V138" s="362"/>
      <c r="W138" s="362"/>
      <c r="X138" s="362"/>
      <c r="Z138" s="139"/>
      <c r="AA138" s="362"/>
      <c r="AB138" s="362"/>
      <c r="AC138" s="362"/>
      <c r="AD138" s="362"/>
      <c r="AE138" s="362"/>
      <c r="AF138" s="362"/>
      <c r="AG138" s="362"/>
      <c r="AH138" s="362"/>
      <c r="AI138" s="362"/>
      <c r="AJ138" s="362"/>
    </row>
    <row r="139" spans="2:36" ht="12.65" customHeight="1" x14ac:dyDescent="0.3">
      <c r="B139" s="139"/>
      <c r="C139" s="362"/>
      <c r="D139" s="362"/>
      <c r="E139" s="362"/>
      <c r="F139" s="362"/>
      <c r="G139" s="362"/>
      <c r="H139" s="362"/>
      <c r="I139" s="362"/>
      <c r="J139" s="362"/>
      <c r="K139" s="362"/>
      <c r="L139" s="362"/>
      <c r="N139" s="139"/>
      <c r="O139" s="362"/>
      <c r="P139" s="362"/>
      <c r="Q139" s="362"/>
      <c r="R139" s="362"/>
      <c r="S139" s="362"/>
      <c r="T139" s="362"/>
      <c r="U139" s="362"/>
      <c r="V139" s="362"/>
      <c r="W139" s="362"/>
      <c r="X139" s="362"/>
      <c r="Z139" s="139"/>
      <c r="AA139" s="362"/>
      <c r="AB139" s="362"/>
      <c r="AC139" s="362"/>
      <c r="AD139" s="362"/>
      <c r="AE139" s="362"/>
      <c r="AF139" s="362"/>
      <c r="AG139" s="362"/>
      <c r="AH139" s="362"/>
      <c r="AI139" s="362"/>
      <c r="AJ139" s="362"/>
    </row>
  </sheetData>
  <mergeCells count="8">
    <mergeCell ref="Z2:AJ2"/>
    <mergeCell ref="Z3:AJ3"/>
    <mergeCell ref="Z4:AJ4"/>
    <mergeCell ref="B3:L3"/>
    <mergeCell ref="B4:L4"/>
    <mergeCell ref="B2:L2"/>
    <mergeCell ref="N2:X2"/>
    <mergeCell ref="N3:X3"/>
  </mergeCells>
  <phoneticPr fontId="0" type="noConversion"/>
  <pageMargins left="0.39370078740157483" right="0.35433070866141736" top="0.98425196850393704" bottom="0.98425196850393704" header="0.51181102362204722" footer="0.51181102362204722"/>
  <pageSetup orientation="landscape" r:id="rId1"/>
  <headerFooter alignWithMargins="0"/>
  <ignoredErrors>
    <ignoredError sqref="G104:G108 G96:G97 G93:G94 G95 G111:G114 G103 G98:G101 G102 G110 S111:S114 S110 S108:S109 S104:S107 S103 S97:S99 S95 S96 S102 S101 S93:S94 S100 G109 U66:U87 Q66:Q68 Q70:Q74 Q76:Q83 Q84:Q87 E93:E96 E97:E101 E103:E114 Q93:Q97 Q100:Q110 Q113:Q114" formula="1"/>
  </ignoredErrors>
  <webPublishItems count="1">
    <webPublishItem id="13625" divId="BookDiv_343" sourceType="range" sourceRef="A1:AK115" destinationFile="C:\xampp\htdocs\webindicator\files\INMOBILIARIA\data\ER Agosto 2019.html"/>
  </webPublishItem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>
    <tabColor rgb="FFFFFF00"/>
  </sheetPr>
  <dimension ref="A1:V366"/>
  <sheetViews>
    <sheetView showGridLines="0" topLeftCell="I1" zoomScale="69" zoomScaleNormal="69" workbookViewId="0">
      <selection activeCell="O38" sqref="O38:P40"/>
    </sheetView>
  </sheetViews>
  <sheetFormatPr baseColWidth="10" defaultColWidth="11.453125" defaultRowHeight="13" x14ac:dyDescent="0.3"/>
  <cols>
    <col min="1" max="1" width="34" style="289" customWidth="1"/>
    <col min="2" max="2" width="11.453125" style="289" bestFit="1" customWidth="1"/>
    <col min="3" max="3" width="10.54296875" style="289" customWidth="1"/>
    <col min="4" max="4" width="11" style="289" bestFit="1" customWidth="1"/>
    <col min="5" max="5" width="9.7265625" style="289" bestFit="1" customWidth="1"/>
    <col min="6" max="6" width="11.453125" style="289" bestFit="1" customWidth="1"/>
    <col min="7" max="7" width="11.26953125" style="289" customWidth="1"/>
    <col min="8" max="8" width="10.1796875" style="289" bestFit="1" customWidth="1"/>
    <col min="9" max="9" width="12.453125" style="289" bestFit="1" customWidth="1"/>
    <col min="10" max="10" width="11" style="289" bestFit="1" customWidth="1"/>
    <col min="11" max="11" width="9.54296875" style="289" bestFit="1" customWidth="1"/>
    <col min="12" max="12" width="9.54296875" style="289" customWidth="1"/>
    <col min="13" max="13" width="9.7265625" style="289" bestFit="1" customWidth="1"/>
    <col min="14" max="14" width="9.7265625" style="289" customWidth="1"/>
    <col min="15" max="15" width="32.1796875" style="151" customWidth="1"/>
    <col min="16" max="16" width="14.7265625" style="288" customWidth="1"/>
    <col min="17" max="17" width="14.7265625" style="289" customWidth="1"/>
    <col min="18" max="18" width="5.7265625" style="289" customWidth="1"/>
    <col min="19" max="19" width="13.7265625" style="289" customWidth="1"/>
    <col min="20" max="32" width="11.453125" style="289" customWidth="1"/>
    <col min="33" max="33" width="11.453125" style="289"/>
    <col min="34" max="35" width="11.453125" style="289" customWidth="1"/>
    <col min="36" max="16384" width="11.453125" style="289"/>
  </cols>
  <sheetData>
    <row r="1" spans="1:22" x14ac:dyDescent="0.3">
      <c r="A1" s="288"/>
      <c r="C1" s="237"/>
      <c r="D1" s="290"/>
      <c r="O1" s="288"/>
    </row>
    <row r="2" spans="1:22" x14ac:dyDescent="0.3">
      <c r="A2" s="288"/>
      <c r="C2" s="237"/>
      <c r="O2" s="288"/>
    </row>
    <row r="3" spans="1:22" ht="15.75" customHeight="1" x14ac:dyDescent="0.3">
      <c r="A3" s="346" t="s">
        <v>270</v>
      </c>
      <c r="C3" s="291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  <c r="O3" s="288"/>
      <c r="P3" s="308"/>
      <c r="Q3" s="292"/>
    </row>
    <row r="4" spans="1:22" ht="15" customHeight="1" x14ac:dyDescent="0.3">
      <c r="A4" s="293"/>
      <c r="B4" s="293" t="s">
        <v>267</v>
      </c>
      <c r="C4" s="293" t="s">
        <v>266</v>
      </c>
      <c r="D4" s="293" t="s">
        <v>265</v>
      </c>
      <c r="E4" s="293" t="s">
        <v>263</v>
      </c>
      <c r="F4" s="293" t="s">
        <v>265</v>
      </c>
      <c r="G4" s="293" t="s">
        <v>264</v>
      </c>
      <c r="H4" s="293" t="s">
        <v>264</v>
      </c>
      <c r="I4" s="293" t="s">
        <v>263</v>
      </c>
      <c r="J4" s="293" t="s">
        <v>262</v>
      </c>
      <c r="K4" s="293" t="s">
        <v>261</v>
      </c>
      <c r="L4" s="293" t="s">
        <v>260</v>
      </c>
      <c r="M4" s="293" t="s">
        <v>259</v>
      </c>
      <c r="N4" s="293"/>
      <c r="O4" s="288"/>
      <c r="P4" s="290" t="s">
        <v>258</v>
      </c>
      <c r="Q4" s="290"/>
    </row>
    <row r="5" spans="1:22" ht="14" x14ac:dyDescent="0.3">
      <c r="A5" s="294" t="s">
        <v>446</v>
      </c>
      <c r="B5" s="295">
        <f>'cobros 2018'!D31/1000</f>
        <v>2660.3588199999999</v>
      </c>
      <c r="C5" s="295">
        <f>'cobros 2018'!J31/1000</f>
        <v>2797.0774899999997</v>
      </c>
      <c r="D5" s="295">
        <f>'cobros 2018'!P31/1000</f>
        <v>2048.56927</v>
      </c>
      <c r="E5" s="295">
        <f>'cobros 2018'!V31/1000</f>
        <v>2250.2097600000002</v>
      </c>
      <c r="F5" s="295"/>
      <c r="G5" s="295"/>
      <c r="H5" s="295"/>
      <c r="I5" s="295"/>
      <c r="J5" s="295"/>
      <c r="K5" s="295"/>
      <c r="L5" s="295"/>
      <c r="M5" s="295"/>
      <c r="N5" s="296"/>
      <c r="O5" s="309" t="str">
        <f>UPPER("Acum Cobranza "&amp;TEXT(MES_CIERRE,"MMMM AAAA"))</f>
        <v>ACUM COBRANZA AGOSTO 2019</v>
      </c>
      <c r="P5" s="310">
        <f>SUM(B5:CHOOSE(MONTH(MES_CIERRE),B5,C5,D5,E5,F5,G5,H5,I5,J5,K5,L5,M5))</f>
        <v>9756.2153399999988</v>
      </c>
      <c r="Q5" s="297"/>
      <c r="S5" s="298"/>
      <c r="V5" s="299"/>
    </row>
    <row r="6" spans="1:22" ht="14" x14ac:dyDescent="0.3">
      <c r="A6" s="294" t="s">
        <v>447</v>
      </c>
      <c r="B6" s="295">
        <v>1236.4621767333331</v>
      </c>
      <c r="C6" s="295">
        <v>1228.3897803366967</v>
      </c>
      <c r="D6" s="295">
        <v>1251.4747740670271</v>
      </c>
      <c r="E6" s="295">
        <v>1416.9213979243245</v>
      </c>
      <c r="F6" s="295">
        <v>1371.0463420355554</v>
      </c>
      <c r="G6" s="295">
        <v>1249.3767907658857</v>
      </c>
      <c r="H6" s="295">
        <v>1138.2823991153152</v>
      </c>
      <c r="I6" s="295">
        <v>1378.3325577186788</v>
      </c>
      <c r="J6" s="295">
        <v>1241.5685465759759</v>
      </c>
      <c r="K6" s="295">
        <v>1145.7295555602402</v>
      </c>
      <c r="L6" s="295">
        <v>1243.1218837827028</v>
      </c>
      <c r="M6" s="295">
        <v>1246.6135011163963</v>
      </c>
      <c r="N6" s="296"/>
      <c r="O6" s="311" t="str">
        <f>UPPER("Acum ppto "&amp;TEXT(MES_CIERRE,"MMMM AAAA"))</f>
        <v>ACUM PPTO AGOSTO 2019</v>
      </c>
      <c r="P6" s="312">
        <f>SUM(B6:CHOOSE(MONTH(MES_CIERRE),B6,C6,D6,E6,F6,G6,H6,I6,J6,K6,L6,M6))</f>
        <v>10270.286218696816</v>
      </c>
      <c r="Q6" s="300"/>
      <c r="V6" s="299"/>
    </row>
    <row r="7" spans="1:22" ht="14" x14ac:dyDescent="0.3">
      <c r="A7" s="294" t="s">
        <v>448</v>
      </c>
      <c r="B7" s="295">
        <v>1164.75866</v>
      </c>
      <c r="C7" s="295">
        <v>850.1638099999999</v>
      </c>
      <c r="D7" s="295">
        <v>1364.9252799999999</v>
      </c>
      <c r="E7" s="295">
        <v>1317.4155000000001</v>
      </c>
      <c r="F7" s="295">
        <v>2418.9569999999999</v>
      </c>
      <c r="G7" s="295">
        <v>1449.3770599999998</v>
      </c>
      <c r="H7" s="295">
        <v>1690.1273000000001</v>
      </c>
      <c r="I7" s="295">
        <v>2464.67137</v>
      </c>
      <c r="J7" s="295">
        <v>1324.7035099999998</v>
      </c>
      <c r="K7" s="295">
        <v>2281.16194</v>
      </c>
      <c r="L7" s="295">
        <v>1354.0110400000001</v>
      </c>
      <c r="M7" s="295">
        <v>5321.5266810000003</v>
      </c>
      <c r="N7" s="296"/>
      <c r="O7" s="313" t="str">
        <f>UPPER("Acum cobranza "&amp;TEXT(EOMONTH(MES_CIERRE,-12),"MMMM AAAA"))</f>
        <v>ACUM COBRANZA AGOSTO 2018</v>
      </c>
      <c r="P7" s="314">
        <f>SUM(B7:CHOOSE(MONTH(MES_CIERRE),B7,C7,D7,E7,F7,G7,H7,I7,J7,K7,L7,M7))</f>
        <v>12720.395980000001</v>
      </c>
      <c r="Q7" s="300"/>
      <c r="V7" s="299"/>
    </row>
    <row r="8" spans="1:22" x14ac:dyDescent="0.3">
      <c r="A8" s="301"/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88"/>
      <c r="P8" s="296"/>
      <c r="Q8" s="302"/>
      <c r="V8" s="299"/>
    </row>
    <row r="9" spans="1:22" x14ac:dyDescent="0.3">
      <c r="A9" s="303"/>
      <c r="B9" s="302"/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288"/>
      <c r="P9" s="296"/>
      <c r="Q9" s="302"/>
      <c r="V9" s="299"/>
    </row>
    <row r="10" spans="1:22" x14ac:dyDescent="0.3">
      <c r="A10" s="303"/>
      <c r="B10" s="302"/>
      <c r="C10" s="302"/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288"/>
      <c r="P10" s="296"/>
      <c r="Q10" s="302"/>
      <c r="V10" s="299"/>
    </row>
    <row r="11" spans="1:22" x14ac:dyDescent="0.3">
      <c r="O11" s="288"/>
      <c r="V11" s="299"/>
    </row>
    <row r="12" spans="1:22" x14ac:dyDescent="0.3">
      <c r="O12" s="288"/>
      <c r="V12" s="299"/>
    </row>
    <row r="13" spans="1:22" x14ac:dyDescent="0.3">
      <c r="A13" s="347" t="s">
        <v>270</v>
      </c>
      <c r="O13" s="288"/>
      <c r="V13" s="299"/>
    </row>
    <row r="14" spans="1:22" x14ac:dyDescent="0.3">
      <c r="A14" s="293"/>
      <c r="B14" s="293" t="s">
        <v>267</v>
      </c>
      <c r="C14" s="293" t="s">
        <v>266</v>
      </c>
      <c r="D14" s="293" t="s">
        <v>265</v>
      </c>
      <c r="E14" s="293" t="s">
        <v>263</v>
      </c>
      <c r="F14" s="293" t="s">
        <v>265</v>
      </c>
      <c r="G14" s="293" t="s">
        <v>264</v>
      </c>
      <c r="H14" s="293" t="s">
        <v>264</v>
      </c>
      <c r="I14" s="293" t="s">
        <v>263</v>
      </c>
      <c r="J14" s="293" t="s">
        <v>262</v>
      </c>
      <c r="K14" s="293" t="s">
        <v>261</v>
      </c>
      <c r="L14" s="293" t="s">
        <v>260</v>
      </c>
      <c r="M14" s="293" t="s">
        <v>259</v>
      </c>
      <c r="N14" s="293"/>
      <c r="O14" s="301"/>
      <c r="P14" s="293" t="s">
        <v>258</v>
      </c>
      <c r="Q14" s="316"/>
      <c r="V14" s="299"/>
    </row>
    <row r="15" spans="1:22" ht="14" x14ac:dyDescent="0.3">
      <c r="A15" s="294" t="s">
        <v>449</v>
      </c>
      <c r="B15" s="295">
        <f>5149216/1000</f>
        <v>5149.2160000000003</v>
      </c>
      <c r="C15" s="295">
        <f>7413899.54/1000</f>
        <v>7413.8995400000003</v>
      </c>
      <c r="D15" s="295">
        <f>3305665.97/1000</f>
        <v>3305.66597</v>
      </c>
      <c r="E15" s="295">
        <f>909366/1000</f>
        <v>909.36599999999999</v>
      </c>
      <c r="F15" s="295"/>
      <c r="G15" s="295"/>
      <c r="H15" s="295"/>
      <c r="I15" s="295"/>
      <c r="J15" s="295"/>
      <c r="K15" s="295"/>
      <c r="L15" s="295"/>
      <c r="M15" s="295"/>
      <c r="N15" s="296"/>
      <c r="O15" s="309" t="str">
        <f>UPPER("Acumulado a "&amp;TEXT(MES_CIERRE,"MMMM AAAA"))</f>
        <v>ACUMULADO A AGOSTO 2019</v>
      </c>
      <c r="P15" s="318">
        <f>SUM(B15:CHOOSE(MONTH(MES_CIERRE),B15,C15,D15,E15,F15,G15,H15,I15,J15,K15,L15,M15))</f>
        <v>16778.147510000003</v>
      </c>
      <c r="Q15" s="320" t="s">
        <v>582</v>
      </c>
      <c r="V15" s="299"/>
    </row>
    <row r="16" spans="1:22" ht="14" x14ac:dyDescent="0.3">
      <c r="A16" s="294" t="s">
        <v>447</v>
      </c>
      <c r="B16" s="295">
        <v>2031.6922</v>
      </c>
      <c r="C16" s="295">
        <v>1921.71155</v>
      </c>
      <c r="D16" s="295">
        <v>2125.9645</v>
      </c>
      <c r="E16" s="295">
        <v>3756.4934499999999</v>
      </c>
      <c r="F16" s="295">
        <v>3279.125</v>
      </c>
      <c r="G16" s="295">
        <v>2035.8325</v>
      </c>
      <c r="H16" s="295">
        <v>890.3125</v>
      </c>
      <c r="I16" s="295">
        <v>3261.5574000000001</v>
      </c>
      <c r="J16" s="295">
        <v>1869.98</v>
      </c>
      <c r="K16" s="295">
        <v>890.3125</v>
      </c>
      <c r="L16" s="295">
        <v>1827</v>
      </c>
      <c r="M16" s="295">
        <v>1806.0625</v>
      </c>
      <c r="N16" s="296"/>
      <c r="O16" s="311" t="str">
        <f>UPPER("Acum ppto "&amp;TEXT(MES_CIERRE,"MMMM AAAA"))</f>
        <v>ACUM PPTO AGOSTO 2019</v>
      </c>
      <c r="P16" s="296">
        <f>SUM(B16:CHOOSE(MONTH(MES_CIERRE),B16,C16,D16,E16,F16,G16,H16,I16,J16,K16,L16,M16))</f>
        <v>19302.6891</v>
      </c>
      <c r="Q16" s="321" t="s">
        <v>583</v>
      </c>
      <c r="V16" s="299"/>
    </row>
    <row r="17" spans="1:22" ht="14" x14ac:dyDescent="0.3">
      <c r="A17" s="294" t="s">
        <v>450</v>
      </c>
      <c r="B17" s="295"/>
      <c r="C17" s="295">
        <v>866.25092000000006</v>
      </c>
      <c r="D17" s="295">
        <v>916.13599999999997</v>
      </c>
      <c r="E17" s="295"/>
      <c r="F17" s="295">
        <v>3426.7049999999999</v>
      </c>
      <c r="G17" s="295">
        <v>409.4</v>
      </c>
      <c r="H17" s="295">
        <v>2753.107</v>
      </c>
      <c r="I17" s="295">
        <v>1379.6243999999999</v>
      </c>
      <c r="J17" s="295">
        <v>2630.9140000000002</v>
      </c>
      <c r="K17" s="295">
        <v>3789.0359100000001</v>
      </c>
      <c r="L17" s="295">
        <v>1788.4010000000001</v>
      </c>
      <c r="M17" s="295">
        <v>10329.13912</v>
      </c>
      <c r="N17" s="296"/>
      <c r="O17" s="313" t="str">
        <f>UPPER("Acumulado a "&amp;TEXT(EOMONTH(MES_CIERRE,-12),"MMMM AAAA"))</f>
        <v>ACUMULADO A AGOSTO 2018</v>
      </c>
      <c r="P17" s="319">
        <f>SUM(B17:CHOOSE(MONTH(MES_CIERRE),B17,C17,D17,E17,F17,G17,H17,I17,J17,K17,L17,M17))</f>
        <v>9751.223320000001</v>
      </c>
      <c r="Q17" s="322" t="s">
        <v>471</v>
      </c>
      <c r="V17" s="299"/>
    </row>
    <row r="18" spans="1:22" ht="14" x14ac:dyDescent="0.3">
      <c r="A18" s="304" t="s">
        <v>529</v>
      </c>
      <c r="B18" s="305">
        <f>906404.98/1000</f>
        <v>906.40498000000002</v>
      </c>
      <c r="C18" s="398"/>
      <c r="D18" s="398">
        <f>651751.65/1000</f>
        <v>651.75165000000004</v>
      </c>
      <c r="E18" s="306"/>
      <c r="F18" s="306"/>
      <c r="G18" s="306"/>
      <c r="H18" s="306"/>
      <c r="I18" s="306"/>
      <c r="J18" s="306"/>
      <c r="K18" s="306"/>
      <c r="L18" s="306"/>
      <c r="M18" s="306"/>
      <c r="N18" s="296"/>
      <c r="O18" s="301"/>
      <c r="P18" s="296"/>
      <c r="Q18" s="317"/>
      <c r="V18" s="299"/>
    </row>
    <row r="19" spans="1:22" x14ac:dyDescent="0.3">
      <c r="A19" s="303"/>
      <c r="B19" s="302"/>
      <c r="C19" s="302"/>
      <c r="D19" s="302"/>
      <c r="E19" s="302"/>
      <c r="F19" s="302"/>
      <c r="G19" s="302"/>
      <c r="H19" s="302"/>
      <c r="I19" s="302"/>
      <c r="J19" s="302"/>
      <c r="K19" s="302"/>
      <c r="L19" s="302"/>
      <c r="M19" s="302"/>
      <c r="N19" s="296"/>
      <c r="O19" s="301"/>
      <c r="P19" s="296"/>
      <c r="Q19" s="317"/>
      <c r="V19" s="299"/>
    </row>
    <row r="20" spans="1:22" x14ac:dyDescent="0.3">
      <c r="N20" s="296"/>
      <c r="O20" s="288"/>
      <c r="V20" s="299"/>
    </row>
    <row r="21" spans="1:22" x14ac:dyDescent="0.3">
      <c r="B21" s="236"/>
      <c r="C21" s="236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96"/>
      <c r="O21" s="288"/>
      <c r="P21" s="315"/>
      <c r="Q21" s="236"/>
      <c r="V21" s="299"/>
    </row>
    <row r="22" spans="1:22" x14ac:dyDescent="0.3">
      <c r="N22" s="296"/>
      <c r="O22" s="288"/>
      <c r="V22" s="299"/>
    </row>
    <row r="23" spans="1:22" x14ac:dyDescent="0.3">
      <c r="B23" s="288"/>
      <c r="N23" s="296"/>
      <c r="O23" s="288"/>
      <c r="V23" s="299"/>
    </row>
    <row r="24" spans="1:22" x14ac:dyDescent="0.3">
      <c r="A24" s="346" t="s">
        <v>269</v>
      </c>
      <c r="B24" s="292"/>
      <c r="C24" s="291"/>
      <c r="D24" s="292"/>
      <c r="E24" s="292"/>
      <c r="F24" s="292"/>
      <c r="G24" s="292"/>
      <c r="H24" s="292"/>
      <c r="I24" s="292"/>
      <c r="J24" s="292"/>
      <c r="K24" s="292"/>
      <c r="L24" s="292"/>
      <c r="M24" s="292"/>
      <c r="N24" s="296"/>
      <c r="O24" s="288"/>
      <c r="P24" s="308"/>
      <c r="V24" s="299"/>
    </row>
    <row r="25" spans="1:22" x14ac:dyDescent="0.3">
      <c r="A25" s="293"/>
      <c r="B25" s="293" t="s">
        <v>267</v>
      </c>
      <c r="C25" s="293" t="s">
        <v>266</v>
      </c>
      <c r="D25" s="293" t="s">
        <v>265</v>
      </c>
      <c r="E25" s="293" t="s">
        <v>263</v>
      </c>
      <c r="F25" s="293" t="s">
        <v>265</v>
      </c>
      <c r="G25" s="293" t="s">
        <v>264</v>
      </c>
      <c r="H25" s="293" t="s">
        <v>264</v>
      </c>
      <c r="I25" s="293" t="s">
        <v>263</v>
      </c>
      <c r="J25" s="293" t="s">
        <v>262</v>
      </c>
      <c r="K25" s="293" t="s">
        <v>261</v>
      </c>
      <c r="L25" s="293" t="s">
        <v>260</v>
      </c>
      <c r="M25" s="293" t="s">
        <v>259</v>
      </c>
      <c r="N25" s="296"/>
      <c r="O25" s="288"/>
      <c r="P25" s="290" t="s">
        <v>258</v>
      </c>
      <c r="V25" s="299"/>
    </row>
    <row r="26" spans="1:22" ht="14" x14ac:dyDescent="0.3">
      <c r="A26" s="294" t="s">
        <v>451</v>
      </c>
      <c r="B26" s="295">
        <f>1249258.12/1000</f>
        <v>1249.2581200000002</v>
      </c>
      <c r="C26" s="295">
        <f>2003351.1/1000</f>
        <v>2003.3511000000001</v>
      </c>
      <c r="D26" s="295">
        <f>391194.73/1000</f>
        <v>391.19472999999999</v>
      </c>
      <c r="E26" s="295">
        <f>2217672/1000</f>
        <v>2217.672</v>
      </c>
      <c r="F26" s="295"/>
      <c r="G26" s="295"/>
      <c r="H26" s="295"/>
      <c r="I26" s="295"/>
      <c r="J26" s="295"/>
      <c r="K26" s="295"/>
      <c r="L26" s="295"/>
      <c r="M26" s="295"/>
      <c r="N26" s="296"/>
      <c r="O26" s="309" t="str">
        <f>UPPER("Acum a "&amp;TEXT(MES_CIERRE,"MMMM AAAA"))</f>
        <v>ACUM A AGOSTO 2019</v>
      </c>
      <c r="P26" s="310">
        <f>SUM(B26:CHOOSE(MONTH(MES_CIERRE),B26,C26,D26,E26,F26,G26,H26,I26,J26,K26,L26,M26))</f>
        <v>5861.47595</v>
      </c>
      <c r="V26" s="299"/>
    </row>
    <row r="27" spans="1:22" ht="14" x14ac:dyDescent="0.3">
      <c r="A27" s="294" t="s">
        <v>455</v>
      </c>
      <c r="B27" s="295">
        <v>1890</v>
      </c>
      <c r="C27" s="295">
        <v>2421</v>
      </c>
      <c r="D27" s="295">
        <v>1600</v>
      </c>
      <c r="E27" s="295">
        <v>2175</v>
      </c>
      <c r="F27" s="295">
        <v>1980.0000000000002</v>
      </c>
      <c r="G27" s="295">
        <v>1730</v>
      </c>
      <c r="H27" s="295">
        <v>854.99999999999989</v>
      </c>
      <c r="I27" s="295">
        <v>1050</v>
      </c>
      <c r="J27" s="295">
        <v>964.99999999999989</v>
      </c>
      <c r="K27" s="295">
        <v>660</v>
      </c>
      <c r="L27" s="295">
        <v>940.00000000000011</v>
      </c>
      <c r="M27" s="295">
        <v>685</v>
      </c>
      <c r="N27" s="296"/>
      <c r="O27" s="311" t="str">
        <f>UPPER("Acum ppto "&amp;TEXT(MES_CIERRE,"MMMM AAAA"))</f>
        <v>ACUM PPTO AGOSTO 2019</v>
      </c>
      <c r="P27" s="312">
        <f>SUM(B27:CHOOSE(MONTH(MES_CIERRE),B27,C27,D27,E27,F27,G27,H27,I27,J27,K27,L27,M27))</f>
        <v>13701</v>
      </c>
      <c r="V27" s="299"/>
    </row>
    <row r="28" spans="1:22" ht="14" x14ac:dyDescent="0.3">
      <c r="A28" s="294" t="s">
        <v>452</v>
      </c>
      <c r="B28" s="295">
        <v>753.98388</v>
      </c>
      <c r="C28" s="295">
        <v>692.79</v>
      </c>
      <c r="D28" s="295">
        <v>1237.78</v>
      </c>
      <c r="E28" s="295">
        <v>421.32299999999998</v>
      </c>
      <c r="F28" s="295">
        <v>1280.653</v>
      </c>
      <c r="G28" s="295">
        <v>620.57399999999996</v>
      </c>
      <c r="H28" s="295">
        <v>1123.133</v>
      </c>
      <c r="I28" s="295">
        <v>1931.57242</v>
      </c>
      <c r="J28" s="295">
        <v>1729.2426</v>
      </c>
      <c r="K28" s="295">
        <v>598.26599999999996</v>
      </c>
      <c r="L28" s="295">
        <v>1821.47</v>
      </c>
      <c r="M28" s="295">
        <v>862.50400000000002</v>
      </c>
      <c r="N28" s="296"/>
      <c r="O28" s="313" t="str">
        <f>UPPER("Acum a "&amp;TEXT(EOMONTH(MES_CIERRE,-12),"MMMM AAAA"))</f>
        <v>ACUM A AGOSTO 2018</v>
      </c>
      <c r="P28" s="314">
        <f>SUM(B28:CHOOSE(MONTH(MES_CIERRE),B28,C28,D28,E28,F28,G28,H28,I28,J28,K28,L28,M28))</f>
        <v>8061.809299999999</v>
      </c>
    </row>
    <row r="29" spans="1:22" x14ac:dyDescent="0.3">
      <c r="N29" s="296"/>
      <c r="O29" s="288"/>
    </row>
    <row r="30" spans="1:22" x14ac:dyDescent="0.3">
      <c r="N30" s="296"/>
      <c r="O30" s="288"/>
    </row>
    <row r="31" spans="1:22" x14ac:dyDescent="0.3">
      <c r="N31" s="296"/>
      <c r="O31" s="288"/>
    </row>
    <row r="32" spans="1:22" x14ac:dyDescent="0.3">
      <c r="N32" s="296"/>
      <c r="O32" s="288"/>
    </row>
    <row r="33" spans="1:16" x14ac:dyDescent="0.3">
      <c r="N33" s="296"/>
      <c r="O33" s="288"/>
    </row>
    <row r="34" spans="1:16" x14ac:dyDescent="0.3">
      <c r="N34" s="296"/>
      <c r="O34" s="288"/>
    </row>
    <row r="35" spans="1:16" x14ac:dyDescent="0.3">
      <c r="N35" s="296"/>
      <c r="O35" s="288"/>
    </row>
    <row r="36" spans="1:16" x14ac:dyDescent="0.3">
      <c r="A36" s="346" t="s">
        <v>268</v>
      </c>
      <c r="B36" s="292"/>
      <c r="C36" s="291"/>
      <c r="D36" s="292"/>
      <c r="E36" s="292"/>
      <c r="F36" s="292"/>
      <c r="G36" s="292"/>
      <c r="H36" s="292"/>
      <c r="I36" s="292"/>
      <c r="J36" s="292"/>
      <c r="K36" s="292"/>
      <c r="L36" s="292"/>
      <c r="M36" s="292"/>
      <c r="N36" s="296"/>
      <c r="O36" s="288"/>
      <c r="P36" s="308"/>
    </row>
    <row r="37" spans="1:16" x14ac:dyDescent="0.3">
      <c r="A37" s="307"/>
      <c r="B37" s="293" t="s">
        <v>267</v>
      </c>
      <c r="C37" s="293" t="s">
        <v>266</v>
      </c>
      <c r="D37" s="293" t="s">
        <v>265</v>
      </c>
      <c r="E37" s="293" t="s">
        <v>263</v>
      </c>
      <c r="F37" s="293" t="s">
        <v>265</v>
      </c>
      <c r="G37" s="293" t="s">
        <v>264</v>
      </c>
      <c r="H37" s="293" t="s">
        <v>264</v>
      </c>
      <c r="I37" s="293" t="s">
        <v>263</v>
      </c>
      <c r="J37" s="293" t="s">
        <v>262</v>
      </c>
      <c r="K37" s="293" t="s">
        <v>261</v>
      </c>
      <c r="L37" s="293" t="s">
        <v>260</v>
      </c>
      <c r="M37" s="293" t="s">
        <v>259</v>
      </c>
      <c r="N37" s="296"/>
      <c r="O37" s="288"/>
      <c r="P37" s="290" t="s">
        <v>258</v>
      </c>
    </row>
    <row r="38" spans="1:16" ht="14" x14ac:dyDescent="0.3">
      <c r="A38" s="294" t="s">
        <v>453</v>
      </c>
      <c r="B38" s="295">
        <f>209580/1000</f>
        <v>209.58</v>
      </c>
      <c r="C38" s="295">
        <f>205275/1000</f>
        <v>205.27500000000001</v>
      </c>
      <c r="D38" s="295">
        <f>207270/1000</f>
        <v>207.27</v>
      </c>
      <c r="E38" s="295">
        <f>204015/1000</f>
        <v>204.01499999999999</v>
      </c>
      <c r="F38" s="295"/>
      <c r="G38" s="295"/>
      <c r="H38" s="295"/>
      <c r="I38" s="295"/>
      <c r="J38" s="295"/>
      <c r="K38" s="295"/>
      <c r="L38" s="295"/>
      <c r="M38" s="295"/>
      <c r="N38" s="296"/>
      <c r="O38" s="309" t="str">
        <f>UPPER("Acum a "&amp;TEXT(MES_CIERRE,"MMMM AAAA"))</f>
        <v>ACUM A AGOSTO 2019</v>
      </c>
      <c r="P38" s="310">
        <f>SUM(B38:CHOOSE(MONTH(MES_CIERRE),B38,C38,D38,E38,F38,G38,H38,I38,J38,K38,L38,M38))</f>
        <v>826.14</v>
      </c>
    </row>
    <row r="39" spans="1:16" ht="14" x14ac:dyDescent="0.3">
      <c r="A39" s="294" t="s">
        <v>447</v>
      </c>
      <c r="B39" s="295">
        <v>203.96249999999998</v>
      </c>
      <c r="C39" s="295">
        <v>204.54</v>
      </c>
      <c r="D39" s="295">
        <v>205.065</v>
      </c>
      <c r="E39" s="295">
        <v>205.53750000000002</v>
      </c>
      <c r="F39" s="295">
        <v>205.905</v>
      </c>
      <c r="G39" s="295">
        <v>206.43</v>
      </c>
      <c r="H39" s="295">
        <v>207.11250000000004</v>
      </c>
      <c r="I39" s="295">
        <v>207.69</v>
      </c>
      <c r="J39" s="295">
        <v>208.16249999999999</v>
      </c>
      <c r="K39" s="295">
        <v>208.58250000000004</v>
      </c>
      <c r="L39" s="295">
        <v>209.31750000000002</v>
      </c>
      <c r="M39" s="295">
        <v>210.42</v>
      </c>
      <c r="N39" s="296"/>
      <c r="O39" s="311" t="str">
        <f>UPPER("Acum ppto "&amp;TEXT(MES_CIERRE,"MMMM AAAA"))</f>
        <v>ACUM PPTO AGOSTO 2019</v>
      </c>
      <c r="P39" s="312">
        <f>SUM(B39:CHOOSE(MONTH(MES_CIERRE),B39,C39,D39,E39,F39,G39,H39,I39,J39,K39,L39,M39))</f>
        <v>1646.2425000000001</v>
      </c>
    </row>
    <row r="40" spans="1:16" ht="14" x14ac:dyDescent="0.3">
      <c r="A40" s="294" t="s">
        <v>454</v>
      </c>
      <c r="B40" s="295">
        <v>270.69819999999999</v>
      </c>
      <c r="C40" s="295">
        <v>267.28800000000001</v>
      </c>
      <c r="D40" s="295">
        <v>238</v>
      </c>
      <c r="E40" s="295">
        <v>250.80500000000001</v>
      </c>
      <c r="F40" s="295">
        <v>250.80500000000001</v>
      </c>
      <c r="G40" s="295">
        <v>254.69</v>
      </c>
      <c r="H40" s="295">
        <v>256.56</v>
      </c>
      <c r="I40" s="295">
        <v>240.41</v>
      </c>
      <c r="J40" s="295">
        <v>258.13499999999999</v>
      </c>
      <c r="K40" s="295">
        <v>246.71</v>
      </c>
      <c r="L40" s="295">
        <v>257.94499999999999</v>
      </c>
      <c r="M40" s="295">
        <v>240</v>
      </c>
      <c r="N40" s="296"/>
      <c r="O40" s="313" t="str">
        <f>UPPER("Acum a "&amp;TEXT(EOMONTH(MES_CIERRE,-12),"MMMM AAAA"))</f>
        <v>ACUM A AGOSTO 2018</v>
      </c>
      <c r="P40" s="314">
        <f>SUM(B40:CHOOSE(MONTH(MES_CIERRE),B40,C40,D40,E40,F40,G40,H40,I40,J40,K40,L40,M40))</f>
        <v>2029.2562000000003</v>
      </c>
    </row>
    <row r="41" spans="1:16" x14ac:dyDescent="0.3">
      <c r="B41" s="302"/>
      <c r="C41" s="302"/>
      <c r="D41" s="302"/>
      <c r="E41" s="302"/>
      <c r="F41" s="302"/>
      <c r="G41" s="302"/>
      <c r="H41" s="302"/>
      <c r="I41" s="302"/>
      <c r="J41" s="302"/>
      <c r="K41" s="302"/>
      <c r="L41" s="302"/>
      <c r="M41" s="302"/>
      <c r="N41" s="296"/>
      <c r="O41" s="288"/>
      <c r="P41" s="296"/>
    </row>
    <row r="42" spans="1:16" x14ac:dyDescent="0.3">
      <c r="N42" s="296"/>
      <c r="O42" s="288"/>
    </row>
    <row r="51" spans="17:17" x14ac:dyDescent="0.3">
      <c r="Q51" s="292"/>
    </row>
    <row r="52" spans="17:17" x14ac:dyDescent="0.3">
      <c r="Q52" s="290"/>
    </row>
    <row r="53" spans="17:17" x14ac:dyDescent="0.3">
      <c r="Q53" s="297"/>
    </row>
    <row r="54" spans="17:17" x14ac:dyDescent="0.3">
      <c r="Q54" s="297"/>
    </row>
    <row r="55" spans="17:17" x14ac:dyDescent="0.3">
      <c r="Q55" s="297"/>
    </row>
    <row r="70" spans="14:17" x14ac:dyDescent="0.3">
      <c r="Q70" s="292"/>
    </row>
    <row r="71" spans="14:17" x14ac:dyDescent="0.3">
      <c r="Q71" s="290"/>
    </row>
    <row r="72" spans="14:17" x14ac:dyDescent="0.3">
      <c r="Q72" s="302"/>
    </row>
    <row r="73" spans="14:17" x14ac:dyDescent="0.3">
      <c r="Q73" s="302"/>
    </row>
    <row r="74" spans="14:17" x14ac:dyDescent="0.3">
      <c r="Q74" s="302"/>
    </row>
    <row r="75" spans="14:17" x14ac:dyDescent="0.3">
      <c r="Q75" s="302"/>
    </row>
    <row r="77" spans="14:17" x14ac:dyDescent="0.3">
      <c r="N77" s="296"/>
      <c r="O77" s="288"/>
    </row>
    <row r="78" spans="14:17" x14ac:dyDescent="0.3">
      <c r="N78" s="296"/>
      <c r="O78" s="288"/>
    </row>
    <row r="79" spans="14:17" x14ac:dyDescent="0.3">
      <c r="N79" s="296"/>
      <c r="O79" s="288"/>
    </row>
    <row r="80" spans="14:17" x14ac:dyDescent="0.3">
      <c r="N80" s="296"/>
      <c r="O80" s="288"/>
    </row>
    <row r="81" spans="14:15" x14ac:dyDescent="0.3">
      <c r="N81" s="296"/>
      <c r="O81" s="288"/>
    </row>
    <row r="82" spans="14:15" x14ac:dyDescent="0.3">
      <c r="N82" s="296"/>
      <c r="O82" s="288"/>
    </row>
    <row r="83" spans="14:15" x14ac:dyDescent="0.3">
      <c r="N83" s="296"/>
      <c r="O83" s="288"/>
    </row>
    <row r="84" spans="14:15" x14ac:dyDescent="0.3">
      <c r="N84" s="296"/>
      <c r="O84" s="288"/>
    </row>
    <row r="85" spans="14:15" x14ac:dyDescent="0.3">
      <c r="N85" s="296"/>
      <c r="O85" s="288"/>
    </row>
    <row r="86" spans="14:15" x14ac:dyDescent="0.3">
      <c r="N86" s="296"/>
      <c r="O86" s="288"/>
    </row>
    <row r="87" spans="14:15" x14ac:dyDescent="0.3">
      <c r="N87" s="296"/>
      <c r="O87" s="288"/>
    </row>
    <row r="88" spans="14:15" x14ac:dyDescent="0.3">
      <c r="N88" s="296"/>
      <c r="O88" s="288"/>
    </row>
    <row r="89" spans="14:15" x14ac:dyDescent="0.3">
      <c r="N89" s="296"/>
      <c r="O89" s="288"/>
    </row>
    <row r="90" spans="14:15" x14ac:dyDescent="0.3">
      <c r="N90" s="296"/>
      <c r="O90" s="288"/>
    </row>
    <row r="91" spans="14:15" x14ac:dyDescent="0.3">
      <c r="N91" s="296"/>
      <c r="O91" s="288"/>
    </row>
    <row r="92" spans="14:15" x14ac:dyDescent="0.3">
      <c r="N92" s="296"/>
      <c r="O92" s="288"/>
    </row>
    <row r="93" spans="14:15" x14ac:dyDescent="0.3">
      <c r="N93" s="296"/>
      <c r="O93" s="288"/>
    </row>
    <row r="94" spans="14:15" x14ac:dyDescent="0.3">
      <c r="N94" s="296"/>
      <c r="O94" s="288"/>
    </row>
    <row r="95" spans="14:15" x14ac:dyDescent="0.3">
      <c r="N95" s="296"/>
      <c r="O95" s="288"/>
    </row>
    <row r="96" spans="14:15" x14ac:dyDescent="0.3">
      <c r="N96" s="296"/>
      <c r="O96" s="288"/>
    </row>
    <row r="97" spans="14:15" x14ac:dyDescent="0.3">
      <c r="N97" s="296"/>
      <c r="O97" s="288"/>
    </row>
    <row r="98" spans="14:15" x14ac:dyDescent="0.3">
      <c r="N98" s="296"/>
      <c r="O98" s="288"/>
    </row>
    <row r="99" spans="14:15" x14ac:dyDescent="0.3">
      <c r="N99" s="296"/>
      <c r="O99" s="288"/>
    </row>
    <row r="100" spans="14:15" x14ac:dyDescent="0.3">
      <c r="N100" s="296"/>
      <c r="O100" s="288"/>
    </row>
    <row r="101" spans="14:15" x14ac:dyDescent="0.3">
      <c r="N101" s="296"/>
      <c r="O101" s="288"/>
    </row>
    <row r="102" spans="14:15" x14ac:dyDescent="0.3">
      <c r="N102" s="296"/>
      <c r="O102" s="288"/>
    </row>
    <row r="103" spans="14:15" x14ac:dyDescent="0.3">
      <c r="N103" s="296"/>
      <c r="O103" s="288"/>
    </row>
    <row r="104" spans="14:15" x14ac:dyDescent="0.3">
      <c r="N104" s="296"/>
      <c r="O104" s="288"/>
    </row>
    <row r="105" spans="14:15" x14ac:dyDescent="0.3">
      <c r="N105" s="296"/>
      <c r="O105" s="288"/>
    </row>
    <row r="106" spans="14:15" x14ac:dyDescent="0.3">
      <c r="O106" s="288"/>
    </row>
    <row r="107" spans="14:15" x14ac:dyDescent="0.3">
      <c r="O107" s="288"/>
    </row>
    <row r="108" spans="14:15" x14ac:dyDescent="0.3">
      <c r="O108" s="288"/>
    </row>
    <row r="109" spans="14:15" x14ac:dyDescent="0.3">
      <c r="O109" s="288"/>
    </row>
    <row r="110" spans="14:15" x14ac:dyDescent="0.3">
      <c r="O110" s="288"/>
    </row>
    <row r="111" spans="14:15" x14ac:dyDescent="0.3">
      <c r="O111" s="288"/>
    </row>
    <row r="112" spans="14:15" x14ac:dyDescent="0.3">
      <c r="O112" s="288"/>
    </row>
    <row r="113" spans="15:15" x14ac:dyDescent="0.3">
      <c r="O113" s="288"/>
    </row>
    <row r="114" spans="15:15" x14ac:dyDescent="0.3">
      <c r="O114" s="288"/>
    </row>
    <row r="115" spans="15:15" x14ac:dyDescent="0.3">
      <c r="O115" s="288"/>
    </row>
    <row r="116" spans="15:15" x14ac:dyDescent="0.3">
      <c r="O116" s="288"/>
    </row>
    <row r="117" spans="15:15" x14ac:dyDescent="0.3">
      <c r="O117" s="288"/>
    </row>
    <row r="118" spans="15:15" x14ac:dyDescent="0.3">
      <c r="O118" s="288"/>
    </row>
    <row r="119" spans="15:15" x14ac:dyDescent="0.3">
      <c r="O119" s="288"/>
    </row>
    <row r="120" spans="15:15" x14ac:dyDescent="0.3">
      <c r="O120" s="288"/>
    </row>
    <row r="121" spans="15:15" x14ac:dyDescent="0.3">
      <c r="O121" s="288"/>
    </row>
    <row r="122" spans="15:15" x14ac:dyDescent="0.3">
      <c r="O122" s="288"/>
    </row>
    <row r="123" spans="15:15" x14ac:dyDescent="0.3">
      <c r="O123" s="288"/>
    </row>
    <row r="124" spans="15:15" x14ac:dyDescent="0.3">
      <c r="O124" s="288"/>
    </row>
    <row r="125" spans="15:15" x14ac:dyDescent="0.3">
      <c r="O125" s="288"/>
    </row>
    <row r="126" spans="15:15" x14ac:dyDescent="0.3">
      <c r="O126" s="288"/>
    </row>
    <row r="127" spans="15:15" x14ac:dyDescent="0.3">
      <c r="O127" s="288"/>
    </row>
    <row r="128" spans="15:15" x14ac:dyDescent="0.3">
      <c r="O128" s="288"/>
    </row>
    <row r="129" spans="15:15" x14ac:dyDescent="0.3">
      <c r="O129" s="288"/>
    </row>
    <row r="130" spans="15:15" x14ac:dyDescent="0.3">
      <c r="O130" s="288"/>
    </row>
    <row r="131" spans="15:15" x14ac:dyDescent="0.3">
      <c r="O131" s="288"/>
    </row>
    <row r="132" spans="15:15" x14ac:dyDescent="0.3">
      <c r="O132" s="288"/>
    </row>
    <row r="133" spans="15:15" x14ac:dyDescent="0.3">
      <c r="O133" s="288"/>
    </row>
    <row r="134" spans="15:15" x14ac:dyDescent="0.3">
      <c r="O134" s="288"/>
    </row>
    <row r="135" spans="15:15" x14ac:dyDescent="0.3">
      <c r="O135" s="288"/>
    </row>
    <row r="136" spans="15:15" x14ac:dyDescent="0.3">
      <c r="O136" s="288"/>
    </row>
    <row r="137" spans="15:15" x14ac:dyDescent="0.3">
      <c r="O137" s="288"/>
    </row>
    <row r="138" spans="15:15" x14ac:dyDescent="0.3">
      <c r="O138" s="288"/>
    </row>
    <row r="139" spans="15:15" x14ac:dyDescent="0.3">
      <c r="O139" s="288"/>
    </row>
    <row r="140" spans="15:15" x14ac:dyDescent="0.3">
      <c r="O140" s="288"/>
    </row>
    <row r="141" spans="15:15" x14ac:dyDescent="0.3">
      <c r="O141" s="288"/>
    </row>
    <row r="142" spans="15:15" x14ac:dyDescent="0.3">
      <c r="O142" s="288"/>
    </row>
    <row r="143" spans="15:15" x14ac:dyDescent="0.3">
      <c r="O143" s="288"/>
    </row>
    <row r="144" spans="15:15" x14ac:dyDescent="0.3">
      <c r="O144" s="288"/>
    </row>
    <row r="145" spans="15:15" x14ac:dyDescent="0.3">
      <c r="O145" s="288"/>
    </row>
    <row r="146" spans="15:15" x14ac:dyDescent="0.3">
      <c r="O146" s="288"/>
    </row>
    <row r="147" spans="15:15" x14ac:dyDescent="0.3">
      <c r="O147" s="288"/>
    </row>
    <row r="148" spans="15:15" x14ac:dyDescent="0.3">
      <c r="O148" s="288"/>
    </row>
    <row r="149" spans="15:15" x14ac:dyDescent="0.3">
      <c r="O149" s="288"/>
    </row>
    <row r="150" spans="15:15" x14ac:dyDescent="0.3">
      <c r="O150" s="288"/>
    </row>
    <row r="151" spans="15:15" x14ac:dyDescent="0.3">
      <c r="O151" s="288"/>
    </row>
    <row r="152" spans="15:15" x14ac:dyDescent="0.3">
      <c r="O152" s="288"/>
    </row>
    <row r="153" spans="15:15" x14ac:dyDescent="0.3">
      <c r="O153" s="288"/>
    </row>
    <row r="154" spans="15:15" x14ac:dyDescent="0.3">
      <c r="O154" s="288"/>
    </row>
    <row r="155" spans="15:15" x14ac:dyDescent="0.3">
      <c r="O155" s="288"/>
    </row>
    <row r="156" spans="15:15" x14ac:dyDescent="0.3">
      <c r="O156" s="288"/>
    </row>
    <row r="157" spans="15:15" x14ac:dyDescent="0.3">
      <c r="O157" s="288"/>
    </row>
    <row r="158" spans="15:15" x14ac:dyDescent="0.3">
      <c r="O158" s="288"/>
    </row>
    <row r="159" spans="15:15" x14ac:dyDescent="0.3">
      <c r="O159" s="288"/>
    </row>
    <row r="160" spans="15:15" x14ac:dyDescent="0.3">
      <c r="O160" s="288"/>
    </row>
    <row r="161" spans="15:15" x14ac:dyDescent="0.3">
      <c r="O161" s="288"/>
    </row>
    <row r="162" spans="15:15" x14ac:dyDescent="0.3">
      <c r="O162" s="288"/>
    </row>
    <row r="163" spans="15:15" x14ac:dyDescent="0.3">
      <c r="O163" s="288"/>
    </row>
    <row r="164" spans="15:15" x14ac:dyDescent="0.3">
      <c r="O164" s="288"/>
    </row>
    <row r="165" spans="15:15" x14ac:dyDescent="0.3">
      <c r="O165" s="288"/>
    </row>
    <row r="166" spans="15:15" x14ac:dyDescent="0.3">
      <c r="O166" s="288"/>
    </row>
    <row r="167" spans="15:15" x14ac:dyDescent="0.3">
      <c r="O167" s="288"/>
    </row>
    <row r="168" spans="15:15" x14ac:dyDescent="0.3">
      <c r="O168" s="288"/>
    </row>
    <row r="169" spans="15:15" x14ac:dyDescent="0.3">
      <c r="O169" s="288"/>
    </row>
    <row r="170" spans="15:15" x14ac:dyDescent="0.3">
      <c r="O170" s="288"/>
    </row>
    <row r="171" spans="15:15" x14ac:dyDescent="0.3">
      <c r="O171" s="288"/>
    </row>
    <row r="172" spans="15:15" x14ac:dyDescent="0.3">
      <c r="O172" s="288"/>
    </row>
    <row r="173" spans="15:15" x14ac:dyDescent="0.3">
      <c r="O173" s="288"/>
    </row>
    <row r="174" spans="15:15" x14ac:dyDescent="0.3">
      <c r="O174" s="288"/>
    </row>
    <row r="175" spans="15:15" x14ac:dyDescent="0.3">
      <c r="O175" s="288"/>
    </row>
    <row r="176" spans="15:15" x14ac:dyDescent="0.3">
      <c r="O176" s="288"/>
    </row>
    <row r="177" spans="15:15" x14ac:dyDescent="0.3">
      <c r="O177" s="288"/>
    </row>
    <row r="178" spans="15:15" x14ac:dyDescent="0.3">
      <c r="O178" s="288"/>
    </row>
    <row r="179" spans="15:15" x14ac:dyDescent="0.3">
      <c r="O179" s="288"/>
    </row>
    <row r="180" spans="15:15" x14ac:dyDescent="0.3">
      <c r="O180" s="288"/>
    </row>
    <row r="181" spans="15:15" x14ac:dyDescent="0.3">
      <c r="O181" s="288"/>
    </row>
    <row r="182" spans="15:15" x14ac:dyDescent="0.3">
      <c r="O182" s="288"/>
    </row>
    <row r="183" spans="15:15" x14ac:dyDescent="0.3">
      <c r="O183" s="288"/>
    </row>
    <row r="184" spans="15:15" x14ac:dyDescent="0.3">
      <c r="O184" s="288"/>
    </row>
    <row r="185" spans="15:15" x14ac:dyDescent="0.3">
      <c r="O185" s="288"/>
    </row>
    <row r="186" spans="15:15" x14ac:dyDescent="0.3">
      <c r="O186" s="288"/>
    </row>
    <row r="187" spans="15:15" x14ac:dyDescent="0.3">
      <c r="O187" s="288"/>
    </row>
    <row r="188" spans="15:15" x14ac:dyDescent="0.3">
      <c r="O188" s="288"/>
    </row>
    <row r="189" spans="15:15" x14ac:dyDescent="0.3">
      <c r="O189" s="288"/>
    </row>
    <row r="190" spans="15:15" x14ac:dyDescent="0.3">
      <c r="O190" s="288"/>
    </row>
    <row r="191" spans="15:15" x14ac:dyDescent="0.3">
      <c r="O191" s="288"/>
    </row>
    <row r="192" spans="15:15" x14ac:dyDescent="0.3">
      <c r="O192" s="288"/>
    </row>
    <row r="193" spans="15:15" x14ac:dyDescent="0.3">
      <c r="O193" s="288"/>
    </row>
    <row r="194" spans="15:15" x14ac:dyDescent="0.3">
      <c r="O194" s="288"/>
    </row>
    <row r="195" spans="15:15" x14ac:dyDescent="0.3">
      <c r="O195" s="288"/>
    </row>
    <row r="196" spans="15:15" x14ac:dyDescent="0.3">
      <c r="O196" s="288"/>
    </row>
    <row r="197" spans="15:15" x14ac:dyDescent="0.3">
      <c r="O197" s="288"/>
    </row>
    <row r="198" spans="15:15" x14ac:dyDescent="0.3">
      <c r="O198" s="288"/>
    </row>
    <row r="199" spans="15:15" x14ac:dyDescent="0.3">
      <c r="O199" s="288"/>
    </row>
    <row r="200" spans="15:15" x14ac:dyDescent="0.3">
      <c r="O200" s="288"/>
    </row>
    <row r="201" spans="15:15" x14ac:dyDescent="0.3">
      <c r="O201" s="288"/>
    </row>
    <row r="202" spans="15:15" x14ac:dyDescent="0.3">
      <c r="O202" s="288"/>
    </row>
    <row r="203" spans="15:15" x14ac:dyDescent="0.3">
      <c r="O203" s="288"/>
    </row>
    <row r="204" spans="15:15" x14ac:dyDescent="0.3">
      <c r="O204" s="288"/>
    </row>
    <row r="205" spans="15:15" x14ac:dyDescent="0.3">
      <c r="O205" s="288"/>
    </row>
    <row r="206" spans="15:15" x14ac:dyDescent="0.3">
      <c r="O206" s="288"/>
    </row>
    <row r="207" spans="15:15" x14ac:dyDescent="0.3">
      <c r="O207" s="288"/>
    </row>
    <row r="208" spans="15:15" x14ac:dyDescent="0.3">
      <c r="O208" s="288"/>
    </row>
    <row r="209" spans="15:15" x14ac:dyDescent="0.3">
      <c r="O209" s="288"/>
    </row>
    <row r="210" spans="15:15" x14ac:dyDescent="0.3">
      <c r="O210" s="288"/>
    </row>
    <row r="211" spans="15:15" x14ac:dyDescent="0.3">
      <c r="O211" s="288"/>
    </row>
    <row r="212" spans="15:15" x14ac:dyDescent="0.3">
      <c r="O212" s="288"/>
    </row>
    <row r="213" spans="15:15" x14ac:dyDescent="0.3">
      <c r="O213" s="288"/>
    </row>
    <row r="214" spans="15:15" x14ac:dyDescent="0.3">
      <c r="O214" s="288"/>
    </row>
    <row r="215" spans="15:15" x14ac:dyDescent="0.3">
      <c r="O215" s="288"/>
    </row>
    <row r="216" spans="15:15" x14ac:dyDescent="0.3">
      <c r="O216" s="288"/>
    </row>
    <row r="217" spans="15:15" x14ac:dyDescent="0.3">
      <c r="O217" s="288"/>
    </row>
    <row r="218" spans="15:15" x14ac:dyDescent="0.3">
      <c r="O218" s="288"/>
    </row>
    <row r="219" spans="15:15" x14ac:dyDescent="0.3">
      <c r="O219" s="288"/>
    </row>
    <row r="220" spans="15:15" x14ac:dyDescent="0.3">
      <c r="O220" s="288"/>
    </row>
    <row r="221" spans="15:15" x14ac:dyDescent="0.3">
      <c r="O221" s="288"/>
    </row>
    <row r="222" spans="15:15" x14ac:dyDescent="0.3">
      <c r="O222" s="288"/>
    </row>
    <row r="223" spans="15:15" x14ac:dyDescent="0.3">
      <c r="O223" s="288"/>
    </row>
    <row r="224" spans="15:15" x14ac:dyDescent="0.3">
      <c r="O224" s="288"/>
    </row>
    <row r="225" spans="15:15" x14ac:dyDescent="0.3">
      <c r="O225" s="288"/>
    </row>
    <row r="226" spans="15:15" x14ac:dyDescent="0.3">
      <c r="O226" s="288"/>
    </row>
    <row r="227" spans="15:15" x14ac:dyDescent="0.3">
      <c r="O227" s="288"/>
    </row>
    <row r="228" spans="15:15" x14ac:dyDescent="0.3">
      <c r="O228" s="288"/>
    </row>
    <row r="229" spans="15:15" x14ac:dyDescent="0.3">
      <c r="O229" s="288"/>
    </row>
    <row r="230" spans="15:15" x14ac:dyDescent="0.3">
      <c r="O230" s="288"/>
    </row>
    <row r="231" spans="15:15" x14ac:dyDescent="0.3">
      <c r="O231" s="288"/>
    </row>
    <row r="232" spans="15:15" x14ac:dyDescent="0.3">
      <c r="O232" s="288"/>
    </row>
    <row r="233" spans="15:15" x14ac:dyDescent="0.3">
      <c r="O233" s="288"/>
    </row>
    <row r="234" spans="15:15" x14ac:dyDescent="0.3">
      <c r="O234" s="288"/>
    </row>
    <row r="235" spans="15:15" x14ac:dyDescent="0.3">
      <c r="O235" s="288"/>
    </row>
    <row r="236" spans="15:15" x14ac:dyDescent="0.3">
      <c r="O236" s="288"/>
    </row>
    <row r="237" spans="15:15" x14ac:dyDescent="0.3">
      <c r="O237" s="288"/>
    </row>
    <row r="238" spans="15:15" x14ac:dyDescent="0.3">
      <c r="O238" s="288"/>
    </row>
    <row r="239" spans="15:15" x14ac:dyDescent="0.3">
      <c r="O239" s="288"/>
    </row>
    <row r="240" spans="15:15" x14ac:dyDescent="0.3">
      <c r="O240" s="288"/>
    </row>
    <row r="241" spans="15:15" x14ac:dyDescent="0.3">
      <c r="O241" s="288"/>
    </row>
    <row r="242" spans="15:15" x14ac:dyDescent="0.3">
      <c r="O242" s="288"/>
    </row>
    <row r="243" spans="15:15" x14ac:dyDescent="0.3">
      <c r="O243" s="288"/>
    </row>
    <row r="244" spans="15:15" x14ac:dyDescent="0.3">
      <c r="O244" s="288"/>
    </row>
    <row r="245" spans="15:15" x14ac:dyDescent="0.3">
      <c r="O245" s="288"/>
    </row>
    <row r="246" spans="15:15" x14ac:dyDescent="0.3">
      <c r="O246" s="288"/>
    </row>
    <row r="247" spans="15:15" x14ac:dyDescent="0.3">
      <c r="O247" s="288"/>
    </row>
    <row r="248" spans="15:15" x14ac:dyDescent="0.3">
      <c r="O248" s="288"/>
    </row>
    <row r="249" spans="15:15" x14ac:dyDescent="0.3">
      <c r="O249" s="288"/>
    </row>
    <row r="250" spans="15:15" x14ac:dyDescent="0.3">
      <c r="O250" s="288"/>
    </row>
    <row r="251" spans="15:15" x14ac:dyDescent="0.3">
      <c r="O251" s="288"/>
    </row>
    <row r="252" spans="15:15" x14ac:dyDescent="0.3">
      <c r="O252" s="288"/>
    </row>
    <row r="253" spans="15:15" x14ac:dyDescent="0.3">
      <c r="O253" s="288"/>
    </row>
    <row r="254" spans="15:15" x14ac:dyDescent="0.3">
      <c r="O254" s="288"/>
    </row>
    <row r="255" spans="15:15" x14ac:dyDescent="0.3">
      <c r="O255" s="288"/>
    </row>
    <row r="256" spans="15:15" x14ac:dyDescent="0.3">
      <c r="O256" s="288"/>
    </row>
    <row r="257" spans="15:15" x14ac:dyDescent="0.3">
      <c r="O257" s="288"/>
    </row>
    <row r="258" spans="15:15" x14ac:dyDescent="0.3">
      <c r="O258" s="288"/>
    </row>
    <row r="259" spans="15:15" x14ac:dyDescent="0.3">
      <c r="O259" s="288"/>
    </row>
    <row r="260" spans="15:15" x14ac:dyDescent="0.3">
      <c r="O260" s="288"/>
    </row>
    <row r="261" spans="15:15" x14ac:dyDescent="0.3">
      <c r="O261" s="288"/>
    </row>
    <row r="262" spans="15:15" x14ac:dyDescent="0.3">
      <c r="O262" s="288"/>
    </row>
    <row r="263" spans="15:15" x14ac:dyDescent="0.3">
      <c r="O263" s="288"/>
    </row>
    <row r="264" spans="15:15" x14ac:dyDescent="0.3">
      <c r="O264" s="288"/>
    </row>
    <row r="265" spans="15:15" x14ac:dyDescent="0.3">
      <c r="O265" s="288"/>
    </row>
    <row r="266" spans="15:15" x14ac:dyDescent="0.3">
      <c r="O266" s="288"/>
    </row>
    <row r="267" spans="15:15" x14ac:dyDescent="0.3">
      <c r="O267" s="288"/>
    </row>
    <row r="268" spans="15:15" x14ac:dyDescent="0.3">
      <c r="O268" s="288"/>
    </row>
    <row r="269" spans="15:15" x14ac:dyDescent="0.3">
      <c r="O269" s="288"/>
    </row>
    <row r="270" spans="15:15" x14ac:dyDescent="0.3">
      <c r="O270" s="288"/>
    </row>
    <row r="271" spans="15:15" x14ac:dyDescent="0.3">
      <c r="O271" s="288"/>
    </row>
    <row r="272" spans="15:15" x14ac:dyDescent="0.3">
      <c r="O272" s="288"/>
    </row>
    <row r="273" spans="15:15" x14ac:dyDescent="0.3">
      <c r="O273" s="288"/>
    </row>
    <row r="274" spans="15:15" x14ac:dyDescent="0.3">
      <c r="O274" s="288"/>
    </row>
    <row r="275" spans="15:15" x14ac:dyDescent="0.3">
      <c r="O275" s="288"/>
    </row>
    <row r="276" spans="15:15" x14ac:dyDescent="0.3">
      <c r="O276" s="288"/>
    </row>
    <row r="277" spans="15:15" x14ac:dyDescent="0.3">
      <c r="O277" s="288"/>
    </row>
    <row r="278" spans="15:15" x14ac:dyDescent="0.3">
      <c r="O278" s="288"/>
    </row>
    <row r="279" spans="15:15" x14ac:dyDescent="0.3">
      <c r="O279" s="288"/>
    </row>
    <row r="280" spans="15:15" x14ac:dyDescent="0.3">
      <c r="O280" s="288"/>
    </row>
    <row r="281" spans="15:15" x14ac:dyDescent="0.3">
      <c r="O281" s="288"/>
    </row>
    <row r="282" spans="15:15" x14ac:dyDescent="0.3">
      <c r="O282" s="288"/>
    </row>
    <row r="283" spans="15:15" x14ac:dyDescent="0.3">
      <c r="O283" s="288"/>
    </row>
    <row r="284" spans="15:15" x14ac:dyDescent="0.3">
      <c r="O284" s="288"/>
    </row>
    <row r="285" spans="15:15" x14ac:dyDescent="0.3">
      <c r="O285" s="288"/>
    </row>
    <row r="286" spans="15:15" x14ac:dyDescent="0.3">
      <c r="O286" s="288"/>
    </row>
    <row r="287" spans="15:15" x14ac:dyDescent="0.3">
      <c r="O287" s="288"/>
    </row>
    <row r="288" spans="15:15" x14ac:dyDescent="0.3">
      <c r="O288" s="288"/>
    </row>
    <row r="289" spans="15:15" x14ac:dyDescent="0.3">
      <c r="O289" s="288"/>
    </row>
    <row r="290" spans="15:15" x14ac:dyDescent="0.3">
      <c r="O290" s="288"/>
    </row>
    <row r="291" spans="15:15" x14ac:dyDescent="0.3">
      <c r="O291" s="288"/>
    </row>
    <row r="292" spans="15:15" x14ac:dyDescent="0.3">
      <c r="O292" s="288"/>
    </row>
    <row r="293" spans="15:15" x14ac:dyDescent="0.3">
      <c r="O293" s="288"/>
    </row>
    <row r="294" spans="15:15" x14ac:dyDescent="0.3">
      <c r="O294" s="288"/>
    </row>
    <row r="295" spans="15:15" x14ac:dyDescent="0.3">
      <c r="O295" s="288"/>
    </row>
    <row r="296" spans="15:15" x14ac:dyDescent="0.3">
      <c r="O296" s="288"/>
    </row>
    <row r="297" spans="15:15" x14ac:dyDescent="0.3">
      <c r="O297" s="288"/>
    </row>
    <row r="298" spans="15:15" x14ac:dyDescent="0.3">
      <c r="O298" s="288"/>
    </row>
    <row r="299" spans="15:15" x14ac:dyDescent="0.3">
      <c r="O299" s="288"/>
    </row>
    <row r="300" spans="15:15" x14ac:dyDescent="0.3">
      <c r="O300" s="288"/>
    </row>
    <row r="301" spans="15:15" x14ac:dyDescent="0.3">
      <c r="O301" s="288"/>
    </row>
    <row r="302" spans="15:15" x14ac:dyDescent="0.3">
      <c r="O302" s="288"/>
    </row>
    <row r="303" spans="15:15" x14ac:dyDescent="0.3">
      <c r="O303" s="288"/>
    </row>
    <row r="304" spans="15:15" x14ac:dyDescent="0.3">
      <c r="O304" s="288"/>
    </row>
    <row r="305" spans="15:15" x14ac:dyDescent="0.3">
      <c r="O305" s="288"/>
    </row>
    <row r="306" spans="15:15" x14ac:dyDescent="0.3">
      <c r="O306" s="288"/>
    </row>
    <row r="307" spans="15:15" x14ac:dyDescent="0.3">
      <c r="O307" s="288"/>
    </row>
    <row r="308" spans="15:15" x14ac:dyDescent="0.3">
      <c r="O308" s="288"/>
    </row>
    <row r="309" spans="15:15" x14ac:dyDescent="0.3">
      <c r="O309" s="288"/>
    </row>
    <row r="310" spans="15:15" x14ac:dyDescent="0.3">
      <c r="O310" s="288"/>
    </row>
    <row r="311" spans="15:15" x14ac:dyDescent="0.3">
      <c r="O311" s="288"/>
    </row>
    <row r="312" spans="15:15" x14ac:dyDescent="0.3">
      <c r="O312" s="288"/>
    </row>
    <row r="313" spans="15:15" x14ac:dyDescent="0.3">
      <c r="O313" s="288"/>
    </row>
    <row r="314" spans="15:15" x14ac:dyDescent="0.3">
      <c r="O314" s="288"/>
    </row>
    <row r="315" spans="15:15" x14ac:dyDescent="0.3">
      <c r="O315" s="288"/>
    </row>
    <row r="316" spans="15:15" x14ac:dyDescent="0.3">
      <c r="O316" s="288"/>
    </row>
    <row r="317" spans="15:15" x14ac:dyDescent="0.3">
      <c r="O317" s="288"/>
    </row>
    <row r="318" spans="15:15" x14ac:dyDescent="0.3">
      <c r="O318" s="288"/>
    </row>
    <row r="319" spans="15:15" x14ac:dyDescent="0.3">
      <c r="O319" s="288"/>
    </row>
    <row r="320" spans="15:15" x14ac:dyDescent="0.3">
      <c r="O320" s="288"/>
    </row>
    <row r="321" spans="15:15" x14ac:dyDescent="0.3">
      <c r="O321" s="288"/>
    </row>
    <row r="322" spans="15:15" x14ac:dyDescent="0.3">
      <c r="O322" s="288"/>
    </row>
    <row r="323" spans="15:15" x14ac:dyDescent="0.3">
      <c r="O323" s="288"/>
    </row>
    <row r="324" spans="15:15" x14ac:dyDescent="0.3">
      <c r="O324" s="288"/>
    </row>
    <row r="325" spans="15:15" x14ac:dyDescent="0.3">
      <c r="O325" s="288"/>
    </row>
    <row r="326" spans="15:15" x14ac:dyDescent="0.3">
      <c r="O326" s="288"/>
    </row>
    <row r="327" spans="15:15" x14ac:dyDescent="0.3">
      <c r="O327" s="288"/>
    </row>
    <row r="328" spans="15:15" x14ac:dyDescent="0.3">
      <c r="O328" s="288"/>
    </row>
    <row r="329" spans="15:15" x14ac:dyDescent="0.3">
      <c r="O329" s="288"/>
    </row>
    <row r="330" spans="15:15" x14ac:dyDescent="0.3">
      <c r="O330" s="288"/>
    </row>
    <row r="331" spans="15:15" x14ac:dyDescent="0.3">
      <c r="O331" s="288"/>
    </row>
    <row r="332" spans="15:15" x14ac:dyDescent="0.3">
      <c r="O332" s="288"/>
    </row>
    <row r="333" spans="15:15" x14ac:dyDescent="0.3">
      <c r="O333" s="288"/>
    </row>
    <row r="334" spans="15:15" x14ac:dyDescent="0.3">
      <c r="O334" s="288"/>
    </row>
    <row r="335" spans="15:15" x14ac:dyDescent="0.3">
      <c r="O335" s="288"/>
    </row>
    <row r="336" spans="15:15" x14ac:dyDescent="0.3">
      <c r="O336" s="288"/>
    </row>
    <row r="337" spans="15:15" x14ac:dyDescent="0.3">
      <c r="O337" s="288"/>
    </row>
    <row r="338" spans="15:15" x14ac:dyDescent="0.3">
      <c r="O338" s="288"/>
    </row>
    <row r="339" spans="15:15" x14ac:dyDescent="0.3">
      <c r="O339" s="288"/>
    </row>
    <row r="340" spans="15:15" x14ac:dyDescent="0.3">
      <c r="O340" s="288"/>
    </row>
    <row r="341" spans="15:15" x14ac:dyDescent="0.3">
      <c r="O341" s="288"/>
    </row>
    <row r="342" spans="15:15" x14ac:dyDescent="0.3">
      <c r="O342" s="288"/>
    </row>
    <row r="343" spans="15:15" x14ac:dyDescent="0.3">
      <c r="O343" s="288"/>
    </row>
    <row r="344" spans="15:15" x14ac:dyDescent="0.3">
      <c r="O344" s="288"/>
    </row>
    <row r="345" spans="15:15" x14ac:dyDescent="0.3">
      <c r="O345" s="288"/>
    </row>
    <row r="346" spans="15:15" x14ac:dyDescent="0.3">
      <c r="O346" s="288"/>
    </row>
    <row r="347" spans="15:15" x14ac:dyDescent="0.3">
      <c r="O347" s="288"/>
    </row>
    <row r="348" spans="15:15" x14ac:dyDescent="0.3">
      <c r="O348" s="288"/>
    </row>
    <row r="349" spans="15:15" x14ac:dyDescent="0.3">
      <c r="O349" s="288"/>
    </row>
    <row r="350" spans="15:15" x14ac:dyDescent="0.3">
      <c r="O350" s="288"/>
    </row>
    <row r="351" spans="15:15" x14ac:dyDescent="0.3">
      <c r="O351" s="288"/>
    </row>
    <row r="352" spans="15:15" x14ac:dyDescent="0.3">
      <c r="O352" s="288"/>
    </row>
    <row r="353" spans="15:15" x14ac:dyDescent="0.3">
      <c r="O353" s="288"/>
    </row>
    <row r="354" spans="15:15" x14ac:dyDescent="0.3">
      <c r="O354" s="288"/>
    </row>
    <row r="355" spans="15:15" x14ac:dyDescent="0.3">
      <c r="O355" s="288"/>
    </row>
    <row r="356" spans="15:15" x14ac:dyDescent="0.3">
      <c r="O356" s="288"/>
    </row>
    <row r="357" spans="15:15" x14ac:dyDescent="0.3">
      <c r="O357" s="288"/>
    </row>
    <row r="358" spans="15:15" x14ac:dyDescent="0.3">
      <c r="O358" s="288"/>
    </row>
    <row r="359" spans="15:15" x14ac:dyDescent="0.3">
      <c r="O359" s="288"/>
    </row>
    <row r="360" spans="15:15" x14ac:dyDescent="0.3">
      <c r="O360" s="288"/>
    </row>
    <row r="361" spans="15:15" x14ac:dyDescent="0.3">
      <c r="O361" s="288"/>
    </row>
    <row r="366" spans="15:15" x14ac:dyDescent="0.3">
      <c r="O366" s="288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_Mes_Empresas">
    <tabColor rgb="FF00B0F0"/>
    <pageSetUpPr fitToPage="1"/>
  </sheetPr>
  <dimension ref="A1:AD109"/>
  <sheetViews>
    <sheetView showGridLines="0" topLeftCell="T1" zoomScale="90" zoomScaleNormal="90" workbookViewId="0">
      <selection activeCell="AD6" sqref="AD6"/>
    </sheetView>
  </sheetViews>
  <sheetFormatPr baseColWidth="10" defaultColWidth="9.1796875" defaultRowHeight="12.5" x14ac:dyDescent="0.25"/>
  <cols>
    <col min="1" max="1" width="11.7265625" style="63" bestFit="1" customWidth="1"/>
    <col min="2" max="2" width="36.54296875" style="37" bestFit="1" customWidth="1"/>
    <col min="3" max="3" width="8.26953125" style="37" customWidth="1"/>
    <col min="4" max="4" width="9.1796875" style="38" bestFit="1" customWidth="1"/>
    <col min="5" max="5" width="8.26953125" style="37" customWidth="1"/>
    <col min="6" max="6" width="9.1796875" style="38" bestFit="1" customWidth="1"/>
    <col min="7" max="7" width="8.26953125" style="37" customWidth="1"/>
    <col min="8" max="8" width="9.1796875" style="38" bestFit="1" customWidth="1"/>
    <col min="9" max="9" width="8.26953125" style="37" customWidth="1"/>
    <col min="10" max="10" width="9.1796875" style="38" customWidth="1"/>
    <col min="11" max="11" width="8.26953125" style="37" customWidth="1"/>
    <col min="12" max="12" width="9.1796875" style="38" customWidth="1"/>
    <col min="13" max="13" width="8.26953125" style="37" customWidth="1"/>
    <col min="14" max="14" width="9.1796875" style="38" customWidth="1"/>
    <col min="15" max="15" width="8.26953125" style="37" customWidth="1"/>
    <col min="16" max="16" width="9.1796875" style="38" customWidth="1"/>
    <col min="17" max="17" width="8.26953125" style="37" customWidth="1"/>
    <col min="18" max="18" width="9.1796875" style="38" customWidth="1"/>
    <col min="19" max="19" width="8.26953125" style="37" customWidth="1"/>
    <col min="20" max="20" width="9.1796875" style="38" customWidth="1"/>
    <col min="21" max="21" width="8.26953125" style="37" customWidth="1"/>
    <col min="22" max="22" width="9.1796875" style="38" customWidth="1"/>
    <col min="23" max="23" width="8.26953125" style="37" customWidth="1"/>
    <col min="24" max="24" width="9.1796875" style="38" customWidth="1"/>
    <col min="25" max="25" width="8.26953125" style="37" customWidth="1"/>
    <col min="26" max="26" width="9.1796875" style="38" customWidth="1"/>
    <col min="27" max="27" width="8.26953125" style="37" customWidth="1"/>
    <col min="28" max="28" width="9.1796875" style="38" customWidth="1"/>
  </cols>
  <sheetData>
    <row r="1" spans="1:30" x14ac:dyDescent="0.25">
      <c r="B1"/>
    </row>
    <row r="2" spans="1:30" ht="18" x14ac:dyDescent="0.4">
      <c r="B2" s="348" t="str">
        <f>"Estado de Resultados Mes por Mes "&amp;YEAR(MES_CIERRE)</f>
        <v>Estado de Resultados Mes por Mes 2019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30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1:30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7" spans="1:30" ht="13" x14ac:dyDescent="0.3">
      <c r="AD7" s="196" t="s">
        <v>443</v>
      </c>
    </row>
    <row r="8" spans="1:30" ht="13" x14ac:dyDescent="0.3">
      <c r="AD8" s="196" t="s">
        <v>444</v>
      </c>
    </row>
    <row r="9" spans="1:30" ht="13" x14ac:dyDescent="0.3">
      <c r="AD9" s="196" t="s">
        <v>445</v>
      </c>
    </row>
    <row r="10" spans="1:30" ht="13" x14ac:dyDescent="0.3">
      <c r="B10" s="193" t="s">
        <v>249</v>
      </c>
      <c r="C10" s="39" t="s">
        <v>171</v>
      </c>
      <c r="E10" s="39" t="s">
        <v>172</v>
      </c>
      <c r="G10" s="39" t="s">
        <v>173</v>
      </c>
      <c r="I10" s="39" t="s">
        <v>174</v>
      </c>
      <c r="K10" s="39" t="str">
        <f>+K36</f>
        <v>Mayo</v>
      </c>
      <c r="M10" s="39" t="str">
        <f>+M36</f>
        <v>Junio</v>
      </c>
      <c r="O10" s="39" t="str">
        <f>+O36</f>
        <v>Julio</v>
      </c>
      <c r="Q10" s="39" t="str">
        <f>+Q36</f>
        <v>Agosto</v>
      </c>
      <c r="S10" s="39" t="str">
        <f>+S36</f>
        <v>Septiembre</v>
      </c>
      <c r="U10" s="39" t="str">
        <f>+U36</f>
        <v>Octubre</v>
      </c>
      <c r="W10" s="39" t="str">
        <f>+W36</f>
        <v>Noviembre</v>
      </c>
      <c r="Y10" s="39" t="str">
        <f>+Y36</f>
        <v>Diciembre</v>
      </c>
      <c r="AA10" s="39" t="str">
        <f>+"Acum "&amp;YEAR(MES_CIERRE)</f>
        <v>Acum 2019</v>
      </c>
      <c r="AD10" s="354">
        <f>ROUND(SUM(AD11:AD32),0)</f>
        <v>-30585</v>
      </c>
    </row>
    <row r="11" spans="1:30" ht="13" x14ac:dyDescent="0.3">
      <c r="A11" s="122"/>
      <c r="B11" s="41" t="s">
        <v>17</v>
      </c>
      <c r="C11" s="42">
        <f>+C37+C63</f>
        <v>5487.0693500000007</v>
      </c>
      <c r="D11" s="53">
        <f>IF(C$11=0,"N.D.",C11/C$11)</f>
        <v>1</v>
      </c>
      <c r="E11" s="42">
        <f>+E37+E63</f>
        <v>9662.0803799999994</v>
      </c>
      <c r="F11" s="53">
        <f>IF(E$11=0,"N.D.",E11/E$11)</f>
        <v>1</v>
      </c>
      <c r="G11" s="42">
        <f>+G37+G63</f>
        <v>3252.37907</v>
      </c>
      <c r="H11" s="53">
        <f>IF(G$11=0,"N.D.",G11/G$11)</f>
        <v>1</v>
      </c>
      <c r="I11" s="42">
        <f>+I37+I63</f>
        <v>1148.1857399999999</v>
      </c>
      <c r="J11" s="53">
        <f>IF(I$11=0,"N.D.",I11/I$11)</f>
        <v>1</v>
      </c>
      <c r="K11" s="42">
        <f>+K37+K63</f>
        <v>1148.1857399999999</v>
      </c>
      <c r="L11" s="53">
        <f>IF(K$11=0,"N.D.",K11/K$11)</f>
        <v>1</v>
      </c>
      <c r="M11" s="42">
        <f>+M37+M63</f>
        <v>2463.6825199999998</v>
      </c>
      <c r="N11" s="53">
        <f>IF(M$11=0,"N.D.",M11/M$11)</f>
        <v>1</v>
      </c>
      <c r="O11" s="42">
        <f>+O37+O63</f>
        <v>0</v>
      </c>
      <c r="P11" s="53" t="str">
        <f>IF(O$11=0,"N.D.",O11/O$11)</f>
        <v>N.D.</v>
      </c>
      <c r="Q11" s="42">
        <f>+Q37+Q63</f>
        <v>0</v>
      </c>
      <c r="R11" s="53" t="str">
        <f>IF(Q$11=0,"N.D.",Q11/Q$11)</f>
        <v>N.D.</v>
      </c>
      <c r="S11" s="42">
        <f>+S37+S63</f>
        <v>0</v>
      </c>
      <c r="T11" s="53" t="str">
        <f>IF(S$11=0,"N.D.",S11/S$11)</f>
        <v>N.D.</v>
      </c>
      <c r="U11" s="42">
        <f>+U37+U63</f>
        <v>0</v>
      </c>
      <c r="V11" s="53" t="str">
        <f>IF(U$11=0,"N.D.",U11/U$11)</f>
        <v>N.D.</v>
      </c>
      <c r="W11" s="42">
        <f>+W37+W63</f>
        <v>0</v>
      </c>
      <c r="X11" s="53" t="str">
        <f>IF(W$11=0,"N.D.",W11/W$11)</f>
        <v>N.D.</v>
      </c>
      <c r="Y11" s="42">
        <f>+Y37+Y63</f>
        <v>0</v>
      </c>
      <c r="Z11" s="53" t="str">
        <f>IF(Y$11=0,"N.D.",Y11/Y$11)</f>
        <v>N.D.</v>
      </c>
      <c r="AA11" s="42">
        <f>+Y11+W11+U11+S11+Q11+O11+M11+K11+I11+G11+E11+C11</f>
        <v>23161.5828</v>
      </c>
      <c r="AB11" s="53">
        <f>IF(AA$11=0,"N.D.",AA11/AA$11)</f>
        <v>1</v>
      </c>
      <c r="AD11" s="350">
        <f>+AA11-ER!S33</f>
        <v>-7968.9183899999989</v>
      </c>
    </row>
    <row r="12" spans="1:30" x14ac:dyDescent="0.25">
      <c r="B12" s="41" t="s">
        <v>18</v>
      </c>
      <c r="C12" s="45">
        <f t="shared" ref="C12:E13" si="0">+C38+C64</f>
        <v>2853.0000799999998</v>
      </c>
      <c r="D12" s="59">
        <f>IF(C$11=0,"N.D.",C12/C$11)</f>
        <v>0.51994970320540956</v>
      </c>
      <c r="E12" s="45">
        <f t="shared" si="0"/>
        <v>5438.4537499999997</v>
      </c>
      <c r="F12" s="59">
        <f>IF(E$11=0,"N.D.",E12/E$11)</f>
        <v>0.56286571174229871</v>
      </c>
      <c r="G12" s="45">
        <f t="shared" ref="G12" si="1">+G38+G64</f>
        <v>1831.0599400000001</v>
      </c>
      <c r="H12" s="59">
        <f>IF(G$11=0,"N.D.",G12/G$11)</f>
        <v>0.56299093696971803</v>
      </c>
      <c r="I12" s="45">
        <f t="shared" ref="I12" si="2">+I38+I64</f>
        <v>882.61191000000008</v>
      </c>
      <c r="J12" s="59">
        <f>IF(I$11=0,"N.D.",I12/I$11)</f>
        <v>0.76870133398451734</v>
      </c>
      <c r="K12" s="45">
        <f t="shared" ref="K12" si="3">+K38+K64</f>
        <v>882.61191000000008</v>
      </c>
      <c r="L12" s="59">
        <f>IF(K$11=0,"N.D.",K12/K$11)</f>
        <v>0.76870133398451734</v>
      </c>
      <c r="M12" s="45">
        <f t="shared" ref="M12" si="4">+M38+M64</f>
        <v>2089.3833399999999</v>
      </c>
      <c r="N12" s="59">
        <f>IF(M$11=0,"N.D.",M12/M$11)</f>
        <v>0.84807328989775843</v>
      </c>
      <c r="O12" s="45">
        <f t="shared" ref="O12" si="5">+O38+O64</f>
        <v>0</v>
      </c>
      <c r="P12" s="59" t="str">
        <f>IF(O$11=0,"N.D.",O12/O$11)</f>
        <v>N.D.</v>
      </c>
      <c r="Q12" s="45">
        <f t="shared" ref="Q12" si="6">+Q38+Q64</f>
        <v>0</v>
      </c>
      <c r="R12" s="59" t="str">
        <f>IF(Q$11=0,"N.D.",Q12/Q$11)</f>
        <v>N.D.</v>
      </c>
      <c r="S12" s="45">
        <f t="shared" ref="S12" si="7">+S38+S64</f>
        <v>0</v>
      </c>
      <c r="T12" s="59" t="str">
        <f>IF(S$11=0,"N.D.",S12/S$11)</f>
        <v>N.D.</v>
      </c>
      <c r="U12" s="45">
        <f t="shared" ref="U12" si="8">+U38+U64</f>
        <v>0</v>
      </c>
      <c r="V12" s="59" t="str">
        <f>IF(U$11=0,"N.D.",U12/U$11)</f>
        <v>N.D.</v>
      </c>
      <c r="W12" s="45">
        <f t="shared" ref="W12" si="9">+W38+W64</f>
        <v>0</v>
      </c>
      <c r="X12" s="59" t="str">
        <f>IF(W$11=0,"N.D.",W12/W$11)</f>
        <v>N.D.</v>
      </c>
      <c r="Y12" s="45">
        <f t="shared" ref="Y12" si="10">+Y38+Y64</f>
        <v>0</v>
      </c>
      <c r="Z12" s="59" t="str">
        <f>IF(Y$11=0,"N.D.",Y12/Y$11)</f>
        <v>N.D.</v>
      </c>
      <c r="AA12" s="45">
        <f t="shared" ref="AA12:AA32" si="11">+Y12+W12+U12+S12+Q12+O12+M12+K12+I12+G12+E12+C12</f>
        <v>13977.120929999999</v>
      </c>
      <c r="AB12" s="59">
        <f>IF(AA$11=0,"N.D.",AA12/AA$11)</f>
        <v>0.60346138908952285</v>
      </c>
      <c r="AD12" s="351">
        <f>+AA12-ER!S34</f>
        <v>-4361.1534200000006</v>
      </c>
    </row>
    <row r="13" spans="1:30" ht="13" x14ac:dyDescent="0.3">
      <c r="B13" s="47" t="s">
        <v>19</v>
      </c>
      <c r="C13" s="48">
        <f t="shared" si="0"/>
        <v>2634.0692700000004</v>
      </c>
      <c r="D13" s="55">
        <f>IF(C$11=0,"N.D.",C13/C$11)</f>
        <v>0.48005029679459038</v>
      </c>
      <c r="E13" s="48">
        <f t="shared" si="0"/>
        <v>4223.6266299999997</v>
      </c>
      <c r="F13" s="55">
        <f>IF(E$11=0,"N.D.",E13/E$11)</f>
        <v>0.43713428825770129</v>
      </c>
      <c r="G13" s="48">
        <f t="shared" ref="G13" si="12">+G39+G65</f>
        <v>1421.3191299999999</v>
      </c>
      <c r="H13" s="55">
        <f>IF(G$11=0,"N.D.",G13/G$11)</f>
        <v>0.43700906303028197</v>
      </c>
      <c r="I13" s="48">
        <f t="shared" ref="I13" si="13">+I39+I65</f>
        <v>265.57383000000004</v>
      </c>
      <c r="J13" s="55">
        <f>IF(I$11=0,"N.D.",I13/I$11)</f>
        <v>0.23129866601548288</v>
      </c>
      <c r="K13" s="48">
        <f t="shared" ref="K13" si="14">+K39+K65</f>
        <v>265.57383000000004</v>
      </c>
      <c r="L13" s="55">
        <f>IF(K$11=0,"N.D.",K13/K$11)</f>
        <v>0.23129866601548288</v>
      </c>
      <c r="M13" s="48">
        <f t="shared" ref="M13" si="15">+M39+M65</f>
        <v>374.29917999999998</v>
      </c>
      <c r="N13" s="55">
        <f>IF(M$11=0,"N.D.",M13/M$11)</f>
        <v>0.1519267101022416</v>
      </c>
      <c r="O13" s="48">
        <f t="shared" ref="O13" si="16">+O39+O65</f>
        <v>0</v>
      </c>
      <c r="P13" s="55" t="str">
        <f>IF(O$11=0,"N.D.",O13/O$11)</f>
        <v>N.D.</v>
      </c>
      <c r="Q13" s="48">
        <f t="shared" ref="Q13" si="17">+Q39+Q65</f>
        <v>0</v>
      </c>
      <c r="R13" s="55" t="str">
        <f>IF(Q$11=0,"N.D.",Q13/Q$11)</f>
        <v>N.D.</v>
      </c>
      <c r="S13" s="48">
        <f t="shared" ref="S13" si="18">+S39+S65</f>
        <v>0</v>
      </c>
      <c r="T13" s="55" t="str">
        <f>IF(S$11=0,"N.D.",S13/S$11)</f>
        <v>N.D.</v>
      </c>
      <c r="U13" s="48">
        <f t="shared" ref="U13" si="19">+U39+U65</f>
        <v>0</v>
      </c>
      <c r="V13" s="55" t="str">
        <f>IF(U$11=0,"N.D.",U13/U$11)</f>
        <v>N.D.</v>
      </c>
      <c r="W13" s="48">
        <f t="shared" ref="W13" si="20">+W39+W65</f>
        <v>0</v>
      </c>
      <c r="X13" s="55" t="str">
        <f>IF(W$11=0,"N.D.",W13/W$11)</f>
        <v>N.D.</v>
      </c>
      <c r="Y13" s="48">
        <f t="shared" ref="Y13" si="21">+Y39+Y65</f>
        <v>0</v>
      </c>
      <c r="Z13" s="55" t="str">
        <f>IF(Y$11=0,"N.D.",Y13/Y$11)</f>
        <v>N.D.</v>
      </c>
      <c r="AA13" s="48">
        <f t="shared" si="11"/>
        <v>9184.4618699999992</v>
      </c>
      <c r="AB13" s="55">
        <f>IF(AA$11=0,"N.D.",AA13/AA$11)</f>
        <v>0.3965386109104771</v>
      </c>
      <c r="AD13" s="352">
        <f>+AA13-ER!S35</f>
        <v>-3607.7649700000002</v>
      </c>
    </row>
    <row r="14" spans="1:30" x14ac:dyDescent="0.25">
      <c r="B14" s="41"/>
      <c r="C14" s="50"/>
      <c r="D14" s="60"/>
      <c r="E14" s="50"/>
      <c r="F14" s="60"/>
      <c r="G14" s="50"/>
      <c r="H14" s="60"/>
      <c r="I14" s="50"/>
      <c r="J14" s="60"/>
      <c r="K14" s="50"/>
      <c r="L14" s="60"/>
      <c r="M14" s="50"/>
      <c r="N14" s="60"/>
      <c r="O14" s="50"/>
      <c r="P14" s="60"/>
      <c r="Q14" s="50"/>
      <c r="R14" s="60"/>
      <c r="S14" s="50"/>
      <c r="T14" s="60"/>
      <c r="U14" s="50"/>
      <c r="V14" s="60"/>
      <c r="W14" s="50"/>
      <c r="X14" s="60"/>
      <c r="Y14" s="50"/>
      <c r="Z14" s="60"/>
      <c r="AA14" s="50"/>
      <c r="AB14" s="60"/>
      <c r="AD14" s="50"/>
    </row>
    <row r="15" spans="1:30" x14ac:dyDescent="0.25">
      <c r="B15" s="41" t="s">
        <v>20</v>
      </c>
      <c r="C15" s="42">
        <f t="shared" ref="C15:E19" si="22">+C41+C67</f>
        <v>230.72676999999999</v>
      </c>
      <c r="D15" s="53">
        <f>IF(C$11=0,"N.D.",C15/C$11)</f>
        <v>4.2049180588541304E-2</v>
      </c>
      <c r="E15" s="42">
        <f t="shared" si="22"/>
        <v>255.65034</v>
      </c>
      <c r="F15" s="53">
        <f>IF(E$11=0,"N.D.",E15/E$11)</f>
        <v>2.6459140262296184E-2</v>
      </c>
      <c r="G15" s="42">
        <f t="shared" ref="G15" si="23">+G41+G67</f>
        <v>134.92626000000001</v>
      </c>
      <c r="H15" s="53">
        <f>IF(G$11=0,"N.D.",G15/G$11)</f>
        <v>4.1485404098360532E-2</v>
      </c>
      <c r="I15" s="42">
        <f t="shared" ref="I15" si="24">+I41+I67</f>
        <v>25.056000000000001</v>
      </c>
      <c r="J15" s="53">
        <f>IF(I$11=0,"N.D.",I15/I$11)</f>
        <v>2.182225325320623E-2</v>
      </c>
      <c r="K15" s="42">
        <f t="shared" ref="K15" si="25">+K41+K67</f>
        <v>25.056000000000001</v>
      </c>
      <c r="L15" s="53">
        <f>IF(K$11=0,"N.D.",K15/K$11)</f>
        <v>2.182225325320623E-2</v>
      </c>
      <c r="M15" s="42">
        <f t="shared" ref="M15" si="26">+M41+M67</f>
        <v>25.056000000000001</v>
      </c>
      <c r="N15" s="53">
        <f>IF(M$11=0,"N.D.",M15/M$11)</f>
        <v>1.0170141565155888E-2</v>
      </c>
      <c r="O15" s="42">
        <f t="shared" ref="O15" si="27">+O41+O67</f>
        <v>0</v>
      </c>
      <c r="P15" s="53" t="str">
        <f>IF(O$11=0,"N.D.",O15/O$11)</f>
        <v>N.D.</v>
      </c>
      <c r="Q15" s="42">
        <f t="shared" ref="Q15" si="28">+Q41+Q67</f>
        <v>0</v>
      </c>
      <c r="R15" s="53" t="str">
        <f>IF(Q$11=0,"N.D.",Q15/Q$11)</f>
        <v>N.D.</v>
      </c>
      <c r="S15" s="42">
        <f t="shared" ref="S15" si="29">+S41+S67</f>
        <v>0</v>
      </c>
      <c r="T15" s="53" t="str">
        <f>IF(S$11=0,"N.D.",S15/S$11)</f>
        <v>N.D.</v>
      </c>
      <c r="U15" s="42">
        <f t="shared" ref="U15" si="30">+U41+U67</f>
        <v>0</v>
      </c>
      <c r="V15" s="53" t="str">
        <f>IF(U$11=0,"N.D.",U15/U$11)</f>
        <v>N.D.</v>
      </c>
      <c r="W15" s="42">
        <f t="shared" ref="W15" si="31">+W41+W67</f>
        <v>0</v>
      </c>
      <c r="X15" s="53" t="str">
        <f>IF(W$11=0,"N.D.",W15/W$11)</f>
        <v>N.D.</v>
      </c>
      <c r="Y15" s="42">
        <f t="shared" ref="Y15" si="32">+Y41+Y67</f>
        <v>0</v>
      </c>
      <c r="Z15" s="53" t="str">
        <f>IF(Y$11=0,"N.D.",Y15/Y$11)</f>
        <v>N.D.</v>
      </c>
      <c r="AA15" s="42">
        <f t="shared" si="11"/>
        <v>696.47136999999998</v>
      </c>
      <c r="AB15" s="53">
        <f>IF(AA$11=0,"N.D.",AA15/AA$11)</f>
        <v>3.0070111184284001E-2</v>
      </c>
      <c r="AD15" s="350">
        <f>+AA15-ER!S37</f>
        <v>-259.30552</v>
      </c>
    </row>
    <row r="16" spans="1:30" x14ac:dyDescent="0.25">
      <c r="B16" s="41" t="s">
        <v>21</v>
      </c>
      <c r="C16" s="45">
        <f t="shared" si="22"/>
        <v>228.78089999999997</v>
      </c>
      <c r="D16" s="54">
        <f>IF(C$11=0,"N.D.",C16/C$11)</f>
        <v>4.1694552302314156E-2</v>
      </c>
      <c r="E16" s="45">
        <f t="shared" si="22"/>
        <v>285.22103000000004</v>
      </c>
      <c r="F16" s="54">
        <f>IF(E$11=0,"N.D.",E16/E$11)</f>
        <v>2.9519629187767123E-2</v>
      </c>
      <c r="G16" s="45">
        <f t="shared" ref="G16" si="33">+G42+G68</f>
        <v>327.52927</v>
      </c>
      <c r="H16" s="54">
        <f>IF(G$11=0,"N.D.",G16/G$11)</f>
        <v>0.10070451904611476</v>
      </c>
      <c r="I16" s="45">
        <f t="shared" ref="I16" si="34">+I42+I68</f>
        <v>375.61684000000002</v>
      </c>
      <c r="J16" s="54">
        <f>IF(I$11=0,"N.D.",I16/I$11)</f>
        <v>0.32713944000036099</v>
      </c>
      <c r="K16" s="45">
        <f t="shared" ref="K16" si="35">+K42+K68</f>
        <v>375.61684000000002</v>
      </c>
      <c r="L16" s="54">
        <f>IF(K$11=0,"N.D.",K16/K$11)</f>
        <v>0.32713944000036099</v>
      </c>
      <c r="M16" s="45">
        <f t="shared" ref="M16" si="36">+M42+M68</f>
        <v>361.09746999999999</v>
      </c>
      <c r="N16" s="54">
        <f>IF(M$11=0,"N.D.",M16/M$11)</f>
        <v>0.14656818281927009</v>
      </c>
      <c r="O16" s="45">
        <f t="shared" ref="O16" si="37">+O42+O68</f>
        <v>0</v>
      </c>
      <c r="P16" s="54" t="str">
        <f>IF(O$11=0,"N.D.",O16/O$11)</f>
        <v>N.D.</v>
      </c>
      <c r="Q16" s="45">
        <f t="shared" ref="Q16" si="38">+Q42+Q68</f>
        <v>0</v>
      </c>
      <c r="R16" s="54" t="str">
        <f>IF(Q$11=0,"N.D.",Q16/Q$11)</f>
        <v>N.D.</v>
      </c>
      <c r="S16" s="45">
        <f t="shared" ref="S16" si="39">+S42+S68</f>
        <v>0</v>
      </c>
      <c r="T16" s="54" t="str">
        <f>IF(S$11=0,"N.D.",S16/S$11)</f>
        <v>N.D.</v>
      </c>
      <c r="U16" s="45">
        <f t="shared" ref="U16" si="40">+U42+U68</f>
        <v>0</v>
      </c>
      <c r="V16" s="54" t="str">
        <f>IF(U$11=0,"N.D.",U16/U$11)</f>
        <v>N.D.</v>
      </c>
      <c r="W16" s="45">
        <f t="shared" ref="W16" si="41">+W42+W68</f>
        <v>0</v>
      </c>
      <c r="X16" s="54" t="str">
        <f>IF(W$11=0,"N.D.",W16/W$11)</f>
        <v>N.D.</v>
      </c>
      <c r="Y16" s="45">
        <f t="shared" ref="Y16" si="42">+Y42+Y68</f>
        <v>0</v>
      </c>
      <c r="Z16" s="54" t="str">
        <f>IF(Y$11=0,"N.D.",Y16/Y$11)</f>
        <v>N.D.</v>
      </c>
      <c r="AA16" s="45">
        <f t="shared" si="11"/>
        <v>1953.8623500000001</v>
      </c>
      <c r="AB16" s="54">
        <f>IF(AA$11=0,"N.D.",AA16/AA$11)</f>
        <v>8.4357894141845954E-2</v>
      </c>
      <c r="AD16" s="351">
        <f>+AA16-ER!S38</f>
        <v>-111.93012000000022</v>
      </c>
    </row>
    <row r="17" spans="2:30" x14ac:dyDescent="0.25">
      <c r="B17" s="41" t="s">
        <v>22</v>
      </c>
      <c r="C17" s="52">
        <f t="shared" si="22"/>
        <v>25.242139999999999</v>
      </c>
      <c r="D17" s="59">
        <f>IF(C$11=0,"N.D.",C17/C$11)</f>
        <v>4.60029541999501E-3</v>
      </c>
      <c r="E17" s="52">
        <f t="shared" si="22"/>
        <v>25.242139999999999</v>
      </c>
      <c r="F17" s="59">
        <f>IF(E$11=0,"N.D.",E17/E$11)</f>
        <v>2.6124953433682777E-3</v>
      </c>
      <c r="G17" s="52">
        <f t="shared" ref="G17" si="43">+G43+G69</f>
        <v>25.242139999999999</v>
      </c>
      <c r="H17" s="59">
        <f>IF(G$11=0,"N.D.",G17/G$11)</f>
        <v>7.7611309926428713E-3</v>
      </c>
      <c r="I17" s="52">
        <f t="shared" ref="I17" si="44">+I43+I69</f>
        <v>32.113840000000003</v>
      </c>
      <c r="J17" s="59">
        <f>IF(I$11=0,"N.D.",I17/I$11)</f>
        <v>2.7969202961883158E-2</v>
      </c>
      <c r="K17" s="52">
        <f t="shared" ref="K17" si="45">+K43+K69</f>
        <v>32.113840000000003</v>
      </c>
      <c r="L17" s="59">
        <f>IF(K$11=0,"N.D.",K17/K$11)</f>
        <v>2.7969202961883158E-2</v>
      </c>
      <c r="M17" s="52">
        <f t="shared" ref="M17" si="46">+M43+M69</f>
        <v>31.48987</v>
      </c>
      <c r="N17" s="59">
        <f>IF(M$11=0,"N.D.",M17/M$11)</f>
        <v>1.2781626587178936E-2</v>
      </c>
      <c r="O17" s="52">
        <f t="shared" ref="O17" si="47">+O43+O69</f>
        <v>0</v>
      </c>
      <c r="P17" s="59" t="str">
        <f>IF(O$11=0,"N.D.",O17/O$11)</f>
        <v>N.D.</v>
      </c>
      <c r="Q17" s="52">
        <f t="shared" ref="Q17" si="48">+Q43+Q69</f>
        <v>0</v>
      </c>
      <c r="R17" s="59" t="str">
        <f>IF(Q$11=0,"N.D.",Q17/Q$11)</f>
        <v>N.D.</v>
      </c>
      <c r="S17" s="52">
        <f t="shared" ref="S17" si="49">+S43+S69</f>
        <v>0</v>
      </c>
      <c r="T17" s="59" t="str">
        <f>IF(S$11=0,"N.D.",S17/S$11)</f>
        <v>N.D.</v>
      </c>
      <c r="U17" s="52">
        <f t="shared" ref="U17" si="50">+U43+U69</f>
        <v>0</v>
      </c>
      <c r="V17" s="59" t="str">
        <f>IF(U$11=0,"N.D.",U17/U$11)</f>
        <v>N.D.</v>
      </c>
      <c r="W17" s="52">
        <f t="shared" ref="W17" si="51">+W43+W69</f>
        <v>0</v>
      </c>
      <c r="X17" s="59" t="str">
        <f>IF(W$11=0,"N.D.",W17/W$11)</f>
        <v>N.D.</v>
      </c>
      <c r="Y17" s="52">
        <f t="shared" ref="Y17" si="52">+Y43+Y69</f>
        <v>0</v>
      </c>
      <c r="Z17" s="59" t="str">
        <f>IF(Y$11=0,"N.D.",Y17/Y$11)</f>
        <v>N.D.</v>
      </c>
      <c r="AA17" s="52">
        <f t="shared" si="11"/>
        <v>171.44397000000004</v>
      </c>
      <c r="AB17" s="59">
        <f>IF(AA$11=0,"N.D.",AA17/AA$11)</f>
        <v>7.4020835052775423E-3</v>
      </c>
      <c r="AD17" s="353">
        <f>+AA17-ER!S39</f>
        <v>-11.06466999999995</v>
      </c>
    </row>
    <row r="18" spans="2:30" ht="13" x14ac:dyDescent="0.3">
      <c r="B18" s="47" t="s">
        <v>23</v>
      </c>
      <c r="C18" s="48">
        <f t="shared" si="22"/>
        <v>484.74980999999997</v>
      </c>
      <c r="D18" s="55">
        <f>IF(C$11=0,"N.D.",C18/C$11)</f>
        <v>8.8344028310850475E-2</v>
      </c>
      <c r="E18" s="48">
        <f t="shared" si="22"/>
        <v>566.11351000000002</v>
      </c>
      <c r="F18" s="55">
        <f>IF(E$11=0,"N.D.",E18/E$11)</f>
        <v>5.8591264793431581E-2</v>
      </c>
      <c r="G18" s="48">
        <f t="shared" ref="G18" si="53">+G44+G70</f>
        <v>487.69767000000002</v>
      </c>
      <c r="H18" s="55">
        <f>IF(G$11=0,"N.D.",G18/G$11)</f>
        <v>0.14995105413711815</v>
      </c>
      <c r="I18" s="48">
        <f t="shared" ref="I18" si="54">+I44+I70</f>
        <v>432.78667999999999</v>
      </c>
      <c r="J18" s="55">
        <f>IF(I$11=0,"N.D.",I18/I$11)</f>
        <v>0.37693089621545034</v>
      </c>
      <c r="K18" s="48">
        <f t="shared" ref="K18" si="55">+K44+K70</f>
        <v>432.78667999999999</v>
      </c>
      <c r="L18" s="55">
        <f>IF(K$11=0,"N.D.",K18/K$11)</f>
        <v>0.37693089621545034</v>
      </c>
      <c r="M18" s="48">
        <f t="shared" ref="M18" si="56">+M44+M70</f>
        <v>417.64333999999997</v>
      </c>
      <c r="N18" s="55">
        <f>IF(M$11=0,"N.D.",M18/M$11)</f>
        <v>0.16951995097160488</v>
      </c>
      <c r="O18" s="48">
        <f t="shared" ref="O18" si="57">+O44+O70</f>
        <v>0</v>
      </c>
      <c r="P18" s="55" t="str">
        <f>IF(O$11=0,"N.D.",O18/O$11)</f>
        <v>N.D.</v>
      </c>
      <c r="Q18" s="48">
        <f t="shared" ref="Q18" si="58">+Q44+Q70</f>
        <v>0</v>
      </c>
      <c r="R18" s="55" t="str">
        <f>IF(Q$11=0,"N.D.",Q18/Q$11)</f>
        <v>N.D.</v>
      </c>
      <c r="S18" s="48">
        <f t="shared" ref="S18" si="59">+S44+S70</f>
        <v>0</v>
      </c>
      <c r="T18" s="55" t="str">
        <f>IF(S$11=0,"N.D.",S18/S$11)</f>
        <v>N.D.</v>
      </c>
      <c r="U18" s="48">
        <f t="shared" ref="U18" si="60">+U44+U70</f>
        <v>0</v>
      </c>
      <c r="V18" s="55" t="str">
        <f>IF(U$11=0,"N.D.",U18/U$11)</f>
        <v>N.D.</v>
      </c>
      <c r="W18" s="48">
        <f t="shared" ref="W18" si="61">+W44+W70</f>
        <v>0</v>
      </c>
      <c r="X18" s="55" t="str">
        <f>IF(W$11=0,"N.D.",W18/W$11)</f>
        <v>N.D.</v>
      </c>
      <c r="Y18" s="48">
        <f t="shared" ref="Y18" si="62">+Y44+Y70</f>
        <v>0</v>
      </c>
      <c r="Z18" s="55" t="str">
        <f>IF(Y$11=0,"N.D.",Y18/Y$11)</f>
        <v>N.D.</v>
      </c>
      <c r="AA18" s="48">
        <f t="shared" si="11"/>
        <v>2821.7776899999999</v>
      </c>
      <c r="AB18" s="55">
        <f>IF(AA$11=0,"N.D.",AA18/AA$11)</f>
        <v>0.12183008883140749</v>
      </c>
      <c r="AD18" s="352">
        <f>+AA18-ER!S40</f>
        <v>-382.30030999999963</v>
      </c>
    </row>
    <row r="19" spans="2:30" ht="13" x14ac:dyDescent="0.3">
      <c r="B19" s="47" t="s">
        <v>24</v>
      </c>
      <c r="C19" s="48">
        <f t="shared" si="22"/>
        <v>2149.3194600000002</v>
      </c>
      <c r="D19" s="55">
        <f>IF(C$11=0,"N.D.",C19/C$11)</f>
        <v>0.39170626848373985</v>
      </c>
      <c r="E19" s="48">
        <f t="shared" si="22"/>
        <v>3657.5131199999996</v>
      </c>
      <c r="F19" s="55">
        <f>IF(E$11=0,"N.D.",E19/E$11)</f>
        <v>0.37854302346426971</v>
      </c>
      <c r="G19" s="48">
        <f t="shared" ref="G19" si="63">+G45+G71</f>
        <v>933.62145999999996</v>
      </c>
      <c r="H19" s="55">
        <f>IF(G$11=0,"N.D.",G19/G$11)</f>
        <v>0.28705800889316385</v>
      </c>
      <c r="I19" s="48">
        <f t="shared" ref="I19" si="64">+I45+I71</f>
        <v>-167.21285</v>
      </c>
      <c r="J19" s="55">
        <f>IF(I$11=0,"N.D.",I19/I$11)</f>
        <v>-0.14563223019996749</v>
      </c>
      <c r="K19" s="48">
        <f t="shared" ref="K19" si="65">+K45+K71</f>
        <v>-167.21285</v>
      </c>
      <c r="L19" s="55">
        <f>IF(K$11=0,"N.D.",K19/K$11)</f>
        <v>-0.14563223019996749</v>
      </c>
      <c r="M19" s="48">
        <f t="shared" ref="M19" si="66">+M45+M71</f>
        <v>-43.344159999999988</v>
      </c>
      <c r="N19" s="55">
        <f>IF(M$11=0,"N.D.",M19/M$11)</f>
        <v>-1.759324086936331E-2</v>
      </c>
      <c r="O19" s="48">
        <f t="shared" ref="O19" si="67">+O45+O71</f>
        <v>0</v>
      </c>
      <c r="P19" s="55" t="str">
        <f>IF(O$11=0,"N.D.",O19/O$11)</f>
        <v>N.D.</v>
      </c>
      <c r="Q19" s="48">
        <f t="shared" ref="Q19" si="68">+Q45+Q71</f>
        <v>0</v>
      </c>
      <c r="R19" s="55" t="str">
        <f>IF(Q$11=0,"N.D.",Q19/Q$11)</f>
        <v>N.D.</v>
      </c>
      <c r="S19" s="48">
        <f t="shared" ref="S19" si="69">+S45+S71</f>
        <v>0</v>
      </c>
      <c r="T19" s="55" t="str">
        <f>IF(S$11=0,"N.D.",S19/S$11)</f>
        <v>N.D.</v>
      </c>
      <c r="U19" s="48">
        <f t="shared" ref="U19" si="70">+U45+U71</f>
        <v>0</v>
      </c>
      <c r="V19" s="55" t="str">
        <f>IF(U$11=0,"N.D.",U19/U$11)</f>
        <v>N.D.</v>
      </c>
      <c r="W19" s="48">
        <f t="shared" ref="W19" si="71">+W45+W71</f>
        <v>0</v>
      </c>
      <c r="X19" s="55" t="str">
        <f>IF(W$11=0,"N.D.",W19/W$11)</f>
        <v>N.D.</v>
      </c>
      <c r="Y19" s="48">
        <f t="shared" ref="Y19" si="72">+Y45+Y71</f>
        <v>0</v>
      </c>
      <c r="Z19" s="55" t="str">
        <f>IF(Y$11=0,"N.D.",Y19/Y$11)</f>
        <v>N.D.</v>
      </c>
      <c r="AA19" s="48">
        <f t="shared" si="11"/>
        <v>6362.6841800000002</v>
      </c>
      <c r="AB19" s="55">
        <f>IF(AA$11=0,"N.D.",AA19/AA$11)</f>
        <v>0.27470852207906965</v>
      </c>
      <c r="AD19" s="352">
        <f>+AA19-ER!S41</f>
        <v>-3225.4646599999996</v>
      </c>
    </row>
    <row r="20" spans="2:30" x14ac:dyDescent="0.25">
      <c r="B20" s="41"/>
      <c r="C20" s="50"/>
      <c r="D20" s="60"/>
      <c r="E20" s="50"/>
      <c r="F20" s="60"/>
      <c r="G20" s="50"/>
      <c r="H20" s="60"/>
      <c r="I20" s="50"/>
      <c r="J20" s="60"/>
      <c r="K20" s="50"/>
      <c r="L20" s="60"/>
      <c r="M20" s="50"/>
      <c r="N20" s="60"/>
      <c r="O20" s="50"/>
      <c r="P20" s="60"/>
      <c r="Q20" s="50"/>
      <c r="R20" s="60"/>
      <c r="S20" s="50"/>
      <c r="T20" s="60"/>
      <c r="U20" s="50"/>
      <c r="V20" s="60"/>
      <c r="W20" s="50"/>
      <c r="X20" s="60"/>
      <c r="Y20" s="50"/>
      <c r="Z20" s="60"/>
      <c r="AA20" s="50"/>
      <c r="AB20" s="60"/>
      <c r="AD20" s="50"/>
    </row>
    <row r="21" spans="2:30" x14ac:dyDescent="0.25">
      <c r="B21" s="41" t="s">
        <v>25</v>
      </c>
      <c r="C21" s="42">
        <f t="shared" ref="C21:E27" si="73">+C47+C73</f>
        <v>-22.139890000000008</v>
      </c>
      <c r="D21" s="53">
        <f t="shared" ref="D21:D27" si="74">IF(C$11=0,"N.D.",C21/C$11)</f>
        <v>-4.0349207541909423E-3</v>
      </c>
      <c r="E21" s="42">
        <f t="shared" si="73"/>
        <v>-0.28173999999999921</v>
      </c>
      <c r="F21" s="53">
        <f t="shared" ref="F21:F27" si="75">IF(E$11=0,"N.D.",E21/E$11)</f>
        <v>-2.9159351704751521E-5</v>
      </c>
      <c r="G21" s="42">
        <f t="shared" ref="G21" si="76">+G47+G73</f>
        <v>-16.655450000000002</v>
      </c>
      <c r="H21" s="53">
        <f t="shared" ref="H21:H27" si="77">IF(G$11=0,"N.D.",G21/G$11)</f>
        <v>-5.1210051600780971E-3</v>
      </c>
      <c r="I21" s="42">
        <f t="shared" ref="I21" si="78">+I47+I73</f>
        <v>-6.12364</v>
      </c>
      <c r="J21" s="53">
        <f t="shared" ref="J21:J27" si="79">IF(I$11=0,"N.D.",I21/I$11)</f>
        <v>-5.3333182835035037E-3</v>
      </c>
      <c r="K21" s="42">
        <f t="shared" ref="K21" si="80">+K47+K73</f>
        <v>-6.12364</v>
      </c>
      <c r="L21" s="53">
        <f t="shared" ref="L21:L27" si="81">IF(K$11=0,"N.D.",K21/K$11)</f>
        <v>-5.3333182835035037E-3</v>
      </c>
      <c r="M21" s="42">
        <f t="shared" ref="M21" si="82">+M47+M73</f>
        <v>-58.110019999999999</v>
      </c>
      <c r="N21" s="53">
        <f t="shared" ref="N21:N27" si="83">IF(M$11=0,"N.D.",M21/M$11)</f>
        <v>-2.3586651091716152E-2</v>
      </c>
      <c r="O21" s="42">
        <f t="shared" ref="O21" si="84">+O47+O73</f>
        <v>0</v>
      </c>
      <c r="P21" s="53" t="str">
        <f t="shared" ref="P21:P27" si="85">IF(O$11=0,"N.D.",O21/O$11)</f>
        <v>N.D.</v>
      </c>
      <c r="Q21" s="42">
        <f t="shared" ref="Q21" si="86">+Q47+Q73</f>
        <v>0</v>
      </c>
      <c r="R21" s="53" t="str">
        <f t="shared" ref="R21:R27" si="87">IF(Q$11=0,"N.D.",Q21/Q$11)</f>
        <v>N.D.</v>
      </c>
      <c r="S21" s="42">
        <f t="shared" ref="S21" si="88">+S47+S73</f>
        <v>0</v>
      </c>
      <c r="T21" s="53" t="str">
        <f t="shared" ref="T21:T27" si="89">IF(S$11=0,"N.D.",S21/S$11)</f>
        <v>N.D.</v>
      </c>
      <c r="U21" s="42">
        <f t="shared" ref="U21" si="90">+U47+U73</f>
        <v>0</v>
      </c>
      <c r="V21" s="53" t="str">
        <f t="shared" ref="V21:V27" si="91">IF(U$11=0,"N.D.",U21/U$11)</f>
        <v>N.D.</v>
      </c>
      <c r="W21" s="42">
        <f t="shared" ref="W21" si="92">+W47+W73</f>
        <v>0</v>
      </c>
      <c r="X21" s="53" t="str">
        <f t="shared" ref="X21:X27" si="93">IF(W$11=0,"N.D.",W21/W$11)</f>
        <v>N.D.</v>
      </c>
      <c r="Y21" s="42">
        <f t="shared" ref="Y21" si="94">+Y47+Y73</f>
        <v>0</v>
      </c>
      <c r="Z21" s="53" t="str">
        <f t="shared" ref="Z21:Z27" si="95">IF(Y$11=0,"N.D.",Y21/Y$11)</f>
        <v>N.D.</v>
      </c>
      <c r="AA21" s="42">
        <f t="shared" si="11"/>
        <v>-109.43438</v>
      </c>
      <c r="AB21" s="53">
        <f t="shared" ref="AB21:AB27" si="96">IF(AA$11=0,"N.D.",AA21/AA$11)</f>
        <v>-4.724823037568918E-3</v>
      </c>
      <c r="AD21" s="350">
        <f>+AA21-ER!S43</f>
        <v>176.91702000000001</v>
      </c>
    </row>
    <row r="22" spans="2:30" x14ac:dyDescent="0.25">
      <c r="B22" s="41" t="s">
        <v>26</v>
      </c>
      <c r="C22" s="45">
        <f t="shared" si="73"/>
        <v>0</v>
      </c>
      <c r="D22" s="54">
        <f t="shared" si="74"/>
        <v>0</v>
      </c>
      <c r="E22" s="45">
        <f t="shared" si="73"/>
        <v>0</v>
      </c>
      <c r="F22" s="54">
        <f t="shared" si="75"/>
        <v>0</v>
      </c>
      <c r="G22" s="45">
        <f t="shared" ref="G22" si="97">+G48+G74</f>
        <v>0</v>
      </c>
      <c r="H22" s="54">
        <f t="shared" si="77"/>
        <v>0</v>
      </c>
      <c r="I22" s="45">
        <f t="shared" ref="I22" si="98">+I48+I74</f>
        <v>0</v>
      </c>
      <c r="J22" s="54">
        <f t="shared" si="79"/>
        <v>0</v>
      </c>
      <c r="K22" s="45">
        <f t="shared" ref="K22" si="99">+K48+K74</f>
        <v>0</v>
      </c>
      <c r="L22" s="54">
        <f t="shared" si="81"/>
        <v>0</v>
      </c>
      <c r="M22" s="45">
        <f t="shared" ref="M22" si="100">+M48+M74</f>
        <v>0</v>
      </c>
      <c r="N22" s="54">
        <f t="shared" si="83"/>
        <v>0</v>
      </c>
      <c r="O22" s="45">
        <f t="shared" ref="O22" si="101">+O48+O74</f>
        <v>0</v>
      </c>
      <c r="P22" s="54" t="str">
        <f t="shared" si="85"/>
        <v>N.D.</v>
      </c>
      <c r="Q22" s="45">
        <f t="shared" ref="Q22" si="102">+Q48+Q74</f>
        <v>0</v>
      </c>
      <c r="R22" s="54" t="str">
        <f t="shared" si="87"/>
        <v>N.D.</v>
      </c>
      <c r="S22" s="45">
        <f t="shared" ref="S22" si="103">+S48+S74</f>
        <v>0</v>
      </c>
      <c r="T22" s="54" t="str">
        <f t="shared" si="89"/>
        <v>N.D.</v>
      </c>
      <c r="U22" s="45">
        <f t="shared" ref="U22" si="104">+U48+U74</f>
        <v>0</v>
      </c>
      <c r="V22" s="54" t="str">
        <f t="shared" si="91"/>
        <v>N.D.</v>
      </c>
      <c r="W22" s="45">
        <f t="shared" ref="W22" si="105">+W48+W74</f>
        <v>0</v>
      </c>
      <c r="X22" s="54" t="str">
        <f t="shared" si="93"/>
        <v>N.D.</v>
      </c>
      <c r="Y22" s="45">
        <f t="shared" ref="Y22" si="106">+Y48+Y74</f>
        <v>0</v>
      </c>
      <c r="Z22" s="54" t="str">
        <f t="shared" si="95"/>
        <v>N.D.</v>
      </c>
      <c r="AA22" s="45">
        <f t="shared" si="11"/>
        <v>0</v>
      </c>
      <c r="AB22" s="54">
        <f t="shared" si="96"/>
        <v>0</v>
      </c>
      <c r="AD22" s="351">
        <f>+AA22-ER!S44</f>
        <v>0</v>
      </c>
    </row>
    <row r="23" spans="2:30" x14ac:dyDescent="0.25">
      <c r="B23" s="41" t="s">
        <v>27</v>
      </c>
      <c r="C23" s="45">
        <f t="shared" si="73"/>
        <v>39.996190000000006</v>
      </c>
      <c r="D23" s="54">
        <f t="shared" si="74"/>
        <v>7.2891715866503495E-3</v>
      </c>
      <c r="E23" s="45">
        <f t="shared" si="73"/>
        <v>30.281079999999999</v>
      </c>
      <c r="F23" s="54">
        <f t="shared" si="75"/>
        <v>3.1340124289050888E-3</v>
      </c>
      <c r="G23" s="45">
        <f t="shared" ref="G23" si="107">+G49+G75</f>
        <v>59.747199999999999</v>
      </c>
      <c r="H23" s="54">
        <f t="shared" si="77"/>
        <v>1.8370306386211004E-2</v>
      </c>
      <c r="I23" s="45">
        <f t="shared" ref="I23" si="108">+I49+I75</f>
        <v>4.3733300000000002</v>
      </c>
      <c r="J23" s="54">
        <f t="shared" si="79"/>
        <v>3.808904646385872E-3</v>
      </c>
      <c r="K23" s="45">
        <f t="shared" ref="K23" si="109">+K49+K75</f>
        <v>4.3733300000000002</v>
      </c>
      <c r="L23" s="54">
        <f t="shared" si="81"/>
        <v>3.808904646385872E-3</v>
      </c>
      <c r="M23" s="45">
        <f t="shared" ref="M23" si="110">+M49+M75</f>
        <v>6.5940599999999998</v>
      </c>
      <c r="N23" s="54">
        <f t="shared" si="83"/>
        <v>2.6765055750771006E-3</v>
      </c>
      <c r="O23" s="45">
        <f t="shared" ref="O23" si="111">+O49+O75</f>
        <v>0</v>
      </c>
      <c r="P23" s="54" t="str">
        <f t="shared" si="85"/>
        <v>N.D.</v>
      </c>
      <c r="Q23" s="45">
        <f t="shared" ref="Q23" si="112">+Q49+Q75</f>
        <v>0</v>
      </c>
      <c r="R23" s="54" t="str">
        <f t="shared" si="87"/>
        <v>N.D.</v>
      </c>
      <c r="S23" s="45">
        <f t="shared" ref="S23" si="113">+S49+S75</f>
        <v>0</v>
      </c>
      <c r="T23" s="54" t="str">
        <f t="shared" si="89"/>
        <v>N.D.</v>
      </c>
      <c r="U23" s="45">
        <f t="shared" ref="U23" si="114">+U49+U75</f>
        <v>0</v>
      </c>
      <c r="V23" s="54" t="str">
        <f t="shared" si="91"/>
        <v>N.D.</v>
      </c>
      <c r="W23" s="45">
        <f t="shared" ref="W23" si="115">+W49+W75</f>
        <v>0</v>
      </c>
      <c r="X23" s="54" t="str">
        <f t="shared" si="93"/>
        <v>N.D.</v>
      </c>
      <c r="Y23" s="45">
        <f t="shared" ref="Y23" si="116">+Y49+Y75</f>
        <v>0</v>
      </c>
      <c r="Z23" s="54" t="str">
        <f t="shared" si="95"/>
        <v>N.D.</v>
      </c>
      <c r="AA23" s="45">
        <f t="shared" si="11"/>
        <v>145.36519000000001</v>
      </c>
      <c r="AB23" s="54">
        <f t="shared" si="96"/>
        <v>6.276133684611572E-3</v>
      </c>
      <c r="AD23" s="351">
        <f>+AA23-ER!S45</f>
        <v>-0.47653999999997154</v>
      </c>
    </row>
    <row r="24" spans="2:30" x14ac:dyDescent="0.25">
      <c r="B24" s="41" t="s">
        <v>28</v>
      </c>
      <c r="C24" s="45">
        <f t="shared" si="73"/>
        <v>359.32408000000004</v>
      </c>
      <c r="D24" s="54">
        <f t="shared" si="74"/>
        <v>6.5485609362673725E-2</v>
      </c>
      <c r="E24" s="45">
        <f t="shared" si="73"/>
        <v>365.91952000000003</v>
      </c>
      <c r="F24" s="54">
        <f t="shared" si="75"/>
        <v>3.7871711433640549E-2</v>
      </c>
      <c r="G24" s="45">
        <f t="shared" ref="G24" si="117">+G50+G76</f>
        <v>481.13097999999997</v>
      </c>
      <c r="H24" s="54">
        <f t="shared" si="77"/>
        <v>0.14793201211936222</v>
      </c>
      <c r="I24" s="45">
        <f t="shared" ref="I24" si="118">+I50+I76</f>
        <v>396.27823999999998</v>
      </c>
      <c r="J24" s="54">
        <f t="shared" si="79"/>
        <v>0.34513426372983869</v>
      </c>
      <c r="K24" s="45">
        <f t="shared" ref="K24" si="119">+K50+K76</f>
        <v>396.27823999999998</v>
      </c>
      <c r="L24" s="54">
        <f t="shared" si="81"/>
        <v>0.34513426372983869</v>
      </c>
      <c r="M24" s="45">
        <f t="shared" ref="M24" si="120">+M50+M76</f>
        <v>396.27823999999998</v>
      </c>
      <c r="N24" s="54">
        <f t="shared" si="83"/>
        <v>0.1608479326305404</v>
      </c>
      <c r="O24" s="45">
        <f t="shared" ref="O24" si="121">+O50+O76</f>
        <v>0</v>
      </c>
      <c r="P24" s="54" t="str">
        <f t="shared" si="85"/>
        <v>N.D.</v>
      </c>
      <c r="Q24" s="45">
        <f t="shared" ref="Q24" si="122">+Q50+Q76</f>
        <v>0</v>
      </c>
      <c r="R24" s="54" t="str">
        <f t="shared" si="87"/>
        <v>N.D.</v>
      </c>
      <c r="S24" s="45">
        <f t="shared" ref="S24" si="123">+S50+S76</f>
        <v>0</v>
      </c>
      <c r="T24" s="54" t="str">
        <f t="shared" si="89"/>
        <v>N.D.</v>
      </c>
      <c r="U24" s="45">
        <f t="shared" ref="U24" si="124">+U50+U76</f>
        <v>0</v>
      </c>
      <c r="V24" s="54" t="str">
        <f t="shared" si="91"/>
        <v>N.D.</v>
      </c>
      <c r="W24" s="45">
        <f t="shared" ref="W24" si="125">+W50+W76</f>
        <v>0</v>
      </c>
      <c r="X24" s="54" t="str">
        <f t="shared" si="93"/>
        <v>N.D.</v>
      </c>
      <c r="Y24" s="45">
        <f t="shared" ref="Y24" si="126">+Y50+Y76</f>
        <v>0</v>
      </c>
      <c r="Z24" s="54" t="str">
        <f t="shared" si="95"/>
        <v>N.D.</v>
      </c>
      <c r="AA24" s="45">
        <f t="shared" si="11"/>
        <v>2395.2092999999995</v>
      </c>
      <c r="AB24" s="54">
        <f t="shared" si="96"/>
        <v>0.10341302322395685</v>
      </c>
      <c r="AD24" s="351">
        <f>+AA24-ER!S46</f>
        <v>-484.65768000000025</v>
      </c>
    </row>
    <row r="25" spans="2:30" x14ac:dyDescent="0.25">
      <c r="B25" s="41" t="s">
        <v>399</v>
      </c>
      <c r="C25" s="52">
        <f t="shared" si="73"/>
        <v>0</v>
      </c>
      <c r="D25" s="59">
        <f t="shared" si="74"/>
        <v>0</v>
      </c>
      <c r="E25" s="52">
        <f t="shared" si="73"/>
        <v>0</v>
      </c>
      <c r="F25" s="59">
        <f t="shared" si="75"/>
        <v>0</v>
      </c>
      <c r="G25" s="52">
        <f t="shared" ref="G25" si="127">+G51+G77</f>
        <v>0</v>
      </c>
      <c r="H25" s="59">
        <f t="shared" si="77"/>
        <v>0</v>
      </c>
      <c r="I25" s="52">
        <f t="shared" ref="I25" si="128">+I51+I77</f>
        <v>0</v>
      </c>
      <c r="J25" s="59">
        <f t="shared" si="79"/>
        <v>0</v>
      </c>
      <c r="K25" s="52">
        <f t="shared" ref="K25" si="129">+K51+K77</f>
        <v>0</v>
      </c>
      <c r="L25" s="59">
        <f t="shared" si="81"/>
        <v>0</v>
      </c>
      <c r="M25" s="52">
        <f t="shared" ref="M25" si="130">+M51+M77</f>
        <v>0</v>
      </c>
      <c r="N25" s="59">
        <f t="shared" si="83"/>
        <v>0</v>
      </c>
      <c r="O25" s="52">
        <f t="shared" ref="O25" si="131">+O51+O77</f>
        <v>0</v>
      </c>
      <c r="P25" s="59" t="str">
        <f t="shared" si="85"/>
        <v>N.D.</v>
      </c>
      <c r="Q25" s="52">
        <f t="shared" ref="Q25" si="132">+Q51+Q77</f>
        <v>0</v>
      </c>
      <c r="R25" s="59" t="str">
        <f t="shared" si="87"/>
        <v>N.D.</v>
      </c>
      <c r="S25" s="52">
        <f t="shared" ref="S25" si="133">+S51+S77</f>
        <v>0</v>
      </c>
      <c r="T25" s="59" t="str">
        <f t="shared" si="89"/>
        <v>N.D.</v>
      </c>
      <c r="U25" s="52">
        <f t="shared" ref="U25" si="134">+U51+U77</f>
        <v>0</v>
      </c>
      <c r="V25" s="59" t="str">
        <f t="shared" si="91"/>
        <v>N.D.</v>
      </c>
      <c r="W25" s="52">
        <f t="shared" ref="W25" si="135">+W51+W77</f>
        <v>0</v>
      </c>
      <c r="X25" s="59" t="str">
        <f t="shared" si="93"/>
        <v>N.D.</v>
      </c>
      <c r="Y25" s="52">
        <f t="shared" ref="Y25" si="136">+Y51+Y77</f>
        <v>0</v>
      </c>
      <c r="Z25" s="59" t="str">
        <f t="shared" si="95"/>
        <v>N.D.</v>
      </c>
      <c r="AA25" s="52">
        <f t="shared" si="11"/>
        <v>0</v>
      </c>
      <c r="AB25" s="59">
        <f t="shared" si="96"/>
        <v>0</v>
      </c>
      <c r="AD25" s="353">
        <f>+AA25-ER!S47</f>
        <v>0</v>
      </c>
    </row>
    <row r="26" spans="2:30" ht="13" x14ac:dyDescent="0.3">
      <c r="B26" s="47" t="s">
        <v>143</v>
      </c>
      <c r="C26" s="48">
        <f t="shared" si="73"/>
        <v>-341.46778000000006</v>
      </c>
      <c r="D26" s="55">
        <f t="shared" si="74"/>
        <v>-6.2231358530214317E-2</v>
      </c>
      <c r="E26" s="48">
        <f t="shared" si="73"/>
        <v>-335.92018000000002</v>
      </c>
      <c r="F26" s="55">
        <f t="shared" si="75"/>
        <v>-3.4766858356440215E-2</v>
      </c>
      <c r="G26" s="48">
        <f t="shared" ref="G26" si="137">+G52+G78</f>
        <v>-438.03922999999998</v>
      </c>
      <c r="H26" s="55">
        <f t="shared" si="77"/>
        <v>-0.13468271089322931</v>
      </c>
      <c r="I26" s="48">
        <f t="shared" ref="I26" si="138">+I52+I78</f>
        <v>-398.02855</v>
      </c>
      <c r="J26" s="55">
        <f t="shared" si="79"/>
        <v>-0.34665867736695638</v>
      </c>
      <c r="K26" s="48">
        <f t="shared" ref="K26" si="139">+K52+K78</f>
        <v>-398.02855</v>
      </c>
      <c r="L26" s="55">
        <f t="shared" si="81"/>
        <v>-0.34665867736695638</v>
      </c>
      <c r="M26" s="48">
        <f t="shared" ref="M26" si="140">+M52+M78</f>
        <v>-447.79419999999999</v>
      </c>
      <c r="N26" s="55">
        <f t="shared" si="83"/>
        <v>-0.18175807814717945</v>
      </c>
      <c r="O26" s="48">
        <f t="shared" ref="O26" si="141">+O52+O78</f>
        <v>0</v>
      </c>
      <c r="P26" s="55" t="str">
        <f t="shared" si="85"/>
        <v>N.D.</v>
      </c>
      <c r="Q26" s="48">
        <f t="shared" ref="Q26" si="142">+Q52+Q78</f>
        <v>0</v>
      </c>
      <c r="R26" s="55" t="str">
        <f t="shared" si="87"/>
        <v>N.D.</v>
      </c>
      <c r="S26" s="48">
        <f t="shared" ref="S26" si="143">+S52+S78</f>
        <v>0</v>
      </c>
      <c r="T26" s="55" t="str">
        <f t="shared" si="89"/>
        <v>N.D.</v>
      </c>
      <c r="U26" s="48">
        <f t="shared" ref="U26" si="144">+U52+U78</f>
        <v>0</v>
      </c>
      <c r="V26" s="55" t="str">
        <f t="shared" si="91"/>
        <v>N.D.</v>
      </c>
      <c r="W26" s="48">
        <f t="shared" ref="W26" si="145">+W52+W78</f>
        <v>0</v>
      </c>
      <c r="X26" s="55" t="str">
        <f t="shared" si="93"/>
        <v>N.D.</v>
      </c>
      <c r="Y26" s="48">
        <f t="shared" ref="Y26" si="146">+Y52+Y78</f>
        <v>0</v>
      </c>
      <c r="Z26" s="55" t="str">
        <f t="shared" si="95"/>
        <v>N.D.</v>
      </c>
      <c r="AA26" s="48">
        <f t="shared" si="11"/>
        <v>-2359.2784900000001</v>
      </c>
      <c r="AB26" s="55">
        <f t="shared" si="96"/>
        <v>-0.10186171257691422</v>
      </c>
      <c r="AD26" s="352">
        <f>+AA26-ER!S48</f>
        <v>661.09816000000001</v>
      </c>
    </row>
    <row r="27" spans="2:30" ht="13" x14ac:dyDescent="0.3">
      <c r="B27" s="47" t="s">
        <v>29</v>
      </c>
      <c r="C27" s="48">
        <f t="shared" si="73"/>
        <v>2490.7872400000001</v>
      </c>
      <c r="D27" s="55">
        <f t="shared" si="74"/>
        <v>0.45393762701395413</v>
      </c>
      <c r="E27" s="48">
        <f t="shared" si="73"/>
        <v>3993.4333000000001</v>
      </c>
      <c r="F27" s="55">
        <f t="shared" si="75"/>
        <v>0.41330988182070993</v>
      </c>
      <c r="G27" s="48">
        <f t="shared" ref="G27" si="147">+G53+G79</f>
        <v>1371.6606900000002</v>
      </c>
      <c r="H27" s="55">
        <f t="shared" si="77"/>
        <v>0.42174071978639321</v>
      </c>
      <c r="I27" s="48">
        <f t="shared" ref="I27" si="148">+I53+I79</f>
        <v>230.81569999999999</v>
      </c>
      <c r="J27" s="55">
        <f t="shared" si="79"/>
        <v>0.20102644716698886</v>
      </c>
      <c r="K27" s="48">
        <f t="shared" ref="K27" si="149">+K53+K79</f>
        <v>230.81569999999999</v>
      </c>
      <c r="L27" s="55">
        <f t="shared" si="81"/>
        <v>0.20102644716698886</v>
      </c>
      <c r="M27" s="48">
        <f t="shared" ref="M27" si="150">+M53+M79</f>
        <v>404.45004</v>
      </c>
      <c r="N27" s="55">
        <f t="shared" si="83"/>
        <v>0.16416483727781614</v>
      </c>
      <c r="O27" s="48">
        <f t="shared" ref="O27" si="151">+O53+O79</f>
        <v>0</v>
      </c>
      <c r="P27" s="55" t="str">
        <f t="shared" si="85"/>
        <v>N.D.</v>
      </c>
      <c r="Q27" s="48">
        <f t="shared" ref="Q27" si="152">+Q53+Q79</f>
        <v>0</v>
      </c>
      <c r="R27" s="55" t="str">
        <f t="shared" si="87"/>
        <v>N.D.</v>
      </c>
      <c r="S27" s="48">
        <f t="shared" ref="S27" si="153">+S53+S79</f>
        <v>0</v>
      </c>
      <c r="T27" s="55" t="str">
        <f t="shared" si="89"/>
        <v>N.D.</v>
      </c>
      <c r="U27" s="48">
        <f t="shared" ref="U27" si="154">+U53+U79</f>
        <v>0</v>
      </c>
      <c r="V27" s="55" t="str">
        <f t="shared" si="91"/>
        <v>N.D.</v>
      </c>
      <c r="W27" s="48">
        <f t="shared" ref="W27" si="155">+W53+W79</f>
        <v>0</v>
      </c>
      <c r="X27" s="55" t="str">
        <f t="shared" si="93"/>
        <v>N.D.</v>
      </c>
      <c r="Y27" s="48">
        <f t="shared" ref="Y27" si="156">+Y53+Y79</f>
        <v>0</v>
      </c>
      <c r="Z27" s="55" t="str">
        <f t="shared" si="95"/>
        <v>N.D.</v>
      </c>
      <c r="AA27" s="48">
        <f t="shared" si="11"/>
        <v>8721.9626700000008</v>
      </c>
      <c r="AB27" s="55">
        <f t="shared" si="96"/>
        <v>0.37657023465598388</v>
      </c>
      <c r="AD27" s="352">
        <f>+AA27-ER!S49</f>
        <v>-3886.5628199999992</v>
      </c>
    </row>
    <row r="28" spans="2:30" x14ac:dyDescent="0.25">
      <c r="B28" s="41"/>
      <c r="C28" s="50"/>
      <c r="D28" s="60"/>
      <c r="E28" s="50"/>
      <c r="F28" s="60"/>
      <c r="G28" s="50"/>
      <c r="H28" s="60"/>
      <c r="I28" s="50"/>
      <c r="J28" s="60"/>
      <c r="K28" s="50"/>
      <c r="L28" s="60"/>
      <c r="M28" s="50"/>
      <c r="N28" s="60"/>
      <c r="O28" s="50"/>
      <c r="P28" s="60"/>
      <c r="Q28" s="50"/>
      <c r="R28" s="60"/>
      <c r="S28" s="50"/>
      <c r="T28" s="60"/>
      <c r="U28" s="50"/>
      <c r="V28" s="60"/>
      <c r="W28" s="50"/>
      <c r="X28" s="60"/>
      <c r="Y28" s="50"/>
      <c r="Z28" s="60"/>
      <c r="AA28" s="50"/>
      <c r="AB28" s="60"/>
      <c r="AD28" s="50"/>
    </row>
    <row r="29" spans="2:30" x14ac:dyDescent="0.25">
      <c r="B29" s="41" t="s">
        <v>398</v>
      </c>
      <c r="C29" s="42">
        <f t="shared" ref="C29:E32" si="157">+C55+C81</f>
        <v>0</v>
      </c>
      <c r="D29" s="53">
        <f>IF(C$11=0,"N.D.",C29/C$11)</f>
        <v>0</v>
      </c>
      <c r="E29" s="42">
        <f t="shared" si="157"/>
        <v>0</v>
      </c>
      <c r="F29" s="53">
        <f>IF(E$11=0,"N.D.",E29/E$11)</f>
        <v>0</v>
      </c>
      <c r="G29" s="42">
        <f t="shared" ref="G29" si="158">+G55+G81</f>
        <v>0</v>
      </c>
      <c r="H29" s="53">
        <f>IF(G$11=0,"N.D.",G29/G$11)</f>
        <v>0</v>
      </c>
      <c r="I29" s="42">
        <f t="shared" ref="I29" si="159">+I55+I81</f>
        <v>0</v>
      </c>
      <c r="J29" s="53">
        <f>IF(I$11=0,"N.D.",I29/I$11)</f>
        <v>0</v>
      </c>
      <c r="K29" s="42">
        <f t="shared" ref="K29" si="160">+K55+K81</f>
        <v>0</v>
      </c>
      <c r="L29" s="53">
        <f>IF(K$11=0,"N.D.",K29/K$11)</f>
        <v>0</v>
      </c>
      <c r="M29" s="42">
        <f t="shared" ref="M29" si="161">+M55+M81</f>
        <v>0</v>
      </c>
      <c r="N29" s="53">
        <f>IF(M$11=0,"N.D.",M29/M$11)</f>
        <v>0</v>
      </c>
      <c r="O29" s="42">
        <f t="shared" ref="O29" si="162">+O55+O81</f>
        <v>0</v>
      </c>
      <c r="P29" s="53" t="str">
        <f>IF(O$11=0,"N.D.",O29/O$11)</f>
        <v>N.D.</v>
      </c>
      <c r="Q29" s="42">
        <f t="shared" ref="Q29" si="163">+Q55+Q81</f>
        <v>0</v>
      </c>
      <c r="R29" s="53" t="str">
        <f>IF(Q$11=0,"N.D.",Q29/Q$11)</f>
        <v>N.D.</v>
      </c>
      <c r="S29" s="42">
        <f t="shared" ref="S29" si="164">+S55+S81</f>
        <v>0</v>
      </c>
      <c r="T29" s="53" t="str">
        <f>IF(S$11=0,"N.D.",S29/S$11)</f>
        <v>N.D.</v>
      </c>
      <c r="U29" s="42">
        <f t="shared" ref="U29" si="165">+U55+U81</f>
        <v>0</v>
      </c>
      <c r="V29" s="53" t="str">
        <f>IF(U$11=0,"N.D.",U29/U$11)</f>
        <v>N.D.</v>
      </c>
      <c r="W29" s="42">
        <f t="shared" ref="W29" si="166">+W55+W81</f>
        <v>0</v>
      </c>
      <c r="X29" s="53" t="str">
        <f>IF(W$11=0,"N.D.",W29/W$11)</f>
        <v>N.D.</v>
      </c>
      <c r="Y29" s="42">
        <f t="shared" ref="Y29" si="167">+Y55+Y81</f>
        <v>0</v>
      </c>
      <c r="Z29" s="53" t="str">
        <f>IF(Y$11=0,"N.D.",Y29/Y$11)</f>
        <v>N.D.</v>
      </c>
      <c r="AA29" s="42">
        <f t="shared" si="11"/>
        <v>0</v>
      </c>
      <c r="AB29" s="53">
        <f>IF(AA$11=0,"N.D.",AA29/AA$11)</f>
        <v>0</v>
      </c>
      <c r="AD29" s="350">
        <f>+AA29-ER!S51</f>
        <v>0</v>
      </c>
    </row>
    <row r="30" spans="2:30" x14ac:dyDescent="0.25">
      <c r="B30" s="41" t="s">
        <v>396</v>
      </c>
      <c r="C30" s="52">
        <f t="shared" si="157"/>
        <v>0</v>
      </c>
      <c r="D30" s="59">
        <f>IF(C$11=0,"N.D.",C30/C$11)</f>
        <v>0</v>
      </c>
      <c r="E30" s="52">
        <f t="shared" si="157"/>
        <v>0</v>
      </c>
      <c r="F30" s="59">
        <f>IF(E$11=0,"N.D.",E30/E$11)</f>
        <v>0</v>
      </c>
      <c r="G30" s="52">
        <f t="shared" ref="G30" si="168">+G56+G82</f>
        <v>0</v>
      </c>
      <c r="H30" s="59">
        <f>IF(G$11=0,"N.D.",G30/G$11)</f>
        <v>0</v>
      </c>
      <c r="I30" s="52">
        <f t="shared" ref="I30" si="169">+I56+I82</f>
        <v>0</v>
      </c>
      <c r="J30" s="59">
        <f>IF(I$11=0,"N.D.",I30/I$11)</f>
        <v>0</v>
      </c>
      <c r="K30" s="52">
        <f t="shared" ref="K30" si="170">+K56+K82</f>
        <v>0</v>
      </c>
      <c r="L30" s="59">
        <f>IF(K$11=0,"N.D.",K30/K$11)</f>
        <v>0</v>
      </c>
      <c r="M30" s="52">
        <f t="shared" ref="M30" si="171">+M56+M82</f>
        <v>0</v>
      </c>
      <c r="N30" s="59">
        <f>IF(M$11=0,"N.D.",M30/M$11)</f>
        <v>0</v>
      </c>
      <c r="O30" s="52">
        <f t="shared" ref="O30" si="172">+O56+O82</f>
        <v>0</v>
      </c>
      <c r="P30" s="59" t="str">
        <f>IF(O$11=0,"N.D.",O30/O$11)</f>
        <v>N.D.</v>
      </c>
      <c r="Q30" s="52">
        <f t="shared" ref="Q30" si="173">+Q56+Q82</f>
        <v>0</v>
      </c>
      <c r="R30" s="59" t="str">
        <f>IF(Q$11=0,"N.D.",Q30/Q$11)</f>
        <v>N.D.</v>
      </c>
      <c r="S30" s="52">
        <f t="shared" ref="S30" si="174">+S56+S82</f>
        <v>0</v>
      </c>
      <c r="T30" s="59" t="str">
        <f>IF(S$11=0,"N.D.",S30/S$11)</f>
        <v>N.D.</v>
      </c>
      <c r="U30" s="52">
        <f t="shared" ref="U30" si="175">+U56+U82</f>
        <v>0</v>
      </c>
      <c r="V30" s="59" t="str">
        <f>IF(U$11=0,"N.D.",U30/U$11)</f>
        <v>N.D.</v>
      </c>
      <c r="W30" s="52">
        <f t="shared" ref="W30" si="176">+W56+W82</f>
        <v>0</v>
      </c>
      <c r="X30" s="59" t="str">
        <f>IF(W$11=0,"N.D.",W30/W$11)</f>
        <v>N.D.</v>
      </c>
      <c r="Y30" s="52">
        <f t="shared" ref="Y30" si="177">+Y56+Y82</f>
        <v>0</v>
      </c>
      <c r="Z30" s="59" t="str">
        <f>IF(Y$11=0,"N.D.",Y30/Y$11)</f>
        <v>N.D.</v>
      </c>
      <c r="AA30" s="52">
        <f t="shared" si="11"/>
        <v>0</v>
      </c>
      <c r="AB30" s="59">
        <f>IF(AA$11=0,"N.D.",AA30/AA$11)</f>
        <v>0</v>
      </c>
      <c r="AD30" s="353">
        <f>+AA30-ER!S52</f>
        <v>0</v>
      </c>
    </row>
    <row r="31" spans="2:30" ht="13" x14ac:dyDescent="0.3">
      <c r="B31" s="47" t="s">
        <v>30</v>
      </c>
      <c r="C31" s="48">
        <f t="shared" si="157"/>
        <v>2490.7872400000001</v>
      </c>
      <c r="D31" s="55">
        <f>IF(C$11=0,"N.D.",C31/C$11)</f>
        <v>0.45393762701395413</v>
      </c>
      <c r="E31" s="48">
        <f t="shared" si="157"/>
        <v>3993.4333000000001</v>
      </c>
      <c r="F31" s="55">
        <f>IF(E$11=0,"N.D.",E31/E$11)</f>
        <v>0.41330988182070993</v>
      </c>
      <c r="G31" s="48">
        <f t="shared" ref="G31" si="178">+G57+G83</f>
        <v>1371.6606900000002</v>
      </c>
      <c r="H31" s="55">
        <f>IF(G$11=0,"N.D.",G31/G$11)</f>
        <v>0.42174071978639321</v>
      </c>
      <c r="I31" s="48">
        <f t="shared" ref="I31" si="179">+I57+I83</f>
        <v>230.81569999999999</v>
      </c>
      <c r="J31" s="55">
        <f>IF(I$11=0,"N.D.",I31/I$11)</f>
        <v>0.20102644716698886</v>
      </c>
      <c r="K31" s="48">
        <f t="shared" ref="K31" si="180">+K57+K83</f>
        <v>230.81569999999999</v>
      </c>
      <c r="L31" s="55">
        <f>IF(K$11=0,"N.D.",K31/K$11)</f>
        <v>0.20102644716698886</v>
      </c>
      <c r="M31" s="48">
        <f t="shared" ref="M31" si="181">+M57+M83</f>
        <v>404.45004</v>
      </c>
      <c r="N31" s="55">
        <f>IF(M$11=0,"N.D.",M31/M$11)</f>
        <v>0.16416483727781614</v>
      </c>
      <c r="O31" s="48">
        <f t="shared" ref="O31" si="182">+O57+O83</f>
        <v>0</v>
      </c>
      <c r="P31" s="55" t="str">
        <f>IF(O$11=0,"N.D.",O31/O$11)</f>
        <v>N.D.</v>
      </c>
      <c r="Q31" s="48">
        <f t="shared" ref="Q31" si="183">+Q57+Q83</f>
        <v>0</v>
      </c>
      <c r="R31" s="55" t="str">
        <f>IF(Q$11=0,"N.D.",Q31/Q$11)</f>
        <v>N.D.</v>
      </c>
      <c r="S31" s="48">
        <f t="shared" ref="S31" si="184">+S57+S83</f>
        <v>0</v>
      </c>
      <c r="T31" s="55" t="str">
        <f>IF(S$11=0,"N.D.",S31/S$11)</f>
        <v>N.D.</v>
      </c>
      <c r="U31" s="48">
        <f t="shared" ref="U31" si="185">+U57+U83</f>
        <v>0</v>
      </c>
      <c r="V31" s="55" t="str">
        <f>IF(U$11=0,"N.D.",U31/U$11)</f>
        <v>N.D.</v>
      </c>
      <c r="W31" s="48">
        <f t="shared" ref="W31" si="186">+W57+W83</f>
        <v>0</v>
      </c>
      <c r="X31" s="55" t="str">
        <f>IF(W$11=0,"N.D.",W31/W$11)</f>
        <v>N.D.</v>
      </c>
      <c r="Y31" s="48">
        <f t="shared" ref="Y31" si="187">+Y57+Y83</f>
        <v>0</v>
      </c>
      <c r="Z31" s="55" t="str">
        <f>IF(Y$11=0,"N.D.",Y31/Y$11)</f>
        <v>N.D.</v>
      </c>
      <c r="AA31" s="48">
        <f t="shared" si="11"/>
        <v>8721.9626700000008</v>
      </c>
      <c r="AB31" s="55">
        <f>IF(AA$11=0,"N.D.",AA31/AA$11)</f>
        <v>0.37657023465598388</v>
      </c>
      <c r="AD31" s="352">
        <f>+AA31-ER!S53</f>
        <v>-3886.5628199999992</v>
      </c>
    </row>
    <row r="32" spans="2:30" ht="13" x14ac:dyDescent="0.3">
      <c r="B32" s="47" t="s">
        <v>31</v>
      </c>
      <c r="C32" s="48">
        <f t="shared" si="157"/>
        <v>2174.5616000000005</v>
      </c>
      <c r="D32" s="55">
        <f>IF(C$11=0,"N.D.",C32/C$11)</f>
        <v>0.39630656390373492</v>
      </c>
      <c r="E32" s="48">
        <f t="shared" si="157"/>
        <v>3682.7552600000004</v>
      </c>
      <c r="F32" s="55">
        <f>IF(E$11=0,"N.D.",E32/E$11)</f>
        <v>0.38115551880763804</v>
      </c>
      <c r="G32" s="48">
        <f t="shared" ref="G32" si="188">+G58+G84</f>
        <v>958.86360000000002</v>
      </c>
      <c r="H32" s="55">
        <f>IF(G$11=0,"N.D.",G32/G$11)</f>
        <v>0.29481913988580671</v>
      </c>
      <c r="I32" s="48">
        <f t="shared" ref="I32" si="189">+I58+I84</f>
        <v>-135.09901000000002</v>
      </c>
      <c r="J32" s="55">
        <f>IF(I$11=0,"N.D.",I32/I$11)</f>
        <v>-0.11766302723808435</v>
      </c>
      <c r="K32" s="48">
        <f t="shared" ref="K32" si="190">+K58+K84</f>
        <v>-135.09901000000002</v>
      </c>
      <c r="L32" s="55">
        <f>IF(K$11=0,"N.D.",K32/K$11)</f>
        <v>-0.11766302723808435</v>
      </c>
      <c r="M32" s="48">
        <f t="shared" ref="M32" si="191">+M58+M84</f>
        <v>-11.85429000000002</v>
      </c>
      <c r="N32" s="55">
        <f>IF(M$11=0,"N.D.",M32/M$11)</f>
        <v>-4.8116142821843866E-3</v>
      </c>
      <c r="O32" s="48">
        <f t="shared" ref="O32" si="192">+O58+O84</f>
        <v>0</v>
      </c>
      <c r="P32" s="55" t="str">
        <f>IF(O$11=0,"N.D.",O32/O$11)</f>
        <v>N.D.</v>
      </c>
      <c r="Q32" s="48">
        <f t="shared" ref="Q32" si="193">+Q58+Q84</f>
        <v>0</v>
      </c>
      <c r="R32" s="55" t="str">
        <f>IF(Q$11=0,"N.D.",Q32/Q$11)</f>
        <v>N.D.</v>
      </c>
      <c r="S32" s="48">
        <f t="shared" ref="S32" si="194">+S58+S84</f>
        <v>0</v>
      </c>
      <c r="T32" s="55" t="str">
        <f>IF(S$11=0,"N.D.",S32/S$11)</f>
        <v>N.D.</v>
      </c>
      <c r="U32" s="48">
        <f t="shared" ref="U32" si="195">+U58+U84</f>
        <v>0</v>
      </c>
      <c r="V32" s="55" t="str">
        <f>IF(U$11=0,"N.D.",U32/U$11)</f>
        <v>N.D.</v>
      </c>
      <c r="W32" s="48">
        <f t="shared" ref="W32" si="196">+W58+W84</f>
        <v>0</v>
      </c>
      <c r="X32" s="55" t="str">
        <f>IF(W$11=0,"N.D.",W32/W$11)</f>
        <v>N.D.</v>
      </c>
      <c r="Y32" s="48">
        <f t="shared" ref="Y32" si="197">+Y58+Y84</f>
        <v>0</v>
      </c>
      <c r="Z32" s="55" t="str">
        <f>IF(Y$11=0,"N.D.",Y32/Y$11)</f>
        <v>N.D.</v>
      </c>
      <c r="AA32" s="48">
        <f t="shared" si="11"/>
        <v>6534.1281500000005</v>
      </c>
      <c r="AB32" s="55">
        <f>IF(AA$11=0,"N.D.",AA32/AA$11)</f>
        <v>0.2821106055843472</v>
      </c>
      <c r="AD32" s="352">
        <f>+AA32-ER!S54</f>
        <v>-3236.5293299999994</v>
      </c>
    </row>
    <row r="33" spans="2:30" x14ac:dyDescent="0.25">
      <c r="C33" s="89"/>
      <c r="D33" s="50"/>
      <c r="E33" s="89"/>
      <c r="F33" s="50"/>
      <c r="G33" s="89"/>
      <c r="H33" s="50"/>
      <c r="I33" s="89"/>
      <c r="J33" s="50"/>
      <c r="K33" s="89"/>
      <c r="L33" s="50"/>
      <c r="M33" s="89"/>
      <c r="N33" s="50"/>
      <c r="O33" s="89"/>
      <c r="P33" s="50"/>
      <c r="Q33" s="89"/>
      <c r="R33" s="50"/>
      <c r="S33" s="89"/>
      <c r="T33" s="50"/>
      <c r="U33" s="89"/>
      <c r="V33" s="50"/>
      <c r="W33" s="89"/>
      <c r="X33" s="50"/>
      <c r="Y33" s="89"/>
      <c r="Z33" s="50"/>
      <c r="AA33" s="89"/>
      <c r="AB33" s="50"/>
      <c r="AD33" s="349"/>
    </row>
    <row r="35" spans="2:30" x14ac:dyDescent="0.25">
      <c r="B35" s="41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</row>
    <row r="36" spans="2:30" ht="13" x14ac:dyDescent="0.3">
      <c r="B36" s="194" t="s">
        <v>169</v>
      </c>
      <c r="C36" s="75" t="s">
        <v>171</v>
      </c>
      <c r="D36" s="90"/>
      <c r="E36" s="75" t="s">
        <v>172</v>
      </c>
      <c r="F36" s="90"/>
      <c r="G36" s="75" t="s">
        <v>173</v>
      </c>
      <c r="H36" s="90"/>
      <c r="I36" s="75" t="s">
        <v>174</v>
      </c>
      <c r="J36" s="90"/>
      <c r="K36" s="75" t="s">
        <v>175</v>
      </c>
      <c r="L36" s="90"/>
      <c r="M36" s="75" t="s">
        <v>176</v>
      </c>
      <c r="N36" s="90"/>
      <c r="O36" s="75" t="s">
        <v>177</v>
      </c>
      <c r="P36" s="90"/>
      <c r="Q36" s="75" t="s">
        <v>178</v>
      </c>
      <c r="R36" s="90"/>
      <c r="S36" s="75" t="s">
        <v>179</v>
      </c>
      <c r="T36" s="90"/>
      <c r="U36" s="75" t="s">
        <v>180</v>
      </c>
      <c r="V36" s="90"/>
      <c r="W36" s="75" t="s">
        <v>181</v>
      </c>
      <c r="X36" s="90"/>
      <c r="Y36" s="75" t="s">
        <v>182</v>
      </c>
      <c r="Z36" s="90"/>
      <c r="AA36" s="75" t="str">
        <f>+AA10</f>
        <v>Acum 2019</v>
      </c>
      <c r="AB36" s="90"/>
    </row>
    <row r="37" spans="2:30" x14ac:dyDescent="0.25">
      <c r="B37" s="41" t="s">
        <v>236</v>
      </c>
      <c r="C37" s="42">
        <v>4242.8112300000003</v>
      </c>
      <c r="D37" s="43">
        <f>IF(C37=0,"N.D.",C37/C37)</f>
        <v>1</v>
      </c>
      <c r="E37" s="42">
        <v>7413.8995400000003</v>
      </c>
      <c r="F37" s="43">
        <f>IF(E37=0,"N.D.",E37/E37)</f>
        <v>1</v>
      </c>
      <c r="G37" s="42">
        <v>2653.9143199999999</v>
      </c>
      <c r="H37" s="43">
        <f>IF(G37=0,"N.D.",G37/G37)</f>
        <v>1</v>
      </c>
      <c r="I37" s="42">
        <v>0</v>
      </c>
      <c r="J37" s="43" t="str">
        <f>IF(I37=0,"N.D.",I37/I37)</f>
        <v>N.D.</v>
      </c>
      <c r="K37" s="42">
        <v>0</v>
      </c>
      <c r="L37" s="43" t="str">
        <f>IF(K37=0,"N.D.",K37/K37)</f>
        <v>N.D.</v>
      </c>
      <c r="M37" s="42">
        <v>0</v>
      </c>
      <c r="N37" s="43" t="str">
        <f>IF(M37=0,"N.D.",M37/M37)</f>
        <v>N.D.</v>
      </c>
      <c r="O37" s="42"/>
      <c r="P37" s="43" t="str">
        <f>IF(O37=0,"N.D.",O37/O37)</f>
        <v>N.D.</v>
      </c>
      <c r="Q37" s="42"/>
      <c r="R37" s="43" t="str">
        <f>IF(Q37=0,"N.D.",Q37/Q37)</f>
        <v>N.D.</v>
      </c>
      <c r="S37" s="42"/>
      <c r="T37" s="43" t="str">
        <f>IF(S37=0,"N.D.",S37/S37)</f>
        <v>N.D.</v>
      </c>
      <c r="U37" s="42"/>
      <c r="V37" s="43" t="str">
        <f>IF(U37=0,"N.D.",U37/U37)</f>
        <v>N.D.</v>
      </c>
      <c r="W37" s="42"/>
      <c r="X37" s="43" t="str">
        <f>IF(W37=0,"N.D.",W37/W37)</f>
        <v>N.D.</v>
      </c>
      <c r="Y37" s="42"/>
      <c r="Z37" s="43" t="str">
        <f>IF(Y37=0,"N.D.",Y37/Y37)</f>
        <v>N.D.</v>
      </c>
      <c r="AA37" s="42">
        <f>+Y37+W37+U37+S37+Q37+O37+M37+K37+I37+G37+E37+C37</f>
        <v>14310.625090000001</v>
      </c>
      <c r="AB37" s="43">
        <f>IF(AA37=0,"N.D.",AA37/AA37)</f>
        <v>1</v>
      </c>
      <c r="AD37" s="350">
        <f>+AA37-ER!O33</f>
        <v>-6692.7077899999967</v>
      </c>
    </row>
    <row r="38" spans="2:30" x14ac:dyDescent="0.25">
      <c r="B38" s="41" t="s">
        <v>145</v>
      </c>
      <c r="C38" s="45">
        <v>1898.83971</v>
      </c>
      <c r="D38" s="46">
        <f>IF(C37=0,"N.D.",C38/C37)</f>
        <v>0.44754282174368615</v>
      </c>
      <c r="E38" s="45">
        <v>3522.5046699999998</v>
      </c>
      <c r="F38" s="46">
        <f>IF(E37=0,"N.D.",E38/E37)</f>
        <v>0.47512171577118506</v>
      </c>
      <c r="G38" s="45">
        <v>1488.8026200000002</v>
      </c>
      <c r="H38" s="46">
        <f>IF(G37=0,"N.D.",G38/G37)</f>
        <v>0.56098367938268645</v>
      </c>
      <c r="I38" s="45">
        <v>0</v>
      </c>
      <c r="J38" s="46" t="str">
        <f>IF(I37=0,"N.D.",I38/I37)</f>
        <v>N.D.</v>
      </c>
      <c r="K38" s="45">
        <v>0</v>
      </c>
      <c r="L38" s="46" t="str">
        <f>IF(K37=0,"N.D.",K38/K37)</f>
        <v>N.D.</v>
      </c>
      <c r="M38" s="45">
        <v>0</v>
      </c>
      <c r="N38" s="46" t="str">
        <f>IF(M37=0,"N.D.",M38/M37)</f>
        <v>N.D.</v>
      </c>
      <c r="O38" s="45"/>
      <c r="P38" s="46" t="str">
        <f>IF(O37=0,"N.D.",O38/O37)</f>
        <v>N.D.</v>
      </c>
      <c r="Q38" s="45"/>
      <c r="R38" s="46" t="str">
        <f>IF(Q37=0,"N.D.",Q38/Q37)</f>
        <v>N.D.</v>
      </c>
      <c r="S38" s="45"/>
      <c r="T38" s="46" t="str">
        <f>IF(S37=0,"N.D.",S38/S37)</f>
        <v>N.D.</v>
      </c>
      <c r="U38" s="45"/>
      <c r="V38" s="46" t="str">
        <f>IF(U37=0,"N.D.",U38/U37)</f>
        <v>N.D.</v>
      </c>
      <c r="W38" s="45"/>
      <c r="X38" s="46" t="str">
        <f>IF(W37=0,"N.D.",W38/W37)</f>
        <v>N.D.</v>
      </c>
      <c r="Y38" s="45"/>
      <c r="Z38" s="46" t="str">
        <f>IF(Y37=0,"N.D.",Y38/Y37)</f>
        <v>N.D.</v>
      </c>
      <c r="AA38" s="45">
        <f t="shared" ref="AA38:AA58" si="198">+Y38+W38+U38+S38+Q38+O38+M38+K38+I38+G38+E38+C38</f>
        <v>6910.1469999999999</v>
      </c>
      <c r="AB38" s="46">
        <f>IF(AA37=0,"N.D.",AA38/AA37)</f>
        <v>0.48286828538528914</v>
      </c>
      <c r="AD38" s="351">
        <f>+AA38-ER!O34</f>
        <v>-3497.4861199999987</v>
      </c>
    </row>
    <row r="39" spans="2:30" ht="13" x14ac:dyDescent="0.3">
      <c r="B39" s="47" t="s">
        <v>237</v>
      </c>
      <c r="C39" s="48">
        <v>2343.9715200000001</v>
      </c>
      <c r="D39" s="49">
        <f>IF(C37=0,"N.D.",C39/C37)</f>
        <v>0.5524571782563138</v>
      </c>
      <c r="E39" s="48">
        <v>3891.3948700000001</v>
      </c>
      <c r="F39" s="49">
        <f>IF(E37=0,"N.D.",E39/E37)</f>
        <v>0.52487828422881488</v>
      </c>
      <c r="G39" s="48">
        <v>1165.1116999999999</v>
      </c>
      <c r="H39" s="49">
        <f>IF(G37=0,"N.D.",G39/G37)</f>
        <v>0.43901632061731366</v>
      </c>
      <c r="I39" s="48">
        <v>0</v>
      </c>
      <c r="J39" s="49" t="str">
        <f>IF(I37=0,"N.D.",I39/I37)</f>
        <v>N.D.</v>
      </c>
      <c r="K39" s="48">
        <v>0</v>
      </c>
      <c r="L39" s="49" t="str">
        <f>IF(K37=0,"N.D.",K39/K37)</f>
        <v>N.D.</v>
      </c>
      <c r="M39" s="48">
        <v>0</v>
      </c>
      <c r="N39" s="49" t="str">
        <f>IF(M37=0,"N.D.",M39/M37)</f>
        <v>N.D.</v>
      </c>
      <c r="O39" s="48"/>
      <c r="P39" s="49" t="str">
        <f>IF(O37=0,"N.D.",O39/O37)</f>
        <v>N.D.</v>
      </c>
      <c r="Q39" s="48"/>
      <c r="R39" s="49" t="str">
        <f>IF(Q37=0,"N.D.",Q39/Q37)</f>
        <v>N.D.</v>
      </c>
      <c r="S39" s="48"/>
      <c r="T39" s="49" t="str">
        <f>IF(S37=0,"N.D.",S39/S37)</f>
        <v>N.D.</v>
      </c>
      <c r="U39" s="48"/>
      <c r="V39" s="49" t="str">
        <f>IF(U37=0,"N.D.",U39/U37)</f>
        <v>N.D.</v>
      </c>
      <c r="W39" s="48"/>
      <c r="X39" s="49" t="str">
        <f>IF(W37=0,"N.D.",W39/W37)</f>
        <v>N.D.</v>
      </c>
      <c r="Y39" s="48"/>
      <c r="Z39" s="49" t="str">
        <f>IF(Y37=0,"N.D.",Y39/Y37)</f>
        <v>N.D.</v>
      </c>
      <c r="AA39" s="48">
        <f t="shared" si="198"/>
        <v>7400.4780899999996</v>
      </c>
      <c r="AB39" s="49">
        <f>IF(AA37=0,"N.D.",AA39/AA37)</f>
        <v>0.51713171461471075</v>
      </c>
      <c r="AD39" s="352">
        <f>+AA39-ER!O35</f>
        <v>-3195.2216699999999</v>
      </c>
    </row>
    <row r="40" spans="2:30" x14ac:dyDescent="0.25">
      <c r="B40" s="41"/>
      <c r="C40" s="50"/>
      <c r="D40" s="44"/>
      <c r="E40" s="50"/>
      <c r="F40" s="44"/>
      <c r="G40" s="50"/>
      <c r="H40" s="44"/>
      <c r="I40" s="50"/>
      <c r="J40" s="44"/>
      <c r="K40" s="50"/>
      <c r="L40" s="44"/>
      <c r="M40" s="50"/>
      <c r="N40" s="44"/>
      <c r="O40" s="50"/>
      <c r="P40" s="44"/>
      <c r="Q40" s="50"/>
      <c r="R40" s="44"/>
      <c r="S40" s="50"/>
      <c r="T40" s="44"/>
      <c r="U40" s="50"/>
      <c r="V40" s="44"/>
      <c r="W40" s="50"/>
      <c r="X40" s="44"/>
      <c r="Y40" s="50"/>
      <c r="Z40" s="44"/>
      <c r="AA40" s="50"/>
      <c r="AB40" s="44"/>
      <c r="AD40" s="50"/>
    </row>
    <row r="41" spans="2:30" x14ac:dyDescent="0.25">
      <c r="B41" s="41" t="s">
        <v>238</v>
      </c>
      <c r="C41" s="42">
        <v>230.72676999999999</v>
      </c>
      <c r="D41" s="43">
        <f>IF(C37=0,"N.D.",C41/C37)</f>
        <v>5.4380635265736291E-2</v>
      </c>
      <c r="E41" s="42">
        <v>255.65034</v>
      </c>
      <c r="F41" s="43">
        <f>IF(E37=0,"N.D.",E41/E37)</f>
        <v>3.4482574065199702E-2</v>
      </c>
      <c r="G41" s="42">
        <v>134.92626000000001</v>
      </c>
      <c r="H41" s="43">
        <f>IF(G37=0,"N.D.",G41/G37)</f>
        <v>5.0840473252354287E-2</v>
      </c>
      <c r="I41" s="42">
        <v>25.056000000000001</v>
      </c>
      <c r="J41" s="43" t="str">
        <f>IF(I37=0,"N.D.",I41/I37)</f>
        <v>N.D.</v>
      </c>
      <c r="K41" s="42">
        <v>25.056000000000001</v>
      </c>
      <c r="L41" s="43" t="str">
        <f>IF(K37=0,"N.D.",K41/K37)</f>
        <v>N.D.</v>
      </c>
      <c r="M41" s="42">
        <v>25.056000000000001</v>
      </c>
      <c r="N41" s="43" t="str">
        <f>IF(M37=0,"N.D.",M41/M37)</f>
        <v>N.D.</v>
      </c>
      <c r="O41" s="42"/>
      <c r="P41" s="43" t="str">
        <f>IF(O37=0,"N.D.",O41/O37)</f>
        <v>N.D.</v>
      </c>
      <c r="Q41" s="42"/>
      <c r="R41" s="43" t="str">
        <f>IF(Q37=0,"N.D.",Q41/Q37)</f>
        <v>N.D.</v>
      </c>
      <c r="S41" s="42"/>
      <c r="T41" s="43" t="str">
        <f>IF(S37=0,"N.D.",S41/S37)</f>
        <v>N.D.</v>
      </c>
      <c r="U41" s="42"/>
      <c r="V41" s="43" t="str">
        <f>IF(U37=0,"N.D.",U41/U37)</f>
        <v>N.D.</v>
      </c>
      <c r="W41" s="42"/>
      <c r="X41" s="43" t="str">
        <f>IF(W37=0,"N.D.",W41/W37)</f>
        <v>N.D.</v>
      </c>
      <c r="Y41" s="42"/>
      <c r="Z41" s="43" t="str">
        <f>IF(Y37=0,"N.D.",Y41/Y37)</f>
        <v>N.D.</v>
      </c>
      <c r="AA41" s="42">
        <f t="shared" si="198"/>
        <v>696.47136999999998</v>
      </c>
      <c r="AB41" s="43">
        <f>IF(AA37=0,"N.D.",AA41/AA37)</f>
        <v>4.8668130540760322E-2</v>
      </c>
      <c r="AD41" s="350">
        <f>+AA41-ER!O37</f>
        <v>-259.30552</v>
      </c>
    </row>
    <row r="42" spans="2:30" x14ac:dyDescent="0.25">
      <c r="B42" s="41" t="s">
        <v>239</v>
      </c>
      <c r="C42" s="45">
        <v>123.78367999999999</v>
      </c>
      <c r="D42" s="51">
        <f>IF(C37=0,"N.D.",C42/C37)</f>
        <v>2.9174920421807214E-2</v>
      </c>
      <c r="E42" s="45">
        <v>151.72287</v>
      </c>
      <c r="F42" s="51">
        <f>IF(E37=0,"N.D.",E42/E37)</f>
        <v>2.0464651453855551E-2</v>
      </c>
      <c r="G42" s="45">
        <v>235.68217000000001</v>
      </c>
      <c r="H42" s="51">
        <f>IF(G37=0,"N.D.",G42/G37)</f>
        <v>8.880549316301968E-2</v>
      </c>
      <c r="I42" s="45">
        <v>222.31975</v>
      </c>
      <c r="J42" s="51" t="str">
        <f>IF(I37=0,"N.D.",I42/I37)</f>
        <v>N.D.</v>
      </c>
      <c r="K42" s="45">
        <v>222.31975</v>
      </c>
      <c r="L42" s="51" t="str">
        <f>IF(K37=0,"N.D.",K42/K37)</f>
        <v>N.D.</v>
      </c>
      <c r="M42" s="45">
        <v>222.31975</v>
      </c>
      <c r="N42" s="51" t="str">
        <f>IF(M37=0,"N.D.",M42/M37)</f>
        <v>N.D.</v>
      </c>
      <c r="O42" s="45"/>
      <c r="P42" s="51" t="str">
        <f>IF(O37=0,"N.D.",O42/O37)</f>
        <v>N.D.</v>
      </c>
      <c r="Q42" s="45"/>
      <c r="R42" s="51" t="str">
        <f>IF(Q37=0,"N.D.",Q42/Q37)</f>
        <v>N.D.</v>
      </c>
      <c r="S42" s="45"/>
      <c r="T42" s="51" t="str">
        <f>IF(S37=0,"N.D.",S42/S37)</f>
        <v>N.D.</v>
      </c>
      <c r="U42" s="45"/>
      <c r="V42" s="51" t="str">
        <f>IF(U37=0,"N.D.",U42/U37)</f>
        <v>N.D.</v>
      </c>
      <c r="W42" s="45"/>
      <c r="X42" s="51" t="str">
        <f>IF(W37=0,"N.D.",W42/W37)</f>
        <v>N.D.</v>
      </c>
      <c r="Y42" s="45"/>
      <c r="Z42" s="51" t="str">
        <f>IF(Y37=0,"N.D.",Y42/Y37)</f>
        <v>N.D.</v>
      </c>
      <c r="AA42" s="45">
        <f t="shared" si="198"/>
        <v>1178.14797</v>
      </c>
      <c r="AB42" s="51">
        <f>IF(AA37=0,"N.D.",AA42/AA37)</f>
        <v>8.2326800023799648E-2</v>
      </c>
      <c r="AD42" s="351">
        <f>+AA42-ER!O38</f>
        <v>-20.744280000000117</v>
      </c>
    </row>
    <row r="43" spans="2:30" x14ac:dyDescent="0.25">
      <c r="B43" s="41" t="s">
        <v>240</v>
      </c>
      <c r="C43" s="52">
        <v>1.15299</v>
      </c>
      <c r="D43" s="46">
        <f>IF(C37=0,"N.D.",C43/C37)</f>
        <v>2.7175142552830468E-4</v>
      </c>
      <c r="E43" s="52">
        <v>1.15299</v>
      </c>
      <c r="F43" s="46">
        <f>IF(E37=0,"N.D.",E43/E37)</f>
        <v>1.5551734870149049E-4</v>
      </c>
      <c r="G43" s="52">
        <v>1.15299</v>
      </c>
      <c r="H43" s="46">
        <f>IF(G37=0,"N.D.",G43/G37)</f>
        <v>4.3444884083522337E-4</v>
      </c>
      <c r="I43" s="52">
        <v>7.4007200000000006</v>
      </c>
      <c r="J43" s="46" t="str">
        <f>IF(I37=0,"N.D.",I43/I37)</f>
        <v>N.D.</v>
      </c>
      <c r="K43" s="52">
        <v>7.4007200000000006</v>
      </c>
      <c r="L43" s="46" t="str">
        <f>IF(K37=0,"N.D.",K43/K37)</f>
        <v>N.D.</v>
      </c>
      <c r="M43" s="52">
        <v>7.4007200000000006</v>
      </c>
      <c r="N43" s="46" t="str">
        <f>IF(M37=0,"N.D.",M43/M37)</f>
        <v>N.D.</v>
      </c>
      <c r="O43" s="52"/>
      <c r="P43" s="46" t="str">
        <f>IF(O37=0,"N.D.",O43/O37)</f>
        <v>N.D.</v>
      </c>
      <c r="Q43" s="52"/>
      <c r="R43" s="46" t="str">
        <f>IF(Q37=0,"N.D.",Q43/Q37)</f>
        <v>N.D.</v>
      </c>
      <c r="S43" s="52"/>
      <c r="T43" s="46" t="str">
        <f>IF(S37=0,"N.D.",S43/S37)</f>
        <v>N.D.</v>
      </c>
      <c r="U43" s="52"/>
      <c r="V43" s="46" t="str">
        <f>IF(U37=0,"N.D.",U43/U37)</f>
        <v>N.D.</v>
      </c>
      <c r="W43" s="52"/>
      <c r="X43" s="46" t="str">
        <f>IF(W37=0,"N.D.",W43/W37)</f>
        <v>N.D.</v>
      </c>
      <c r="Y43" s="52"/>
      <c r="Z43" s="46" t="str">
        <f>IF(Y37=0,"N.D.",Y43/Y37)</f>
        <v>N.D.</v>
      </c>
      <c r="AA43" s="52">
        <f t="shared" si="198"/>
        <v>25.66113</v>
      </c>
      <c r="AB43" s="46">
        <f>IF(AA37=0,"N.D.",AA43/AA37)</f>
        <v>1.7931522794159089E-3</v>
      </c>
      <c r="AD43" s="353">
        <f>+AA43-ER!O39</f>
        <v>13.64845</v>
      </c>
    </row>
    <row r="44" spans="2:30" ht="13" x14ac:dyDescent="0.3">
      <c r="B44" s="47" t="s">
        <v>241</v>
      </c>
      <c r="C44" s="48">
        <v>355.66343999999998</v>
      </c>
      <c r="D44" s="49">
        <f>IF(C37=0,"N.D.",C44/C37)</f>
        <v>8.3827307113071806E-2</v>
      </c>
      <c r="E44" s="48">
        <v>408.52620000000002</v>
      </c>
      <c r="F44" s="49">
        <f>IF(E37=0,"N.D.",E44/E37)</f>
        <v>5.5102742867756745E-2</v>
      </c>
      <c r="G44" s="48">
        <v>371.76141999999999</v>
      </c>
      <c r="H44" s="49">
        <f>IF(G37=0,"N.D.",G44/G37)</f>
        <v>0.14008041525620918</v>
      </c>
      <c r="I44" s="48">
        <v>254.77646999999999</v>
      </c>
      <c r="J44" s="49" t="str">
        <f>IF(I37=0,"N.D.",I44/I37)</f>
        <v>N.D.</v>
      </c>
      <c r="K44" s="48">
        <v>254.77646999999999</v>
      </c>
      <c r="L44" s="49" t="str">
        <f>IF(K37=0,"N.D.",K44/K37)</f>
        <v>N.D.</v>
      </c>
      <c r="M44" s="48">
        <v>254.77646999999999</v>
      </c>
      <c r="N44" s="49" t="str">
        <f>IF(M37=0,"N.D.",M44/M37)</f>
        <v>N.D.</v>
      </c>
      <c r="O44" s="48"/>
      <c r="P44" s="49" t="str">
        <f>IF(O37=0,"N.D.",O44/O37)</f>
        <v>N.D.</v>
      </c>
      <c r="Q44" s="48"/>
      <c r="R44" s="49" t="str">
        <f>IF(Q37=0,"N.D.",Q44/Q37)</f>
        <v>N.D.</v>
      </c>
      <c r="S44" s="48"/>
      <c r="T44" s="49" t="str">
        <f>IF(S37=0,"N.D.",S44/S37)</f>
        <v>N.D.</v>
      </c>
      <c r="U44" s="48"/>
      <c r="V44" s="49" t="str">
        <f>IF(U37=0,"N.D.",U44/U37)</f>
        <v>N.D.</v>
      </c>
      <c r="W44" s="48"/>
      <c r="X44" s="49" t="str">
        <f>IF(W37=0,"N.D.",W44/W37)</f>
        <v>N.D.</v>
      </c>
      <c r="Y44" s="48"/>
      <c r="Z44" s="49" t="str">
        <f>IF(Y37=0,"N.D.",Y44/Y37)</f>
        <v>N.D.</v>
      </c>
      <c r="AA44" s="48">
        <f t="shared" si="198"/>
        <v>1900.2804699999999</v>
      </c>
      <c r="AB44" s="49">
        <f>IF(AA37=0,"N.D.",AA44/AA37)</f>
        <v>0.13278808284397589</v>
      </c>
      <c r="AD44" s="352">
        <f>+AA44-ER!O40</f>
        <v>-266.40134999999987</v>
      </c>
    </row>
    <row r="45" spans="2:30" ht="13" x14ac:dyDescent="0.3">
      <c r="B45" s="47" t="s">
        <v>242</v>
      </c>
      <c r="C45" s="48">
        <v>1988.30808</v>
      </c>
      <c r="D45" s="49">
        <f>IF(C37=0,"N.D.",C45/C37)</f>
        <v>0.46862987114324195</v>
      </c>
      <c r="E45" s="48">
        <v>3482.8686699999998</v>
      </c>
      <c r="F45" s="49">
        <f>IF(E37=0,"N.D.",E45/E37)</f>
        <v>0.46977554136105809</v>
      </c>
      <c r="G45" s="48">
        <v>793.35028</v>
      </c>
      <c r="H45" s="49">
        <f>IF(G37=0,"N.D.",G45/G37)</f>
        <v>0.29893590536110454</v>
      </c>
      <c r="I45" s="48">
        <v>-254.77646999999999</v>
      </c>
      <c r="J45" s="49" t="str">
        <f>IF(I37=0,"N.D.",I45/I37)</f>
        <v>N.D.</v>
      </c>
      <c r="K45" s="48">
        <v>-254.77646999999999</v>
      </c>
      <c r="L45" s="49" t="str">
        <f>IF(K37=0,"N.D.",K45/K37)</f>
        <v>N.D.</v>
      </c>
      <c r="M45" s="48">
        <v>-254.77646999999999</v>
      </c>
      <c r="N45" s="49" t="str">
        <f>IF(M37=0,"N.D.",M45/M37)</f>
        <v>N.D.</v>
      </c>
      <c r="O45" s="48"/>
      <c r="P45" s="49" t="str">
        <f>IF(O37=0,"N.D.",O45/O37)</f>
        <v>N.D.</v>
      </c>
      <c r="Q45" s="48"/>
      <c r="R45" s="49" t="str">
        <f>IF(Q37=0,"N.D.",Q45/Q37)</f>
        <v>N.D.</v>
      </c>
      <c r="S45" s="48"/>
      <c r="T45" s="49" t="str">
        <f>IF(S37=0,"N.D.",S45/S37)</f>
        <v>N.D.</v>
      </c>
      <c r="U45" s="48"/>
      <c r="V45" s="49" t="str">
        <f>IF(U37=0,"N.D.",U45/U37)</f>
        <v>N.D.</v>
      </c>
      <c r="W45" s="48"/>
      <c r="X45" s="49" t="str">
        <f>IF(W37=0,"N.D.",W45/W37)</f>
        <v>N.D.</v>
      </c>
      <c r="Y45" s="48"/>
      <c r="Z45" s="49" t="str">
        <f>IF(Y37=0,"N.D.",Y45/Y37)</f>
        <v>N.D.</v>
      </c>
      <c r="AA45" s="48">
        <f t="shared" si="198"/>
        <v>5500.1976199999999</v>
      </c>
      <c r="AB45" s="49">
        <f>IF(AA37=0,"N.D.",AA45/AA37)</f>
        <v>0.38434363177073488</v>
      </c>
      <c r="AD45" s="352">
        <f>+AA45-ER!O41</f>
        <v>-2928.8203199999998</v>
      </c>
    </row>
    <row r="46" spans="2:30" x14ac:dyDescent="0.25">
      <c r="B46" s="41"/>
      <c r="C46" s="50"/>
      <c r="D46" s="44"/>
      <c r="E46" s="50"/>
      <c r="F46" s="44"/>
      <c r="G46" s="50"/>
      <c r="H46" s="44"/>
      <c r="I46" s="50"/>
      <c r="J46" s="44"/>
      <c r="K46" s="50"/>
      <c r="L46" s="44"/>
      <c r="M46" s="50"/>
      <c r="N46" s="44"/>
      <c r="O46" s="50"/>
      <c r="P46" s="44"/>
      <c r="Q46" s="50"/>
      <c r="R46" s="44"/>
      <c r="S46" s="50"/>
      <c r="T46" s="44"/>
      <c r="U46" s="50"/>
      <c r="V46" s="44"/>
      <c r="W46" s="50"/>
      <c r="X46" s="44"/>
      <c r="Y46" s="50"/>
      <c r="Z46" s="44"/>
      <c r="AA46" s="50"/>
      <c r="AB46" s="44"/>
      <c r="AD46" s="50"/>
    </row>
    <row r="47" spans="2:30" x14ac:dyDescent="0.25">
      <c r="B47" s="41" t="s">
        <v>243</v>
      </c>
      <c r="C47" s="42">
        <v>106.1875</v>
      </c>
      <c r="D47" s="56">
        <f>IF(C37=0,"N.D.",C47/C37)</f>
        <v>2.5027627731625476E-2</v>
      </c>
      <c r="E47" s="42">
        <v>-19.372199999999999</v>
      </c>
      <c r="F47" s="56">
        <f>IF(E37=0,"N.D.",E47/E37)</f>
        <v>-2.6129569055369207E-3</v>
      </c>
      <c r="G47" s="42">
        <v>-59.32197</v>
      </c>
      <c r="H47" s="56">
        <f>IF(G37=0,"N.D.",G47/G37)</f>
        <v>-2.2352631941787784E-2</v>
      </c>
      <c r="I47" s="42">
        <v>-21.099730000000001</v>
      </c>
      <c r="J47" s="56" t="str">
        <f>IF(I37=0,"N.D.",I47/I37)</f>
        <v>N.D.</v>
      </c>
      <c r="K47" s="42">
        <v>-21.099730000000001</v>
      </c>
      <c r="L47" s="56" t="str">
        <f>IF(K37=0,"N.D.",K47/K37)</f>
        <v>N.D.</v>
      </c>
      <c r="M47" s="42">
        <v>-21.099730000000001</v>
      </c>
      <c r="N47" s="56" t="str">
        <f>IF(M37=0,"N.D.",M47/M37)</f>
        <v>N.D.</v>
      </c>
      <c r="O47" s="42"/>
      <c r="P47" s="56" t="str">
        <f>IF(O37=0,"N.D.",O47/O37)</f>
        <v>N.D.</v>
      </c>
      <c r="Q47" s="42"/>
      <c r="R47" s="56" t="str">
        <f>IF(Q37=0,"N.D.",Q47/Q37)</f>
        <v>N.D.</v>
      </c>
      <c r="S47" s="42"/>
      <c r="T47" s="56" t="str">
        <f>IF(S37=0,"N.D.",S47/S37)</f>
        <v>N.D.</v>
      </c>
      <c r="U47" s="42"/>
      <c r="V47" s="56" t="str">
        <f>IF(U37=0,"N.D.",U47/U37)</f>
        <v>N.D.</v>
      </c>
      <c r="W47" s="42"/>
      <c r="X47" s="56" t="str">
        <f>IF(W37=0,"N.D.",W47/W37)</f>
        <v>N.D.</v>
      </c>
      <c r="Y47" s="42"/>
      <c r="Z47" s="56" t="str">
        <f>IF(Y37=0,"N.D.",Y47/Y37)</f>
        <v>N.D.</v>
      </c>
      <c r="AA47" s="42">
        <f t="shared" si="198"/>
        <v>-35.805859999999996</v>
      </c>
      <c r="AB47" s="43">
        <f>IF(AA37=0,"N.D.",AA47/AA37)</f>
        <v>-2.5020472393634616E-3</v>
      </c>
      <c r="AD47" s="350">
        <f>+AA47-ER!O43</f>
        <v>161.74909000000002</v>
      </c>
    </row>
    <row r="48" spans="2:30" x14ac:dyDescent="0.25">
      <c r="B48" s="41" t="s">
        <v>244</v>
      </c>
      <c r="C48" s="45">
        <v>0</v>
      </c>
      <c r="D48" s="57">
        <f>IF(C37=0,"N.D.",C48/C37)</f>
        <v>0</v>
      </c>
      <c r="E48" s="45">
        <v>0</v>
      </c>
      <c r="F48" s="57">
        <f>IF(E37=0,"N.D.",E48/E37)</f>
        <v>0</v>
      </c>
      <c r="G48" s="45">
        <v>0</v>
      </c>
      <c r="H48" s="57">
        <f>IF(G37=0,"N.D.",G48/G37)</f>
        <v>0</v>
      </c>
      <c r="I48" s="45">
        <v>0</v>
      </c>
      <c r="J48" s="57" t="str">
        <f>IF(I37=0,"N.D.",I48/I37)</f>
        <v>N.D.</v>
      </c>
      <c r="K48" s="45">
        <v>0</v>
      </c>
      <c r="L48" s="57" t="str">
        <f>IF(K37=0,"N.D.",K48/K37)</f>
        <v>N.D.</v>
      </c>
      <c r="M48" s="45">
        <v>0</v>
      </c>
      <c r="N48" s="57" t="str">
        <f>IF(M37=0,"N.D.",M48/M37)</f>
        <v>N.D.</v>
      </c>
      <c r="O48" s="45"/>
      <c r="P48" s="57" t="str">
        <f>IF(O37=0,"N.D.",O48/O37)</f>
        <v>N.D.</v>
      </c>
      <c r="Q48" s="45"/>
      <c r="R48" s="57" t="str">
        <f>IF(Q37=0,"N.D.",Q48/Q37)</f>
        <v>N.D.</v>
      </c>
      <c r="S48" s="45"/>
      <c r="T48" s="57" t="str">
        <f>IF(S37=0,"N.D.",S48/S37)</f>
        <v>N.D.</v>
      </c>
      <c r="U48" s="45"/>
      <c r="V48" s="57" t="str">
        <f>IF(U37=0,"N.D.",U48/U37)</f>
        <v>N.D.</v>
      </c>
      <c r="W48" s="45"/>
      <c r="X48" s="57" t="str">
        <f>IF(W37=0,"N.D.",W48/W37)</f>
        <v>N.D.</v>
      </c>
      <c r="Y48" s="45"/>
      <c r="Z48" s="57" t="str">
        <f>IF(Y37=0,"N.D.",Y48/Y37)</f>
        <v>N.D.</v>
      </c>
      <c r="AA48" s="45">
        <f t="shared" si="198"/>
        <v>0</v>
      </c>
      <c r="AB48" s="51">
        <f>IF(AA37=0,"N.D.",AA48/AA37)</f>
        <v>0</v>
      </c>
      <c r="AD48" s="351">
        <f>+AA48-ER!O44</f>
        <v>0</v>
      </c>
    </row>
    <row r="49" spans="2:30" x14ac:dyDescent="0.25">
      <c r="B49" s="41" t="s">
        <v>245</v>
      </c>
      <c r="C49" s="45">
        <v>1.32236</v>
      </c>
      <c r="D49" s="57">
        <f>IF(C37=0,"N.D.",C49/C37)</f>
        <v>3.1167071272223437E-4</v>
      </c>
      <c r="E49" s="45">
        <v>1.31094</v>
      </c>
      <c r="F49" s="57">
        <f>IF(E37=0,"N.D.",E49/E37)</f>
        <v>1.7682192656201003E-4</v>
      </c>
      <c r="G49" s="45">
        <v>1.5594700000000001</v>
      </c>
      <c r="H49" s="57">
        <f>IF(G37=0,"N.D.",G49/G37)</f>
        <v>5.8761128354739057E-4</v>
      </c>
      <c r="I49" s="45">
        <v>1.8873</v>
      </c>
      <c r="J49" s="57" t="str">
        <f>IF(I37=0,"N.D.",I49/I37)</f>
        <v>N.D.</v>
      </c>
      <c r="K49" s="45">
        <v>1.8873</v>
      </c>
      <c r="L49" s="57" t="str">
        <f>IF(K37=0,"N.D.",K49/K37)</f>
        <v>N.D.</v>
      </c>
      <c r="M49" s="45">
        <v>1.8873</v>
      </c>
      <c r="N49" s="57" t="str">
        <f>IF(M37=0,"N.D.",M49/M37)</f>
        <v>N.D.</v>
      </c>
      <c r="O49" s="45"/>
      <c r="P49" s="57" t="str">
        <f>IF(O37=0,"N.D.",O49/O37)</f>
        <v>N.D.</v>
      </c>
      <c r="Q49" s="45"/>
      <c r="R49" s="57" t="str">
        <f>IF(Q37=0,"N.D.",Q49/Q37)</f>
        <v>N.D.</v>
      </c>
      <c r="S49" s="45"/>
      <c r="T49" s="57" t="str">
        <f>IF(S37=0,"N.D.",S49/S37)</f>
        <v>N.D.</v>
      </c>
      <c r="U49" s="45"/>
      <c r="V49" s="57" t="str">
        <f>IF(U37=0,"N.D.",U49/U37)</f>
        <v>N.D.</v>
      </c>
      <c r="W49" s="45"/>
      <c r="X49" s="57" t="str">
        <f>IF(W37=0,"N.D.",W49/W37)</f>
        <v>N.D.</v>
      </c>
      <c r="Y49" s="45"/>
      <c r="Z49" s="57" t="str">
        <f>IF(Y37=0,"N.D.",Y49/Y37)</f>
        <v>N.D.</v>
      </c>
      <c r="AA49" s="45">
        <f t="shared" si="198"/>
        <v>9.8546700000000005</v>
      </c>
      <c r="AB49" s="51">
        <f>IF(AA37=0,"N.D.",AA49/AA37)</f>
        <v>6.886261038929921E-4</v>
      </c>
      <c r="AD49" s="351">
        <f>+AA49-ER!O45</f>
        <v>0.84902000000000122</v>
      </c>
    </row>
    <row r="50" spans="2:30" x14ac:dyDescent="0.25">
      <c r="B50" s="41" t="s">
        <v>246</v>
      </c>
      <c r="C50" s="45">
        <v>359.32408000000004</v>
      </c>
      <c r="D50" s="57">
        <f>IF(C37=0,"N.D.",C50/C37)</f>
        <v>8.469009355384402E-2</v>
      </c>
      <c r="E50" s="45">
        <v>365.91952000000003</v>
      </c>
      <c r="F50" s="57">
        <f>IF(E37=0,"N.D.",E50/E37)</f>
        <v>4.9355877838074942E-2</v>
      </c>
      <c r="G50" s="45">
        <v>481.13097999999997</v>
      </c>
      <c r="H50" s="57">
        <f>IF(G37=0,"N.D.",G50/G37)</f>
        <v>0.18129107498843444</v>
      </c>
      <c r="I50" s="45">
        <v>396.27823999999998</v>
      </c>
      <c r="J50" s="57" t="str">
        <f>IF(I37=0,"N.D.",I50/I37)</f>
        <v>N.D.</v>
      </c>
      <c r="K50" s="45">
        <v>396.27823999999998</v>
      </c>
      <c r="L50" s="57" t="str">
        <f>IF(K37=0,"N.D.",K50/K37)</f>
        <v>N.D.</v>
      </c>
      <c r="M50" s="45">
        <v>396.27823999999998</v>
      </c>
      <c r="N50" s="57" t="str">
        <f>IF(M37=0,"N.D.",M50/M37)</f>
        <v>N.D.</v>
      </c>
      <c r="O50" s="45"/>
      <c r="P50" s="57" t="str">
        <f>IF(O37=0,"N.D.",O50/O37)</f>
        <v>N.D.</v>
      </c>
      <c r="Q50" s="45"/>
      <c r="R50" s="57" t="str">
        <f>IF(Q37=0,"N.D.",Q50/Q37)</f>
        <v>N.D.</v>
      </c>
      <c r="S50" s="45"/>
      <c r="T50" s="57" t="str">
        <f>IF(S37=0,"N.D.",S50/S37)</f>
        <v>N.D.</v>
      </c>
      <c r="U50" s="45"/>
      <c r="V50" s="57" t="str">
        <f>IF(U37=0,"N.D.",U50/U37)</f>
        <v>N.D.</v>
      </c>
      <c r="W50" s="45"/>
      <c r="X50" s="57" t="str">
        <f>IF(W37=0,"N.D.",W50/W37)</f>
        <v>N.D.</v>
      </c>
      <c r="Y50" s="45"/>
      <c r="Z50" s="57" t="str">
        <f>IF(Y37=0,"N.D.",Y50/Y37)</f>
        <v>N.D.</v>
      </c>
      <c r="AA50" s="45">
        <f t="shared" si="198"/>
        <v>2395.2092999999995</v>
      </c>
      <c r="AB50" s="51">
        <f>IF(AA37=0,"N.D.",AA50/AA37)</f>
        <v>0.16737279363664745</v>
      </c>
      <c r="AD50" s="351">
        <f>+AA50-ER!O46</f>
        <v>-484.65768000000025</v>
      </c>
    </row>
    <row r="51" spans="2:30" x14ac:dyDescent="0.25">
      <c r="B51" s="41"/>
      <c r="C51" s="52">
        <v>0</v>
      </c>
      <c r="D51" s="58">
        <f>IF(C37=0,"N.D.",C51/C37)</f>
        <v>0</v>
      </c>
      <c r="E51" s="52">
        <v>0</v>
      </c>
      <c r="F51" s="58">
        <f>IF(E37=0,"N.D.",E51/E37)</f>
        <v>0</v>
      </c>
      <c r="G51" s="52">
        <v>0</v>
      </c>
      <c r="H51" s="58">
        <f>IF(G37=0,"N.D.",G51/G37)</f>
        <v>0</v>
      </c>
      <c r="I51" s="52">
        <v>0</v>
      </c>
      <c r="J51" s="58" t="str">
        <f>IF(I37=0,"N.D.",I51/I37)</f>
        <v>N.D.</v>
      </c>
      <c r="K51" s="52">
        <v>0</v>
      </c>
      <c r="L51" s="58" t="str">
        <f>IF(K37=0,"N.D.",K51/K37)</f>
        <v>N.D.</v>
      </c>
      <c r="M51" s="52">
        <v>0</v>
      </c>
      <c r="N51" s="58" t="str">
        <f>IF(M37=0,"N.D.",M51/M37)</f>
        <v>N.D.</v>
      </c>
      <c r="O51" s="52"/>
      <c r="P51" s="58" t="str">
        <f>IF(O37=0,"N.D.",O51/O37)</f>
        <v>N.D.</v>
      </c>
      <c r="Q51" s="52"/>
      <c r="R51" s="58" t="str">
        <f>IF(Q37=0,"N.D.",Q51/Q37)</f>
        <v>N.D.</v>
      </c>
      <c r="S51" s="52"/>
      <c r="T51" s="58" t="str">
        <f>IF(S37=0,"N.D.",S51/S37)</f>
        <v>N.D.</v>
      </c>
      <c r="U51" s="52"/>
      <c r="V51" s="58" t="str">
        <f>IF(U37=0,"N.D.",U51/U37)</f>
        <v>N.D.</v>
      </c>
      <c r="W51" s="52"/>
      <c r="X51" s="58" t="str">
        <f>IF(W37=0,"N.D.",W51/W37)</f>
        <v>N.D.</v>
      </c>
      <c r="Y51" s="52"/>
      <c r="Z51" s="58" t="str">
        <f>IF(Y37=0,"N.D.",Y51/Y37)</f>
        <v>N.D.</v>
      </c>
      <c r="AA51" s="52">
        <f t="shared" si="198"/>
        <v>0</v>
      </c>
      <c r="AB51" s="46">
        <f>IF(AA37=0,"N.D.",AA51/AA37)</f>
        <v>0</v>
      </c>
      <c r="AD51" s="353">
        <f>+AA51-ER!O47</f>
        <v>0</v>
      </c>
    </row>
    <row r="52" spans="2:30" ht="13" x14ac:dyDescent="0.3">
      <c r="B52" s="47" t="s">
        <v>143</v>
      </c>
      <c r="C52" s="48">
        <v>-251.81422000000003</v>
      </c>
      <c r="D52" s="49">
        <f>IF(C37=0,"N.D.",C52/C37)</f>
        <v>-5.9350795109496306E-2</v>
      </c>
      <c r="E52" s="48">
        <v>-383.98078000000004</v>
      </c>
      <c r="F52" s="49">
        <f>IF(E37=0,"N.D.",E52/E37)</f>
        <v>-5.1792012817049857E-2</v>
      </c>
      <c r="G52" s="48">
        <v>-538.89347999999995</v>
      </c>
      <c r="H52" s="49">
        <f>IF(G37=0,"N.D.",G52/G37)</f>
        <v>-0.20305609564667482</v>
      </c>
      <c r="I52" s="48">
        <v>-415.49066999999997</v>
      </c>
      <c r="J52" s="49" t="str">
        <f>IF(I37=0,"N.D.",I52/I37)</f>
        <v>N.D.</v>
      </c>
      <c r="K52" s="48">
        <v>-415.49066999999997</v>
      </c>
      <c r="L52" s="49" t="str">
        <f>IF(K37=0,"N.D.",K52/K37)</f>
        <v>N.D.</v>
      </c>
      <c r="M52" s="48">
        <v>-415.49066999999997</v>
      </c>
      <c r="N52" s="49" t="str">
        <f>IF(M37=0,"N.D.",M52/M37)</f>
        <v>N.D.</v>
      </c>
      <c r="O52" s="48"/>
      <c r="P52" s="49" t="str">
        <f>IF(O37=0,"N.D.",O52/O37)</f>
        <v>N.D.</v>
      </c>
      <c r="Q52" s="48"/>
      <c r="R52" s="49" t="str">
        <f>IF(Q37=0,"N.D.",Q52/Q37)</f>
        <v>N.D.</v>
      </c>
      <c r="S52" s="48"/>
      <c r="T52" s="49" t="str">
        <f>IF(S37=0,"N.D.",S52/S37)</f>
        <v>N.D.</v>
      </c>
      <c r="U52" s="48"/>
      <c r="V52" s="49" t="str">
        <f>IF(U37=0,"N.D.",U52/U37)</f>
        <v>N.D.</v>
      </c>
      <c r="W52" s="48"/>
      <c r="X52" s="49" t="str">
        <f>IF(W37=0,"N.D.",W52/W37)</f>
        <v>N.D.</v>
      </c>
      <c r="Y52" s="48"/>
      <c r="Z52" s="49" t="str">
        <f>IF(Y37=0,"N.D.",Y52/Y37)</f>
        <v>N.D.</v>
      </c>
      <c r="AA52" s="48">
        <f t="shared" si="198"/>
        <v>-2421.1604900000002</v>
      </c>
      <c r="AB52" s="49">
        <f>IF(AA37=0,"N.D.",AA52/AA37)</f>
        <v>-0.16918621477211795</v>
      </c>
      <c r="AD52" s="352">
        <f>+AA52-ER!O48</f>
        <v>647.25578999999971</v>
      </c>
    </row>
    <row r="53" spans="2:30" ht="13" x14ac:dyDescent="0.3">
      <c r="B53" s="47" t="s">
        <v>247</v>
      </c>
      <c r="C53" s="48">
        <v>2240.1223</v>
      </c>
      <c r="D53" s="49">
        <f>IF(C37=0,"N.D.",C53/C37)</f>
        <v>0.52798066625273821</v>
      </c>
      <c r="E53" s="48">
        <v>3866.8494500000002</v>
      </c>
      <c r="F53" s="49">
        <f>IF(E37=0,"N.D.",E53/E37)</f>
        <v>0.52156755417810796</v>
      </c>
      <c r="G53" s="48">
        <v>1332.2437600000001</v>
      </c>
      <c r="H53" s="49">
        <f>IF(G37=0,"N.D.",G53/G37)</f>
        <v>0.50199200100777941</v>
      </c>
      <c r="I53" s="48">
        <v>160.71420000000001</v>
      </c>
      <c r="J53" s="49" t="str">
        <f>IF(I37=0,"N.D.",I53/I37)</f>
        <v>N.D.</v>
      </c>
      <c r="K53" s="48">
        <v>160.71420000000001</v>
      </c>
      <c r="L53" s="49" t="str">
        <f>IF(K37=0,"N.D.",K53/K37)</f>
        <v>N.D.</v>
      </c>
      <c r="M53" s="48">
        <v>160.71420000000001</v>
      </c>
      <c r="N53" s="49" t="str">
        <f>IF(M37=0,"N.D.",M53/M37)</f>
        <v>N.D.</v>
      </c>
      <c r="O53" s="48"/>
      <c r="P53" s="49" t="str">
        <f>IF(O37=0,"N.D.",O53/O37)</f>
        <v>N.D.</v>
      </c>
      <c r="Q53" s="48"/>
      <c r="R53" s="49" t="str">
        <f>IF(Q37=0,"N.D.",Q53/Q37)</f>
        <v>N.D.</v>
      </c>
      <c r="S53" s="48"/>
      <c r="T53" s="49" t="str">
        <f>IF(S37=0,"N.D.",S53/S37)</f>
        <v>N.D.</v>
      </c>
      <c r="U53" s="48"/>
      <c r="V53" s="49" t="str">
        <f>IF(U37=0,"N.D.",U53/U37)</f>
        <v>N.D.</v>
      </c>
      <c r="W53" s="48"/>
      <c r="X53" s="49" t="str">
        <f>IF(W37=0,"N.D.",W53/W37)</f>
        <v>N.D.</v>
      </c>
      <c r="Y53" s="48"/>
      <c r="Z53" s="49" t="str">
        <f>IF(Y37=0,"N.D.",Y53/Y37)</f>
        <v>N.D.</v>
      </c>
      <c r="AA53" s="48">
        <f t="shared" si="198"/>
        <v>7921.3581100000001</v>
      </c>
      <c r="AB53" s="49">
        <f>IF(AA37=0,"N.D.",AA53/AA37)</f>
        <v>0.55352984654285287</v>
      </c>
      <c r="AD53" s="352">
        <f>+AA53-ER!O49</f>
        <v>-3576.0761099999991</v>
      </c>
    </row>
    <row r="54" spans="2:30" x14ac:dyDescent="0.25">
      <c r="B54" s="41"/>
      <c r="C54" s="50"/>
      <c r="D54" s="44"/>
      <c r="E54" s="50"/>
      <c r="F54" s="44"/>
      <c r="G54" s="50"/>
      <c r="H54" s="44"/>
      <c r="I54" s="50"/>
      <c r="J54" s="44"/>
      <c r="K54" s="50"/>
      <c r="L54" s="44"/>
      <c r="M54" s="50"/>
      <c r="N54" s="44"/>
      <c r="O54" s="50"/>
      <c r="P54" s="44"/>
      <c r="Q54" s="50"/>
      <c r="R54" s="44"/>
      <c r="S54" s="50"/>
      <c r="T54" s="44"/>
      <c r="U54" s="50"/>
      <c r="V54" s="44"/>
      <c r="W54" s="50"/>
      <c r="X54" s="44"/>
      <c r="Y54" s="50"/>
      <c r="Z54" s="44"/>
      <c r="AA54" s="50"/>
      <c r="AB54" s="44"/>
      <c r="AD54" s="50"/>
    </row>
    <row r="55" spans="2:30" x14ac:dyDescent="0.25">
      <c r="B55" s="41" t="s">
        <v>397</v>
      </c>
      <c r="C55" s="42">
        <v>0</v>
      </c>
      <c r="D55" s="56">
        <f>IF(C37=0,"N.D.",C55/C37)</f>
        <v>0</v>
      </c>
      <c r="E55" s="42">
        <v>0</v>
      </c>
      <c r="F55" s="56">
        <f>IF(E37=0,"N.D.",E55/E37)</f>
        <v>0</v>
      </c>
      <c r="G55" s="42">
        <v>0</v>
      </c>
      <c r="H55" s="56">
        <f>IF(G37=0,"N.D.",G55/G37)</f>
        <v>0</v>
      </c>
      <c r="I55" s="42">
        <v>0</v>
      </c>
      <c r="J55" s="56" t="str">
        <f>IF(I37=0,"N.D.",I55/I37)</f>
        <v>N.D.</v>
      </c>
      <c r="K55" s="42">
        <v>0</v>
      </c>
      <c r="L55" s="56" t="str">
        <f>IF(K37=0,"N.D.",K55/K37)</f>
        <v>N.D.</v>
      </c>
      <c r="M55" s="42">
        <v>0</v>
      </c>
      <c r="N55" s="56" t="str">
        <f>IF(M37=0,"N.D.",M55/M37)</f>
        <v>N.D.</v>
      </c>
      <c r="O55" s="42"/>
      <c r="P55" s="56" t="str">
        <f>IF(O37=0,"N.D.",O55/O37)</f>
        <v>N.D.</v>
      </c>
      <c r="Q55" s="42"/>
      <c r="R55" s="56" t="str">
        <f>IF(Q37=0,"N.D.",Q55/Q37)</f>
        <v>N.D.</v>
      </c>
      <c r="S55" s="42"/>
      <c r="T55" s="56" t="str">
        <f>IF(S37=0,"N.D.",S55/S37)</f>
        <v>N.D.</v>
      </c>
      <c r="U55" s="42"/>
      <c r="V55" s="56" t="str">
        <f>IF(U37=0,"N.D.",U55/U37)</f>
        <v>N.D.</v>
      </c>
      <c r="W55" s="42"/>
      <c r="X55" s="56" t="str">
        <f>IF(W37=0,"N.D.",W55/W37)</f>
        <v>N.D.</v>
      </c>
      <c r="Y55" s="42"/>
      <c r="Z55" s="56" t="str">
        <f>IF(Y37=0,"N.D.",Y55/Y37)</f>
        <v>N.D.</v>
      </c>
      <c r="AA55" s="42">
        <f t="shared" si="198"/>
        <v>0</v>
      </c>
      <c r="AB55" s="43">
        <f>IF(AA37=0,"N.D.",AA55/AA37)</f>
        <v>0</v>
      </c>
      <c r="AD55" s="350">
        <f>+AA55-ER!O51</f>
        <v>0</v>
      </c>
    </row>
    <row r="56" spans="2:30" x14ac:dyDescent="0.25">
      <c r="B56" s="41" t="s">
        <v>395</v>
      </c>
      <c r="C56" s="52">
        <v>0</v>
      </c>
      <c r="D56" s="58">
        <f>IF(C37=0,"N.D.",C56/C37)</f>
        <v>0</v>
      </c>
      <c r="E56" s="52">
        <v>0</v>
      </c>
      <c r="F56" s="58">
        <f>IF(E37=0,"N.D.",E56/E37)</f>
        <v>0</v>
      </c>
      <c r="G56" s="52">
        <v>0</v>
      </c>
      <c r="H56" s="58">
        <f>IF(G37=0,"N.D.",G56/G37)</f>
        <v>0</v>
      </c>
      <c r="I56" s="52">
        <v>0</v>
      </c>
      <c r="J56" s="58" t="str">
        <f>IF(I37=0,"N.D.",I56/I37)</f>
        <v>N.D.</v>
      </c>
      <c r="K56" s="52">
        <v>0</v>
      </c>
      <c r="L56" s="58" t="str">
        <f>IF(K37=0,"N.D.",K56/K37)</f>
        <v>N.D.</v>
      </c>
      <c r="M56" s="52">
        <v>0</v>
      </c>
      <c r="N56" s="58" t="str">
        <f>IF(M37=0,"N.D.",M56/M37)</f>
        <v>N.D.</v>
      </c>
      <c r="O56" s="52"/>
      <c r="P56" s="58" t="str">
        <f>IF(O37=0,"N.D.",O56/O37)</f>
        <v>N.D.</v>
      </c>
      <c r="Q56" s="52"/>
      <c r="R56" s="58" t="str">
        <f>IF(Q37=0,"N.D.",Q56/Q37)</f>
        <v>N.D.</v>
      </c>
      <c r="S56" s="52"/>
      <c r="T56" s="58" t="str">
        <f>IF(S37=0,"N.D.",S56/S37)</f>
        <v>N.D.</v>
      </c>
      <c r="U56" s="52"/>
      <c r="V56" s="58" t="str">
        <f>IF(U37=0,"N.D.",U56/U37)</f>
        <v>N.D.</v>
      </c>
      <c r="W56" s="52"/>
      <c r="X56" s="58" t="str">
        <f>IF(W37=0,"N.D.",W56/W37)</f>
        <v>N.D.</v>
      </c>
      <c r="Y56" s="52"/>
      <c r="Z56" s="58" t="str">
        <f>IF(Y37=0,"N.D.",Y56/Y37)</f>
        <v>N.D.</v>
      </c>
      <c r="AA56" s="52">
        <f t="shared" si="198"/>
        <v>0</v>
      </c>
      <c r="AB56" s="51">
        <f>IF(AA37=0,"N.D.",AA56/AA37)</f>
        <v>0</v>
      </c>
      <c r="AD56" s="353">
        <f>+AA56-ER!O52</f>
        <v>0</v>
      </c>
    </row>
    <row r="57" spans="2:30" ht="13" x14ac:dyDescent="0.3">
      <c r="B57" s="47" t="s">
        <v>146</v>
      </c>
      <c r="C57" s="48">
        <v>2240.1223</v>
      </c>
      <c r="D57" s="49">
        <f>IF(C37=0,"N.D.",C57/C37)</f>
        <v>0.52798066625273821</v>
      </c>
      <c r="E57" s="48">
        <v>3866.8494500000002</v>
      </c>
      <c r="F57" s="49">
        <f>IF(E37=0,"N.D.",E57/E37)</f>
        <v>0.52156755417810796</v>
      </c>
      <c r="G57" s="48">
        <v>1332.2437600000001</v>
      </c>
      <c r="H57" s="49">
        <f>IF(G37=0,"N.D.",G57/G37)</f>
        <v>0.50199200100777941</v>
      </c>
      <c r="I57" s="48">
        <v>160.71420000000001</v>
      </c>
      <c r="J57" s="49" t="str">
        <f>IF(I37=0,"N.D.",I57/I37)</f>
        <v>N.D.</v>
      </c>
      <c r="K57" s="48">
        <v>160.71420000000001</v>
      </c>
      <c r="L57" s="49" t="str">
        <f>IF(K37=0,"N.D.",K57/K37)</f>
        <v>N.D.</v>
      </c>
      <c r="M57" s="48">
        <v>160.71420000000001</v>
      </c>
      <c r="N57" s="49" t="str">
        <f>IF(M37=0,"N.D.",M57/M37)</f>
        <v>N.D.</v>
      </c>
      <c r="O57" s="48"/>
      <c r="P57" s="49" t="str">
        <f>IF(O37=0,"N.D.",O57/O37)</f>
        <v>N.D.</v>
      </c>
      <c r="Q57" s="48"/>
      <c r="R57" s="49" t="str">
        <f>IF(Q37=0,"N.D.",Q57/Q37)</f>
        <v>N.D.</v>
      </c>
      <c r="S57" s="48"/>
      <c r="T57" s="49" t="str">
        <f>IF(S37=0,"N.D.",S57/S37)</f>
        <v>N.D.</v>
      </c>
      <c r="U57" s="48"/>
      <c r="V57" s="49" t="str">
        <f>IF(U37=0,"N.D.",U57/U37)</f>
        <v>N.D.</v>
      </c>
      <c r="W57" s="48"/>
      <c r="X57" s="49" t="str">
        <f>IF(W37=0,"N.D.",W57/W37)</f>
        <v>N.D.</v>
      </c>
      <c r="Y57" s="48"/>
      <c r="Z57" s="49" t="str">
        <f>IF(Y37=0,"N.D.",Y57/Y37)</f>
        <v>N.D.</v>
      </c>
      <c r="AA57" s="48">
        <f t="shared" si="198"/>
        <v>7921.3581100000001</v>
      </c>
      <c r="AB57" s="49">
        <f>IF(AA37=0,"N.D.",AA57/AA37)</f>
        <v>0.55352984654285287</v>
      </c>
      <c r="AD57" s="352">
        <f>+AA57-ER!O53</f>
        <v>-3576.0761099999991</v>
      </c>
    </row>
    <row r="58" spans="2:30" ht="13" x14ac:dyDescent="0.3">
      <c r="B58" s="47" t="s">
        <v>248</v>
      </c>
      <c r="C58" s="48">
        <v>1989.4610700000001</v>
      </c>
      <c r="D58" s="49">
        <f>IF(C37=0,"N.D.",C58/C37)</f>
        <v>0.46890162256877027</v>
      </c>
      <c r="E58" s="48">
        <v>3484.0216600000003</v>
      </c>
      <c r="F58" s="49">
        <f>IF(E37=0,"N.D.",E58/E37)</f>
        <v>0.46993105870975965</v>
      </c>
      <c r="G58" s="48">
        <v>794.50327000000004</v>
      </c>
      <c r="H58" s="49">
        <f>IF(G37=0,"N.D.",G58/G37)</f>
        <v>0.29937035420193975</v>
      </c>
      <c r="I58" s="48">
        <v>-247.37575000000001</v>
      </c>
      <c r="J58" s="49" t="str">
        <f>IF(I37=0,"N.D.",I58/I37)</f>
        <v>N.D.</v>
      </c>
      <c r="K58" s="48">
        <v>-247.37575000000001</v>
      </c>
      <c r="L58" s="49" t="str">
        <f>IF(K37=0,"N.D.",K58/K37)</f>
        <v>N.D.</v>
      </c>
      <c r="M58" s="48">
        <v>-247.37575000000001</v>
      </c>
      <c r="N58" s="49" t="str">
        <f>IF(M37=0,"N.D.",M58/M37)</f>
        <v>N.D.</v>
      </c>
      <c r="O58" s="48"/>
      <c r="P58" s="49" t="str">
        <f>IF(O37=0,"N.D.",O58/O37)</f>
        <v>N.D.</v>
      </c>
      <c r="Q58" s="48"/>
      <c r="R58" s="49" t="str">
        <f>IF(Q37=0,"N.D.",Q58/Q37)</f>
        <v>N.D.</v>
      </c>
      <c r="S58" s="48"/>
      <c r="T58" s="49" t="str">
        <f>IF(S37=0,"N.D.",S58/S37)</f>
        <v>N.D.</v>
      </c>
      <c r="U58" s="48"/>
      <c r="V58" s="49" t="str">
        <f>IF(U37=0,"N.D.",U58/U37)</f>
        <v>N.D.</v>
      </c>
      <c r="W58" s="48"/>
      <c r="X58" s="49" t="str">
        <f>IF(W37=0,"N.D.",W58/W37)</f>
        <v>N.D.</v>
      </c>
      <c r="Y58" s="48"/>
      <c r="Z58" s="49" t="str">
        <f>IF(Y37=0,"N.D.",Y58/Y37)</f>
        <v>N.D.</v>
      </c>
      <c r="AA58" s="48">
        <f t="shared" si="198"/>
        <v>5525.8587500000003</v>
      </c>
      <c r="AB58" s="49">
        <f>IF(AA37=0,"N.D.",AA58/AA37)</f>
        <v>0.38613678405015078</v>
      </c>
      <c r="AD58" s="352">
        <f>+AA58-ER!O54</f>
        <v>-2915.1718699999992</v>
      </c>
    </row>
    <row r="59" spans="2:30" x14ac:dyDescent="0.25"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</row>
    <row r="60" spans="2:30" ht="13" x14ac:dyDescent="0.3">
      <c r="B60" s="40"/>
      <c r="C60" s="39"/>
      <c r="E60" s="39"/>
      <c r="G60" s="39"/>
      <c r="I60" s="39"/>
      <c r="K60" s="39"/>
      <c r="M60" s="39"/>
      <c r="O60" s="39"/>
      <c r="Q60" s="39"/>
      <c r="S60" s="39"/>
      <c r="U60" s="39"/>
      <c r="W60" s="39"/>
      <c r="Y60" s="39"/>
      <c r="AA60" s="39"/>
    </row>
    <row r="62" spans="2:30" ht="13" x14ac:dyDescent="0.3">
      <c r="B62" s="195" t="s">
        <v>161</v>
      </c>
      <c r="C62" s="39" t="s">
        <v>171</v>
      </c>
      <c r="E62" s="39" t="s">
        <v>172</v>
      </c>
      <c r="G62" s="39" t="s">
        <v>173</v>
      </c>
      <c r="I62" s="39" t="s">
        <v>174</v>
      </c>
      <c r="K62" s="39" t="str">
        <f>+K36</f>
        <v>Mayo</v>
      </c>
      <c r="M62" s="39" t="str">
        <f>+M36</f>
        <v>Junio</v>
      </c>
      <c r="O62" s="39" t="str">
        <f>+O36</f>
        <v>Julio</v>
      </c>
      <c r="Q62" s="39" t="str">
        <f>+Q36</f>
        <v>Agosto</v>
      </c>
      <c r="S62" s="39" t="str">
        <f>+S36</f>
        <v>Septiembre</v>
      </c>
      <c r="U62" s="39" t="str">
        <f>+U36</f>
        <v>Octubre</v>
      </c>
      <c r="W62" s="39" t="str">
        <f>+W36</f>
        <v>Noviembre</v>
      </c>
      <c r="Y62" s="39" t="str">
        <f>+Y36</f>
        <v>Diciembre</v>
      </c>
      <c r="AA62" s="39" t="str">
        <f>+AA36</f>
        <v>Acum 2019</v>
      </c>
    </row>
    <row r="63" spans="2:30" x14ac:dyDescent="0.25">
      <c r="B63" s="41" t="s">
        <v>236</v>
      </c>
      <c r="C63" s="42">
        <v>1244.2581200000002</v>
      </c>
      <c r="D63" s="56">
        <f>IF(C63=0,"N.D.",C63/C63)</f>
        <v>1</v>
      </c>
      <c r="E63" s="42">
        <v>2248.18084</v>
      </c>
      <c r="F63" s="56">
        <f>IF(E63=0,"N.D.",E63/E63)</f>
        <v>1</v>
      </c>
      <c r="G63" s="42">
        <v>598.46474999999998</v>
      </c>
      <c r="H63" s="56">
        <f>IF(G63=0,"N.D.",G63/G63)</f>
        <v>1</v>
      </c>
      <c r="I63" s="42">
        <v>1148.1857399999999</v>
      </c>
      <c r="J63" s="56">
        <f>IF(I63=0,"N.D.",I63/I63)</f>
        <v>1</v>
      </c>
      <c r="K63" s="42">
        <v>1148.1857399999999</v>
      </c>
      <c r="L63" s="56">
        <f>IF(K63=0,"N.D.",K63/K63)</f>
        <v>1</v>
      </c>
      <c r="M63" s="42">
        <v>2463.6825199999998</v>
      </c>
      <c r="N63" s="56">
        <f>IF(M63=0,"N.D.",M63/M63)</f>
        <v>1</v>
      </c>
      <c r="O63" s="42"/>
      <c r="P63" s="56" t="str">
        <f>IF(O63=0,"N.D.",O63/O63)</f>
        <v>N.D.</v>
      </c>
      <c r="Q63" s="42"/>
      <c r="R63" s="56" t="str">
        <f>IF(Q63=0,"N.D.",Q63/Q63)</f>
        <v>N.D.</v>
      </c>
      <c r="S63" s="42"/>
      <c r="T63" s="56" t="str">
        <f>IF(S63=0,"N.D.",S63/S63)</f>
        <v>N.D.</v>
      </c>
      <c r="U63" s="42"/>
      <c r="V63" s="56" t="str">
        <f>IF(U63=0,"N.D.",U63/U63)</f>
        <v>N.D.</v>
      </c>
      <c r="W63" s="42"/>
      <c r="X63" s="56" t="str">
        <f>IF(W63=0,"N.D.",W63/W63)</f>
        <v>N.D.</v>
      </c>
      <c r="Y63" s="42"/>
      <c r="Z63" s="56" t="str">
        <f>IF(Y63=0,"N.D.",Y63/Y63)</f>
        <v>N.D.</v>
      </c>
      <c r="AA63" s="42">
        <f>+Y63+W63+U63+S63+Q63+O63+M63+K63+I63+G63+E63+C63</f>
        <v>8850.9577100000006</v>
      </c>
      <c r="AB63" s="43">
        <f>IF(AA63=0,"N.D.",AA63/AA63)</f>
        <v>1</v>
      </c>
      <c r="AD63" s="350">
        <f>+AA63-ER!Q33</f>
        <v>-1276.2106000000003</v>
      </c>
    </row>
    <row r="64" spans="2:30" x14ac:dyDescent="0.25">
      <c r="B64" s="41" t="s">
        <v>145</v>
      </c>
      <c r="C64" s="45">
        <v>954.16036999999994</v>
      </c>
      <c r="D64" s="46">
        <f>IF(C63=0,"N.D.",C64/C63)</f>
        <v>0.76685082834741702</v>
      </c>
      <c r="E64" s="45">
        <v>1915.9490800000001</v>
      </c>
      <c r="F64" s="46">
        <f>IF(E63=0,"N.D.",E64/E63)</f>
        <v>0.85222195915520749</v>
      </c>
      <c r="G64" s="45">
        <v>342.25731999999999</v>
      </c>
      <c r="H64" s="46">
        <f>IF(G63=0,"N.D.",G64/G63)</f>
        <v>0.5718921958227281</v>
      </c>
      <c r="I64" s="45">
        <v>882.61191000000008</v>
      </c>
      <c r="J64" s="46">
        <f>IF(I63=0,"N.D.",I64/I63)</f>
        <v>0.76870133398451734</v>
      </c>
      <c r="K64" s="45">
        <v>882.61191000000008</v>
      </c>
      <c r="L64" s="46">
        <f>IF(K63=0,"N.D.",K64/K63)</f>
        <v>0.76870133398451734</v>
      </c>
      <c r="M64" s="45">
        <v>2089.3833399999999</v>
      </c>
      <c r="N64" s="46">
        <f>IF(M63=0,"N.D.",M64/M63)</f>
        <v>0.84807328989775843</v>
      </c>
      <c r="O64" s="45"/>
      <c r="P64" s="46" t="str">
        <f>IF(O63=0,"N.D.",O64/O63)</f>
        <v>N.D.</v>
      </c>
      <c r="Q64" s="45"/>
      <c r="R64" s="46" t="str">
        <f>IF(Q63=0,"N.D.",Q64/Q63)</f>
        <v>N.D.</v>
      </c>
      <c r="S64" s="45"/>
      <c r="T64" s="46" t="str">
        <f>IF(S63=0,"N.D.",S64/S63)</f>
        <v>N.D.</v>
      </c>
      <c r="U64" s="45"/>
      <c r="V64" s="46" t="str">
        <f>IF(U63=0,"N.D.",U64/U63)</f>
        <v>N.D.</v>
      </c>
      <c r="W64" s="45"/>
      <c r="X64" s="46" t="str">
        <f>IF(W63=0,"N.D.",W64/W63)</f>
        <v>N.D.</v>
      </c>
      <c r="Y64" s="45"/>
      <c r="Z64" s="46" t="str">
        <f>IF(Y63=0,"N.D.",Y64/Y63)</f>
        <v>N.D.</v>
      </c>
      <c r="AA64" s="45">
        <f t="shared" ref="AA64:AA84" si="199">+Y64+W64+U64+S64+Q64+O64+M64+K64+I64+G64+E64+C64</f>
        <v>7066.9739300000001</v>
      </c>
      <c r="AB64" s="46">
        <f>IF(AA63=0,"N.D.",AA64/AA63)</f>
        <v>0.79844172365839938</v>
      </c>
      <c r="AD64" s="351">
        <f>+AA64-ER!Q34</f>
        <v>-863.66730000000007</v>
      </c>
    </row>
    <row r="65" spans="2:30" ht="13" x14ac:dyDescent="0.3">
      <c r="B65" s="47" t="s">
        <v>237</v>
      </c>
      <c r="C65" s="48">
        <v>290.09775000000025</v>
      </c>
      <c r="D65" s="49">
        <f>IF(C63=0,"N.D.",C65/C63)</f>
        <v>0.23314917165258298</v>
      </c>
      <c r="E65" s="48">
        <v>332.23176000000001</v>
      </c>
      <c r="F65" s="49">
        <f>IF(E63=0,"N.D.",E65/E63)</f>
        <v>0.14777804084479254</v>
      </c>
      <c r="G65" s="48">
        <v>256.20742999999999</v>
      </c>
      <c r="H65" s="49">
        <f>IF(G63=0,"N.D.",G65/G63)</f>
        <v>0.4281078041772719</v>
      </c>
      <c r="I65" s="48">
        <v>265.57383000000004</v>
      </c>
      <c r="J65" s="49">
        <f>IF(I63=0,"N.D.",I65/I63)</f>
        <v>0.23129866601548288</v>
      </c>
      <c r="K65" s="48">
        <v>265.57383000000004</v>
      </c>
      <c r="L65" s="49">
        <f>IF(K63=0,"N.D.",K65/K63)</f>
        <v>0.23129866601548288</v>
      </c>
      <c r="M65" s="48">
        <v>374.29917999999998</v>
      </c>
      <c r="N65" s="49">
        <f>IF(M63=0,"N.D.",M65/M63)</f>
        <v>0.1519267101022416</v>
      </c>
      <c r="O65" s="48"/>
      <c r="P65" s="49" t="str">
        <f>IF(O63=0,"N.D.",O65/O63)</f>
        <v>N.D.</v>
      </c>
      <c r="Q65" s="48"/>
      <c r="R65" s="49" t="str">
        <f>IF(Q63=0,"N.D.",Q65/Q63)</f>
        <v>N.D.</v>
      </c>
      <c r="S65" s="48"/>
      <c r="T65" s="49" t="str">
        <f>IF(S63=0,"N.D.",S65/S63)</f>
        <v>N.D.</v>
      </c>
      <c r="U65" s="48"/>
      <c r="V65" s="49" t="str">
        <f>IF(U63=0,"N.D.",U65/U63)</f>
        <v>N.D.</v>
      </c>
      <c r="W65" s="48"/>
      <c r="X65" s="49" t="str">
        <f>IF(W63=0,"N.D.",W65/W63)</f>
        <v>N.D.</v>
      </c>
      <c r="Y65" s="48"/>
      <c r="Z65" s="49" t="str">
        <f>IF(Y63=0,"N.D.",Y65/Y63)</f>
        <v>N.D.</v>
      </c>
      <c r="AA65" s="48">
        <f t="shared" si="199"/>
        <v>1783.9837800000005</v>
      </c>
      <c r="AB65" s="49">
        <f>IF(AA63=0,"N.D.",AA65/AA63)</f>
        <v>0.20155827634160059</v>
      </c>
      <c r="AD65" s="352">
        <f>+AA65-ER!Q35</f>
        <v>-412.54330000000027</v>
      </c>
    </row>
    <row r="66" spans="2:30" x14ac:dyDescent="0.25">
      <c r="B66" s="41"/>
      <c r="C66" s="50"/>
      <c r="D66" s="44"/>
      <c r="E66" s="50"/>
      <c r="F66" s="44"/>
      <c r="G66" s="50"/>
      <c r="H66" s="44"/>
      <c r="I66" s="50"/>
      <c r="J66" s="44"/>
      <c r="K66" s="50"/>
      <c r="L66" s="44"/>
      <c r="M66" s="50"/>
      <c r="N66" s="44"/>
      <c r="O66" s="50"/>
      <c r="P66" s="44"/>
      <c r="Q66" s="50"/>
      <c r="R66" s="44"/>
      <c r="S66" s="50"/>
      <c r="T66" s="44"/>
      <c r="U66" s="50"/>
      <c r="V66" s="44"/>
      <c r="W66" s="50"/>
      <c r="X66" s="44"/>
      <c r="Y66" s="50"/>
      <c r="Z66" s="44"/>
      <c r="AA66" s="50"/>
      <c r="AB66" s="44"/>
      <c r="AD66" s="50"/>
    </row>
    <row r="67" spans="2:30" x14ac:dyDescent="0.25">
      <c r="B67" s="41" t="s">
        <v>238</v>
      </c>
      <c r="C67" s="42">
        <v>0</v>
      </c>
      <c r="D67" s="43">
        <f>IF(C63=0,"N.D.",C67/C63)</f>
        <v>0</v>
      </c>
      <c r="E67" s="42">
        <v>0</v>
      </c>
      <c r="F67" s="43">
        <f>IF(E63=0,"N.D.",E67/E63)</f>
        <v>0</v>
      </c>
      <c r="G67" s="42">
        <v>0</v>
      </c>
      <c r="H67" s="43">
        <f>IF(G63=0,"N.D.",G67/G63)</f>
        <v>0</v>
      </c>
      <c r="I67" s="42">
        <v>0</v>
      </c>
      <c r="J67" s="43">
        <f>IF(I63=0,"N.D.",I67/I63)</f>
        <v>0</v>
      </c>
      <c r="K67" s="42">
        <v>0</v>
      </c>
      <c r="L67" s="43">
        <f>IF(K63=0,"N.D.",K67/K63)</f>
        <v>0</v>
      </c>
      <c r="M67" s="42">
        <v>0</v>
      </c>
      <c r="N67" s="43">
        <f>IF(M63=0,"N.D.",M67/M63)</f>
        <v>0</v>
      </c>
      <c r="O67" s="42"/>
      <c r="P67" s="43" t="str">
        <f>IF(O63=0,"N.D.",O67/O63)</f>
        <v>N.D.</v>
      </c>
      <c r="Q67" s="42"/>
      <c r="R67" s="43" t="str">
        <f>IF(Q63=0,"N.D.",Q67/Q63)</f>
        <v>N.D.</v>
      </c>
      <c r="S67" s="42"/>
      <c r="T67" s="43" t="str">
        <f>IF(S63=0,"N.D.",S67/S63)</f>
        <v>N.D.</v>
      </c>
      <c r="U67" s="42"/>
      <c r="V67" s="43" t="str">
        <f>IF(U63=0,"N.D.",U67/U63)</f>
        <v>N.D.</v>
      </c>
      <c r="W67" s="42"/>
      <c r="X67" s="43" t="str">
        <f>IF(W63=0,"N.D.",W67/W63)</f>
        <v>N.D.</v>
      </c>
      <c r="Y67" s="42"/>
      <c r="Z67" s="43" t="str">
        <f>IF(Y63=0,"N.D.",Y67/Y63)</f>
        <v>N.D.</v>
      </c>
      <c r="AA67" s="42">
        <f t="shared" si="199"/>
        <v>0</v>
      </c>
      <c r="AB67" s="43">
        <f>IF(AA63=0,"N.D.",AA67/AA63)</f>
        <v>0</v>
      </c>
      <c r="AD67" s="350">
        <f>+AA67-ER!Q37</f>
        <v>0</v>
      </c>
    </row>
    <row r="68" spans="2:30" x14ac:dyDescent="0.25">
      <c r="B68" s="41" t="s">
        <v>239</v>
      </c>
      <c r="C68" s="45">
        <v>104.99722</v>
      </c>
      <c r="D68" s="51">
        <f>IF(C63=0,"N.D.",C68/C63)</f>
        <v>8.4385400675544703E-2</v>
      </c>
      <c r="E68" s="45">
        <v>133.49816000000001</v>
      </c>
      <c r="F68" s="51">
        <f>IF(E63=0,"N.D.",E68/E63)</f>
        <v>5.9380525634227903E-2</v>
      </c>
      <c r="G68" s="45">
        <v>91.847100000000012</v>
      </c>
      <c r="H68" s="51">
        <f>IF(G63=0,"N.D.",G68/G63)</f>
        <v>0.15347119441871893</v>
      </c>
      <c r="I68" s="45">
        <v>153.29709</v>
      </c>
      <c r="J68" s="51">
        <f>IF(I63=0,"N.D.",I68/I63)</f>
        <v>0.13351244895272782</v>
      </c>
      <c r="K68" s="45">
        <v>153.29709</v>
      </c>
      <c r="L68" s="51">
        <f>IF(K63=0,"N.D.",K68/K63)</f>
        <v>0.13351244895272782</v>
      </c>
      <c r="M68" s="45">
        <v>138.77771999999999</v>
      </c>
      <c r="N68" s="51">
        <f>IF(M63=0,"N.D.",M68/M63)</f>
        <v>5.6329384518261708E-2</v>
      </c>
      <c r="O68" s="45"/>
      <c r="P68" s="51" t="str">
        <f>IF(O63=0,"N.D.",O68/O63)</f>
        <v>N.D.</v>
      </c>
      <c r="Q68" s="45"/>
      <c r="R68" s="51" t="str">
        <f>IF(Q63=0,"N.D.",Q68/Q63)</f>
        <v>N.D.</v>
      </c>
      <c r="S68" s="45"/>
      <c r="T68" s="51" t="str">
        <f>IF(S63=0,"N.D.",S68/S63)</f>
        <v>N.D.</v>
      </c>
      <c r="U68" s="45"/>
      <c r="V68" s="51" t="str">
        <f>IF(U63=0,"N.D.",U68/U63)</f>
        <v>N.D.</v>
      </c>
      <c r="W68" s="45"/>
      <c r="X68" s="51" t="str">
        <f>IF(W63=0,"N.D.",W68/W63)</f>
        <v>N.D.</v>
      </c>
      <c r="Y68" s="45"/>
      <c r="Z68" s="51" t="str">
        <f>IF(Y63=0,"N.D.",Y68/Y63)</f>
        <v>N.D.</v>
      </c>
      <c r="AA68" s="45">
        <f t="shared" si="199"/>
        <v>775.71438000000001</v>
      </c>
      <c r="AB68" s="51">
        <f>IF(AA63=0,"N.D.",AA68/AA63)</f>
        <v>8.7641858137406006E-2</v>
      </c>
      <c r="AD68" s="351">
        <f>+AA68-ER!Q38</f>
        <v>-91.185839999999985</v>
      </c>
    </row>
    <row r="69" spans="2:30" x14ac:dyDescent="0.25">
      <c r="B69" s="41" t="s">
        <v>240</v>
      </c>
      <c r="C69" s="52">
        <v>24.08915</v>
      </c>
      <c r="D69" s="46">
        <f>IF(C63=0,"N.D.",C69/C63)</f>
        <v>1.9360251392211123E-2</v>
      </c>
      <c r="E69" s="52">
        <v>24.08915</v>
      </c>
      <c r="F69" s="46">
        <f>IF(E63=0,"N.D.",E69/E63)</f>
        <v>1.0714952094334191E-2</v>
      </c>
      <c r="G69" s="52">
        <v>24.08915</v>
      </c>
      <c r="H69" s="46">
        <f>IF(G63=0,"N.D.",G69/G63)</f>
        <v>4.0251577056125698E-2</v>
      </c>
      <c r="I69" s="52">
        <v>24.71312</v>
      </c>
      <c r="J69" s="46">
        <f>IF(I63=0,"N.D.",I69/I63)</f>
        <v>2.1523625611305712E-2</v>
      </c>
      <c r="K69" s="52">
        <v>24.71312</v>
      </c>
      <c r="L69" s="46">
        <f>IF(K63=0,"N.D.",K69/K63)</f>
        <v>2.1523625611305712E-2</v>
      </c>
      <c r="M69" s="52">
        <v>24.08915</v>
      </c>
      <c r="N69" s="46">
        <f>IF(M63=0,"N.D.",M69/M63)</f>
        <v>9.7777005780761081E-3</v>
      </c>
      <c r="O69" s="52"/>
      <c r="P69" s="46" t="str">
        <f>IF(O63=0,"N.D.",O69/O63)</f>
        <v>N.D.</v>
      </c>
      <c r="Q69" s="52"/>
      <c r="R69" s="46" t="str">
        <f>IF(Q63=0,"N.D.",Q69/Q63)</f>
        <v>N.D.</v>
      </c>
      <c r="S69" s="52"/>
      <c r="T69" s="46" t="str">
        <f>IF(S63=0,"N.D.",S69/S63)</f>
        <v>N.D.</v>
      </c>
      <c r="U69" s="52"/>
      <c r="V69" s="46" t="str">
        <f>IF(U63=0,"N.D.",U69/U63)</f>
        <v>N.D.</v>
      </c>
      <c r="W69" s="52"/>
      <c r="X69" s="46" t="str">
        <f>IF(W63=0,"N.D.",W69/W63)</f>
        <v>N.D.</v>
      </c>
      <c r="Y69" s="52"/>
      <c r="Z69" s="46" t="str">
        <f>IF(Y63=0,"N.D.",Y69/Y63)</f>
        <v>N.D.</v>
      </c>
      <c r="AA69" s="52">
        <f t="shared" si="199"/>
        <v>145.78283999999999</v>
      </c>
      <c r="AB69" s="46">
        <f>IF(AA63=0,"N.D.",AA69/AA63)</f>
        <v>1.6470854881081562E-2</v>
      </c>
      <c r="AD69" s="353">
        <f>+AA69-ER!Q39</f>
        <v>-24.713120000000004</v>
      </c>
    </row>
    <row r="70" spans="2:30" ht="13" x14ac:dyDescent="0.3">
      <c r="B70" s="47" t="s">
        <v>241</v>
      </c>
      <c r="C70" s="48">
        <v>129.08636999999999</v>
      </c>
      <c r="D70" s="49">
        <f>IF(C63=0,"N.D.",C70/C63)</f>
        <v>0.10374565206775582</v>
      </c>
      <c r="E70" s="48">
        <v>157.58731</v>
      </c>
      <c r="F70" s="49">
        <f>IF(E63=0,"N.D.",E70/E63)</f>
        <v>7.0095477728562089E-2</v>
      </c>
      <c r="G70" s="48">
        <v>115.93625</v>
      </c>
      <c r="H70" s="49">
        <f>IF(G63=0,"N.D.",G70/G63)</f>
        <v>0.1937227714748446</v>
      </c>
      <c r="I70" s="48">
        <v>178.01021</v>
      </c>
      <c r="J70" s="49">
        <f>IF(I63=0,"N.D.",I70/I63)</f>
        <v>0.15503607456403354</v>
      </c>
      <c r="K70" s="48">
        <v>178.01021</v>
      </c>
      <c r="L70" s="49">
        <f>IF(K63=0,"N.D.",K70/K63)</f>
        <v>0.15503607456403354</v>
      </c>
      <c r="M70" s="48">
        <v>162.86687000000001</v>
      </c>
      <c r="N70" s="49">
        <f>IF(M63=0,"N.D.",M70/M63)</f>
        <v>6.6107085096337823E-2</v>
      </c>
      <c r="O70" s="48"/>
      <c r="P70" s="49" t="str">
        <f>IF(O63=0,"N.D.",O70/O63)</f>
        <v>N.D.</v>
      </c>
      <c r="Q70" s="48"/>
      <c r="R70" s="49" t="str">
        <f>IF(Q63=0,"N.D.",Q70/Q63)</f>
        <v>N.D.</v>
      </c>
      <c r="S70" s="48"/>
      <c r="T70" s="49" t="str">
        <f>IF(S63=0,"N.D.",S70/S63)</f>
        <v>N.D.</v>
      </c>
      <c r="U70" s="48"/>
      <c r="V70" s="49" t="str">
        <f>IF(U63=0,"N.D.",U70/U63)</f>
        <v>N.D.</v>
      </c>
      <c r="W70" s="48"/>
      <c r="X70" s="49" t="str">
        <f>IF(W63=0,"N.D.",W70/W63)</f>
        <v>N.D.</v>
      </c>
      <c r="Y70" s="48"/>
      <c r="Z70" s="49" t="str">
        <f>IF(Y63=0,"N.D.",Y70/Y63)</f>
        <v>N.D.</v>
      </c>
      <c r="AA70" s="48">
        <f t="shared" si="199"/>
        <v>921.49721999999997</v>
      </c>
      <c r="AB70" s="49">
        <f>IF(AA63=0,"N.D.",AA70/AA63)</f>
        <v>0.10411271301848757</v>
      </c>
      <c r="AD70" s="352">
        <f>+AA70-ER!Q40</f>
        <v>-115.89895999999999</v>
      </c>
    </row>
    <row r="71" spans="2:30" ht="13" x14ac:dyDescent="0.3">
      <c r="B71" s="47" t="s">
        <v>242</v>
      </c>
      <c r="C71" s="48">
        <v>161.01138000000026</v>
      </c>
      <c r="D71" s="49">
        <f>IF(C63=0,"N.D.",C71/C63)</f>
        <v>0.12940351958482718</v>
      </c>
      <c r="E71" s="48">
        <v>174.64445000000001</v>
      </c>
      <c r="F71" s="49">
        <f>IF(E63=0,"N.D.",E71/E63)</f>
        <v>7.7682563116230452E-2</v>
      </c>
      <c r="G71" s="48">
        <v>140.27117999999999</v>
      </c>
      <c r="H71" s="49">
        <f>IF(G63=0,"N.D.",G71/G63)</f>
        <v>0.23438503270242733</v>
      </c>
      <c r="I71" s="48">
        <v>87.56362</v>
      </c>
      <c r="J71" s="49">
        <f>IF(I63=0,"N.D.",I71/I63)</f>
        <v>7.6262591451449313E-2</v>
      </c>
      <c r="K71" s="48">
        <v>87.56362</v>
      </c>
      <c r="L71" s="49">
        <f>IF(K63=0,"N.D.",K71/K63)</f>
        <v>7.6262591451449313E-2</v>
      </c>
      <c r="M71" s="48">
        <v>211.43231</v>
      </c>
      <c r="N71" s="49">
        <f>IF(M63=0,"N.D.",M71/M63)</f>
        <v>8.5819625005903774E-2</v>
      </c>
      <c r="O71" s="48"/>
      <c r="P71" s="49" t="str">
        <f>IF(O63=0,"N.D.",O71/O63)</f>
        <v>N.D.</v>
      </c>
      <c r="Q71" s="48"/>
      <c r="R71" s="49" t="str">
        <f>IF(Q63=0,"N.D.",Q71/Q63)</f>
        <v>N.D.</v>
      </c>
      <c r="S71" s="48"/>
      <c r="T71" s="49" t="str">
        <f>IF(S63=0,"N.D.",S71/S63)</f>
        <v>N.D.</v>
      </c>
      <c r="U71" s="48"/>
      <c r="V71" s="49" t="str">
        <f>IF(U63=0,"N.D.",U71/U63)</f>
        <v>N.D.</v>
      </c>
      <c r="W71" s="48"/>
      <c r="X71" s="49" t="str">
        <f>IF(W63=0,"N.D.",W71/W63)</f>
        <v>N.D.</v>
      </c>
      <c r="Y71" s="48"/>
      <c r="Z71" s="49" t="str">
        <f>IF(Y63=0,"N.D.",Y71/Y63)</f>
        <v>N.D.</v>
      </c>
      <c r="AA71" s="48">
        <f t="shared" si="199"/>
        <v>862.48656000000028</v>
      </c>
      <c r="AB71" s="49">
        <f>IF(AA63=0,"N.D.",AA71/AA63)</f>
        <v>9.7445563323112994E-2</v>
      </c>
      <c r="AD71" s="352">
        <f>+AA71-ER!Q41</f>
        <v>-296.64434000000051</v>
      </c>
    </row>
    <row r="72" spans="2:30" x14ac:dyDescent="0.25">
      <c r="B72" s="41"/>
      <c r="C72" s="50"/>
      <c r="D72" s="44"/>
      <c r="E72" s="50"/>
      <c r="F72" s="44"/>
      <c r="G72" s="50"/>
      <c r="H72" s="44"/>
      <c r="I72" s="50"/>
      <c r="J72" s="44"/>
      <c r="K72" s="50"/>
      <c r="L72" s="44"/>
      <c r="M72" s="50"/>
      <c r="N72" s="44"/>
      <c r="O72" s="50"/>
      <c r="P72" s="44"/>
      <c r="Q72" s="50"/>
      <c r="R72" s="44"/>
      <c r="S72" s="50"/>
      <c r="T72" s="44"/>
      <c r="U72" s="50"/>
      <c r="V72" s="44"/>
      <c r="W72" s="50"/>
      <c r="X72" s="44"/>
      <c r="Y72" s="50"/>
      <c r="Z72" s="44"/>
      <c r="AA72" s="50"/>
      <c r="AB72" s="44"/>
      <c r="AD72" s="50"/>
    </row>
    <row r="73" spans="2:30" x14ac:dyDescent="0.25">
      <c r="B73" s="41" t="s">
        <v>243</v>
      </c>
      <c r="C73" s="42">
        <v>-128.32739000000001</v>
      </c>
      <c r="D73" s="43">
        <f>IF(C63=0,"N.D.",C73/C63)</f>
        <v>-0.10313566609474889</v>
      </c>
      <c r="E73" s="42">
        <v>19.09046</v>
      </c>
      <c r="F73" s="43">
        <f>IF(E63=0,"N.D.",E73/E63)</f>
        <v>8.4915144103799058E-3</v>
      </c>
      <c r="G73" s="42">
        <v>42.666519999999998</v>
      </c>
      <c r="H73" s="43">
        <f>IF(G63=0,"N.D.",G73/G63)</f>
        <v>7.1293288368279001E-2</v>
      </c>
      <c r="I73" s="42">
        <v>14.976090000000001</v>
      </c>
      <c r="J73" s="43">
        <f>IF(I63=0,"N.D.",I73/I63)</f>
        <v>1.3043264237021445E-2</v>
      </c>
      <c r="K73" s="42">
        <v>14.976090000000001</v>
      </c>
      <c r="L73" s="43">
        <f>IF(K63=0,"N.D.",K73/K63)</f>
        <v>1.3043264237021445E-2</v>
      </c>
      <c r="M73" s="42">
        <v>-37.010289999999998</v>
      </c>
      <c r="N73" s="43">
        <f>IF(M63=0,"N.D.",M73/M63)</f>
        <v>-1.502234549279507E-2</v>
      </c>
      <c r="O73" s="42"/>
      <c r="P73" s="43" t="str">
        <f>IF(O63=0,"N.D.",O73/O63)</f>
        <v>N.D.</v>
      </c>
      <c r="Q73" s="42"/>
      <c r="R73" s="43" t="str">
        <f>IF(Q63=0,"N.D.",Q73/Q63)</f>
        <v>N.D.</v>
      </c>
      <c r="S73" s="42"/>
      <c r="T73" s="43" t="str">
        <f>IF(S63=0,"N.D.",S73/S63)</f>
        <v>N.D.</v>
      </c>
      <c r="U73" s="42"/>
      <c r="V73" s="43" t="str">
        <f>IF(U63=0,"N.D.",U73/U63)</f>
        <v>N.D.</v>
      </c>
      <c r="W73" s="42"/>
      <c r="X73" s="43" t="str">
        <f>IF(W63=0,"N.D.",W73/W63)</f>
        <v>N.D.</v>
      </c>
      <c r="Y73" s="42"/>
      <c r="Z73" s="43" t="str">
        <f>IF(Y63=0,"N.D.",Y73/Y63)</f>
        <v>N.D.</v>
      </c>
      <c r="AA73" s="42">
        <f t="shared" si="199"/>
        <v>-73.628520000000009</v>
      </c>
      <c r="AB73" s="43">
        <f>IF(AA63=0,"N.D.",AA73/AA63)</f>
        <v>-8.3187065640154337E-3</v>
      </c>
      <c r="AD73" s="350">
        <f>+AA73-ER!Q43</f>
        <v>15.167929999999984</v>
      </c>
    </row>
    <row r="74" spans="2:30" x14ac:dyDescent="0.25">
      <c r="B74" s="41" t="s">
        <v>244</v>
      </c>
      <c r="C74" s="45">
        <v>0</v>
      </c>
      <c r="D74" s="51">
        <f>IF(C63=0,"N.D.",C74/C63)</f>
        <v>0</v>
      </c>
      <c r="E74" s="45">
        <v>0</v>
      </c>
      <c r="F74" s="51">
        <f>IF(E63=0,"N.D.",E74/E63)</f>
        <v>0</v>
      </c>
      <c r="G74" s="45">
        <v>0</v>
      </c>
      <c r="H74" s="51">
        <f>IF(G63=0,"N.D.",G74/G63)</f>
        <v>0</v>
      </c>
      <c r="I74" s="45">
        <v>0</v>
      </c>
      <c r="J74" s="51">
        <f>IF(I63=0,"N.D.",I74/I63)</f>
        <v>0</v>
      </c>
      <c r="K74" s="45">
        <v>0</v>
      </c>
      <c r="L74" s="51">
        <f>IF(K63=0,"N.D.",K74/K63)</f>
        <v>0</v>
      </c>
      <c r="M74" s="45">
        <v>0</v>
      </c>
      <c r="N74" s="51">
        <f>IF(M63=0,"N.D.",M74/M63)</f>
        <v>0</v>
      </c>
      <c r="O74" s="45"/>
      <c r="P74" s="51" t="str">
        <f>IF(O63=0,"N.D.",O74/O63)</f>
        <v>N.D.</v>
      </c>
      <c r="Q74" s="45"/>
      <c r="R74" s="51" t="str">
        <f>IF(Q63=0,"N.D.",Q74/Q63)</f>
        <v>N.D.</v>
      </c>
      <c r="S74" s="45"/>
      <c r="T74" s="51" t="str">
        <f>IF(S63=0,"N.D.",S74/S63)</f>
        <v>N.D.</v>
      </c>
      <c r="U74" s="45"/>
      <c r="V74" s="51" t="str">
        <f>IF(U63=0,"N.D.",U74/U63)</f>
        <v>N.D.</v>
      </c>
      <c r="W74" s="45"/>
      <c r="X74" s="51" t="str">
        <f>IF(W63=0,"N.D.",W74/W63)</f>
        <v>N.D.</v>
      </c>
      <c r="Y74" s="45"/>
      <c r="Z74" s="51" t="str">
        <f>IF(Y63=0,"N.D.",Y74/Y63)</f>
        <v>N.D.</v>
      </c>
      <c r="AA74" s="45">
        <f t="shared" si="199"/>
        <v>0</v>
      </c>
      <c r="AB74" s="51">
        <f>IF(AA63=0,"N.D.",AA74/AA63)</f>
        <v>0</v>
      </c>
      <c r="AD74" s="351">
        <f>+AA74-ER!Q44</f>
        <v>0</v>
      </c>
    </row>
    <row r="75" spans="2:30" x14ac:dyDescent="0.25">
      <c r="B75" s="41" t="s">
        <v>245</v>
      </c>
      <c r="C75" s="45">
        <v>38.673830000000002</v>
      </c>
      <c r="D75" s="51">
        <f>IF(C63=0,"N.D.",C75/C63)</f>
        <v>3.1081838549705424E-2</v>
      </c>
      <c r="E75" s="45">
        <v>28.970140000000001</v>
      </c>
      <c r="F75" s="51">
        <f>IF(E63=0,"N.D.",E75/E63)</f>
        <v>1.2886036338606997E-2</v>
      </c>
      <c r="G75" s="45">
        <v>58.187730000000002</v>
      </c>
      <c r="H75" s="51">
        <f>IF(G63=0,"N.D.",G75/G63)</f>
        <v>9.722833299705623E-2</v>
      </c>
      <c r="I75" s="45">
        <v>2.4860300000000004</v>
      </c>
      <c r="J75" s="51">
        <f>IF(I63=0,"N.D.",I75/I63)</f>
        <v>2.1651810446626871E-3</v>
      </c>
      <c r="K75" s="45">
        <v>2.4860300000000004</v>
      </c>
      <c r="L75" s="51">
        <f>IF(K63=0,"N.D.",K75/K63)</f>
        <v>2.1651810446626871E-3</v>
      </c>
      <c r="M75" s="45">
        <v>4.7067600000000001</v>
      </c>
      <c r="N75" s="51">
        <f>IF(M63=0,"N.D.",M75/M63)</f>
        <v>1.9104571964085699E-3</v>
      </c>
      <c r="O75" s="45"/>
      <c r="P75" s="51" t="str">
        <f>IF(O63=0,"N.D.",O75/O63)</f>
        <v>N.D.</v>
      </c>
      <c r="Q75" s="45"/>
      <c r="R75" s="51" t="str">
        <f>IF(Q63=0,"N.D.",Q75/Q63)</f>
        <v>N.D.</v>
      </c>
      <c r="S75" s="45"/>
      <c r="T75" s="51" t="str">
        <f>IF(S63=0,"N.D.",S75/S63)</f>
        <v>N.D.</v>
      </c>
      <c r="U75" s="45"/>
      <c r="V75" s="51" t="str">
        <f>IF(U63=0,"N.D.",U75/U63)</f>
        <v>N.D.</v>
      </c>
      <c r="W75" s="45"/>
      <c r="X75" s="51" t="str">
        <f>IF(W63=0,"N.D.",W75/W63)</f>
        <v>N.D.</v>
      </c>
      <c r="Y75" s="45"/>
      <c r="Z75" s="51" t="str">
        <f>IF(Y63=0,"N.D.",Y75/Y63)</f>
        <v>N.D.</v>
      </c>
      <c r="AA75" s="45">
        <f t="shared" si="199"/>
        <v>135.51052000000001</v>
      </c>
      <c r="AB75" s="51">
        <f>IF(AA63=0,"N.D.",AA75/AA63)</f>
        <v>1.5310266350826345E-2</v>
      </c>
      <c r="AD75" s="351">
        <f>+AA75-ER!Q45</f>
        <v>-1.3255599999999674</v>
      </c>
    </row>
    <row r="76" spans="2:30" x14ac:dyDescent="0.25">
      <c r="B76" s="41" t="s">
        <v>246</v>
      </c>
      <c r="C76" s="45">
        <v>0</v>
      </c>
      <c r="D76" s="51">
        <f>IF(C63=0,"N.D.",C76/C63)</f>
        <v>0</v>
      </c>
      <c r="E76" s="45">
        <v>0</v>
      </c>
      <c r="F76" s="51">
        <f>IF(E63=0,"N.D.",E76/E63)</f>
        <v>0</v>
      </c>
      <c r="G76" s="45">
        <v>0</v>
      </c>
      <c r="H76" s="51">
        <f>IF(G63=0,"N.D.",G76/G63)</f>
        <v>0</v>
      </c>
      <c r="I76" s="45">
        <v>0</v>
      </c>
      <c r="J76" s="51">
        <f>IF(I63=0,"N.D.",I76/I63)</f>
        <v>0</v>
      </c>
      <c r="K76" s="45">
        <v>0</v>
      </c>
      <c r="L76" s="51">
        <f>IF(K63=0,"N.D.",K76/K63)</f>
        <v>0</v>
      </c>
      <c r="M76" s="45">
        <v>0</v>
      </c>
      <c r="N76" s="51">
        <f>IF(M63=0,"N.D.",M76/M63)</f>
        <v>0</v>
      </c>
      <c r="O76" s="45"/>
      <c r="P76" s="51" t="str">
        <f>IF(O63=0,"N.D.",O76/O63)</f>
        <v>N.D.</v>
      </c>
      <c r="Q76" s="45"/>
      <c r="R76" s="51" t="str">
        <f>IF(Q63=0,"N.D.",Q76/Q63)</f>
        <v>N.D.</v>
      </c>
      <c r="S76" s="45"/>
      <c r="T76" s="51" t="str">
        <f>IF(S63=0,"N.D.",S76/S63)</f>
        <v>N.D.</v>
      </c>
      <c r="U76" s="45"/>
      <c r="V76" s="51" t="str">
        <f>IF(U63=0,"N.D.",U76/U63)</f>
        <v>N.D.</v>
      </c>
      <c r="W76" s="45"/>
      <c r="X76" s="51" t="str">
        <f>IF(W63=0,"N.D.",W76/W63)</f>
        <v>N.D.</v>
      </c>
      <c r="Y76" s="45"/>
      <c r="Z76" s="51" t="str">
        <f>IF(Y63=0,"N.D.",Y76/Y63)</f>
        <v>N.D.</v>
      </c>
      <c r="AA76" s="45">
        <f t="shared" si="199"/>
        <v>0</v>
      </c>
      <c r="AB76" s="51">
        <f>IF(AA63=0,"N.D.",AA76/AA63)</f>
        <v>0</v>
      </c>
      <c r="AD76" s="351">
        <f>+AA76-ER!Q46</f>
        <v>0</v>
      </c>
    </row>
    <row r="77" spans="2:30" x14ac:dyDescent="0.25">
      <c r="B77" s="41"/>
      <c r="C77" s="52">
        <v>0</v>
      </c>
      <c r="D77" s="46">
        <f>IF(C63=0,"N.D.",C77/C63)</f>
        <v>0</v>
      </c>
      <c r="E77" s="52">
        <v>0</v>
      </c>
      <c r="F77" s="46">
        <f>IF(E63=0,"N.D.",E77/E63)</f>
        <v>0</v>
      </c>
      <c r="G77" s="52">
        <v>0</v>
      </c>
      <c r="H77" s="46">
        <f>IF(G63=0,"N.D.",G77/G63)</f>
        <v>0</v>
      </c>
      <c r="I77" s="52">
        <v>0</v>
      </c>
      <c r="J77" s="46">
        <f>IF(I63=0,"N.D.",I77/I63)</f>
        <v>0</v>
      </c>
      <c r="K77" s="52">
        <v>0</v>
      </c>
      <c r="L77" s="46">
        <f>IF(K63=0,"N.D.",K77/K63)</f>
        <v>0</v>
      </c>
      <c r="M77" s="52">
        <v>0</v>
      </c>
      <c r="N77" s="46">
        <f>IF(M63=0,"N.D.",M77/M63)</f>
        <v>0</v>
      </c>
      <c r="O77" s="52"/>
      <c r="P77" s="46" t="str">
        <f>IF(O63=0,"N.D.",O77/O63)</f>
        <v>N.D.</v>
      </c>
      <c r="Q77" s="52"/>
      <c r="R77" s="46" t="str">
        <f>IF(Q63=0,"N.D.",Q77/Q63)</f>
        <v>N.D.</v>
      </c>
      <c r="S77" s="52"/>
      <c r="T77" s="46" t="str">
        <f>IF(S63=0,"N.D.",S77/S63)</f>
        <v>N.D.</v>
      </c>
      <c r="U77" s="52"/>
      <c r="V77" s="46" t="str">
        <f>IF(U63=0,"N.D.",U77/U63)</f>
        <v>N.D.</v>
      </c>
      <c r="W77" s="52"/>
      <c r="X77" s="46" t="str">
        <f>IF(W63=0,"N.D.",W77/W63)</f>
        <v>N.D.</v>
      </c>
      <c r="Y77" s="52"/>
      <c r="Z77" s="46" t="str">
        <f>IF(Y63=0,"N.D.",Y77/Y63)</f>
        <v>N.D.</v>
      </c>
      <c r="AA77" s="52">
        <f t="shared" si="199"/>
        <v>0</v>
      </c>
      <c r="AB77" s="46">
        <f>IF(AA63=0,"N.D.",AA77/AA63)</f>
        <v>0</v>
      </c>
      <c r="AD77" s="353">
        <f>+AA77-ER!Q47</f>
        <v>0</v>
      </c>
    </row>
    <row r="78" spans="2:30" ht="13" x14ac:dyDescent="0.3">
      <c r="B78" s="47" t="s">
        <v>143</v>
      </c>
      <c r="C78" s="48">
        <v>-89.653559999999999</v>
      </c>
      <c r="D78" s="49">
        <f>IF(C63=0,"N.D.",C78/C63)</f>
        <v>-7.2053827545043456E-2</v>
      </c>
      <c r="E78" s="48">
        <v>48.060600000000001</v>
      </c>
      <c r="F78" s="49">
        <f>IF(E63=0,"N.D.",E78/E63)</f>
        <v>2.1377550748986902E-2</v>
      </c>
      <c r="G78" s="48">
        <v>100.85424999999999</v>
      </c>
      <c r="H78" s="49">
        <f>IF(G63=0,"N.D.",G78/G63)</f>
        <v>0.16852162136533522</v>
      </c>
      <c r="I78" s="48">
        <v>17.462119999999999</v>
      </c>
      <c r="J78" s="49">
        <f>IF(I63=0,"N.D.",I78/I63)</f>
        <v>1.5208445281684128E-2</v>
      </c>
      <c r="K78" s="48">
        <v>17.462119999999999</v>
      </c>
      <c r="L78" s="49">
        <f>IF(K63=0,"N.D.",K78/K63)</f>
        <v>1.5208445281684128E-2</v>
      </c>
      <c r="M78" s="48">
        <v>-32.303530000000002</v>
      </c>
      <c r="N78" s="49">
        <f>IF(M63=0,"N.D.",M78/M63)</f>
        <v>-1.3111888296386503E-2</v>
      </c>
      <c r="O78" s="48"/>
      <c r="P78" s="49" t="str">
        <f>IF(O63=0,"N.D.",O78/O63)</f>
        <v>N.D.</v>
      </c>
      <c r="Q78" s="48"/>
      <c r="R78" s="49" t="str">
        <f>IF(Q63=0,"N.D.",Q78/Q63)</f>
        <v>N.D.</v>
      </c>
      <c r="S78" s="48"/>
      <c r="T78" s="49" t="str">
        <f>IF(S63=0,"N.D.",S78/S63)</f>
        <v>N.D.</v>
      </c>
      <c r="U78" s="48"/>
      <c r="V78" s="49" t="str">
        <f>IF(U63=0,"N.D.",U78/U63)</f>
        <v>N.D.</v>
      </c>
      <c r="W78" s="48"/>
      <c r="X78" s="49" t="str">
        <f>IF(W63=0,"N.D.",W78/W63)</f>
        <v>N.D.</v>
      </c>
      <c r="Y78" s="48"/>
      <c r="Z78" s="49" t="str">
        <f>IF(Y63=0,"N.D.",Y78/Y63)</f>
        <v>N.D.</v>
      </c>
      <c r="AA78" s="48">
        <f t="shared" si="199"/>
        <v>61.881999999999977</v>
      </c>
      <c r="AB78" s="49">
        <f>IF(AA63=0,"N.D.",AA78/AA63)</f>
        <v>6.9915597868109094E-3</v>
      </c>
      <c r="AD78" s="352">
        <f>+AA78-ER!Q48</f>
        <v>13.842369999999988</v>
      </c>
    </row>
    <row r="79" spans="2:30" ht="13" x14ac:dyDescent="0.3">
      <c r="B79" s="47" t="s">
        <v>247</v>
      </c>
      <c r="C79" s="48">
        <v>250.66494000000026</v>
      </c>
      <c r="D79" s="49">
        <f>IF(C63=0,"N.D.",C79/C63)</f>
        <v>0.20145734712987062</v>
      </c>
      <c r="E79" s="48">
        <v>126.58385000000001</v>
      </c>
      <c r="F79" s="49">
        <f>IF(E63=0,"N.D.",E79/E63)</f>
        <v>5.6305012367243557E-2</v>
      </c>
      <c r="G79" s="48">
        <v>39.416930000000001</v>
      </c>
      <c r="H79" s="49">
        <f>IF(G63=0,"N.D.",G79/G63)</f>
        <v>6.5863411337092115E-2</v>
      </c>
      <c r="I79" s="48">
        <v>70.101500000000001</v>
      </c>
      <c r="J79" s="49">
        <f>IF(I63=0,"N.D.",I79/I63)</f>
        <v>6.1054146169765185E-2</v>
      </c>
      <c r="K79" s="48">
        <v>70.101500000000001</v>
      </c>
      <c r="L79" s="49">
        <f>IF(K63=0,"N.D.",K79/K63)</f>
        <v>6.1054146169765185E-2</v>
      </c>
      <c r="M79" s="48">
        <v>243.73584</v>
      </c>
      <c r="N79" s="49">
        <f>IF(M63=0,"N.D.",M79/M63)</f>
        <v>9.8931513302290275E-2</v>
      </c>
      <c r="O79" s="48"/>
      <c r="P79" s="49" t="str">
        <f>IF(O63=0,"N.D.",O79/O63)</f>
        <v>N.D.</v>
      </c>
      <c r="Q79" s="48"/>
      <c r="R79" s="49" t="str">
        <f>IF(Q63=0,"N.D.",Q79/Q63)</f>
        <v>N.D.</v>
      </c>
      <c r="S79" s="48"/>
      <c r="T79" s="49" t="str">
        <f>IF(S63=0,"N.D.",S79/S63)</f>
        <v>N.D.</v>
      </c>
      <c r="U79" s="48"/>
      <c r="V79" s="49" t="str">
        <f>IF(U63=0,"N.D.",U79/U63)</f>
        <v>N.D.</v>
      </c>
      <c r="W79" s="48"/>
      <c r="X79" s="49" t="str">
        <f>IF(W63=0,"N.D.",W79/W63)</f>
        <v>N.D.</v>
      </c>
      <c r="Y79" s="48"/>
      <c r="Z79" s="49" t="str">
        <f>IF(Y63=0,"N.D.",Y79/Y63)</f>
        <v>N.D.</v>
      </c>
      <c r="AA79" s="48">
        <f t="shared" si="199"/>
        <v>800.60456000000022</v>
      </c>
      <c r="AB79" s="49">
        <f>IF(AA63=0,"N.D.",AA79/AA63)</f>
        <v>9.0454003536302077E-2</v>
      </c>
      <c r="AD79" s="352">
        <f>+AA79-ER!Q49</f>
        <v>-310.48671000000058</v>
      </c>
    </row>
    <row r="80" spans="2:30" x14ac:dyDescent="0.25">
      <c r="B80" s="41"/>
      <c r="C80" s="50"/>
      <c r="D80" s="44"/>
      <c r="E80" s="50"/>
      <c r="F80" s="44"/>
      <c r="G80" s="50"/>
      <c r="H80" s="44"/>
      <c r="I80" s="50"/>
      <c r="J80" s="44"/>
      <c r="K80" s="50"/>
      <c r="L80" s="44"/>
      <c r="M80" s="50"/>
      <c r="N80" s="44"/>
      <c r="O80" s="50"/>
      <c r="P80" s="44"/>
      <c r="Q80" s="50"/>
      <c r="R80" s="44"/>
      <c r="S80" s="50"/>
      <c r="T80" s="44"/>
      <c r="U80" s="50"/>
      <c r="V80" s="44"/>
      <c r="W80" s="50"/>
      <c r="X80" s="44"/>
      <c r="Y80" s="50"/>
      <c r="Z80" s="44"/>
      <c r="AA80" s="50"/>
      <c r="AB80" s="44"/>
      <c r="AD80" s="50"/>
    </row>
    <row r="81" spans="2:30" x14ac:dyDescent="0.25">
      <c r="B81" s="41" t="s">
        <v>397</v>
      </c>
      <c r="C81" s="42">
        <v>0</v>
      </c>
      <c r="D81" s="43">
        <f>IF(C63=0,"N.D.",C81/C63)</f>
        <v>0</v>
      </c>
      <c r="E81" s="42">
        <v>0</v>
      </c>
      <c r="F81" s="43">
        <f>IF(E63=0,"N.D.",E81/E63)</f>
        <v>0</v>
      </c>
      <c r="G81" s="42">
        <v>0</v>
      </c>
      <c r="H81" s="43">
        <f>IF(G63=0,"N.D.",G81/G63)</f>
        <v>0</v>
      </c>
      <c r="I81" s="42">
        <v>0</v>
      </c>
      <c r="J81" s="43">
        <f>IF(I63=0,"N.D.",I81/I63)</f>
        <v>0</v>
      </c>
      <c r="K81" s="42">
        <v>0</v>
      </c>
      <c r="L81" s="43">
        <f>IF(K63=0,"N.D.",K81/K63)</f>
        <v>0</v>
      </c>
      <c r="M81" s="42">
        <v>0</v>
      </c>
      <c r="N81" s="43">
        <f>IF(M63=0,"N.D.",M81/M63)</f>
        <v>0</v>
      </c>
      <c r="O81" s="42"/>
      <c r="P81" s="43" t="str">
        <f>IF(O63=0,"N.D.",O81/O63)</f>
        <v>N.D.</v>
      </c>
      <c r="Q81" s="42"/>
      <c r="R81" s="43" t="str">
        <f>IF(Q63=0,"N.D.",Q81/Q63)</f>
        <v>N.D.</v>
      </c>
      <c r="S81" s="42"/>
      <c r="T81" s="43" t="str">
        <f>IF(S63=0,"N.D.",S81/S63)</f>
        <v>N.D.</v>
      </c>
      <c r="U81" s="42"/>
      <c r="V81" s="43" t="str">
        <f>IF(U63=0,"N.D.",U81/U63)</f>
        <v>N.D.</v>
      </c>
      <c r="W81" s="42"/>
      <c r="X81" s="43" t="str">
        <f>IF(W63=0,"N.D.",W81/W63)</f>
        <v>N.D.</v>
      </c>
      <c r="Y81" s="42"/>
      <c r="Z81" s="43" t="str">
        <f>IF(Y63=0,"N.D.",Y81/Y63)</f>
        <v>N.D.</v>
      </c>
      <c r="AA81" s="42">
        <f t="shared" si="199"/>
        <v>0</v>
      </c>
      <c r="AB81" s="43">
        <f>IF(AA63=0,"N.D.",AA81/AA63)</f>
        <v>0</v>
      </c>
      <c r="AD81" s="350">
        <f>+AA81-ER!Q51</f>
        <v>0</v>
      </c>
    </row>
    <row r="82" spans="2:30" x14ac:dyDescent="0.25">
      <c r="B82" s="41" t="s">
        <v>395</v>
      </c>
      <c r="C82" s="52">
        <v>0</v>
      </c>
      <c r="D82" s="46">
        <f>IF(C63=0,"N.D.",C82/C63)</f>
        <v>0</v>
      </c>
      <c r="E82" s="52">
        <v>0</v>
      </c>
      <c r="F82" s="46">
        <f>IF(E63=0,"N.D.",E82/E63)</f>
        <v>0</v>
      </c>
      <c r="G82" s="52">
        <v>0</v>
      </c>
      <c r="H82" s="46">
        <f>IF(G63=0,"N.D.",G82/G63)</f>
        <v>0</v>
      </c>
      <c r="I82" s="52">
        <v>0</v>
      </c>
      <c r="J82" s="46">
        <f>IF(I63=0,"N.D.",I82/I63)</f>
        <v>0</v>
      </c>
      <c r="K82" s="52">
        <v>0</v>
      </c>
      <c r="L82" s="46">
        <f>IF(K63=0,"N.D.",K82/K63)</f>
        <v>0</v>
      </c>
      <c r="M82" s="52">
        <v>0</v>
      </c>
      <c r="N82" s="46">
        <f>IF(M63=0,"N.D.",M82/M63)</f>
        <v>0</v>
      </c>
      <c r="O82" s="52"/>
      <c r="P82" s="46" t="str">
        <f>IF(O63=0,"N.D.",O82/O63)</f>
        <v>N.D.</v>
      </c>
      <c r="Q82" s="52"/>
      <c r="R82" s="46" t="str">
        <f>IF(Q63=0,"N.D.",Q82/Q63)</f>
        <v>N.D.</v>
      </c>
      <c r="S82" s="52"/>
      <c r="T82" s="46" t="str">
        <f>IF(S63=0,"N.D.",S82/S63)</f>
        <v>N.D.</v>
      </c>
      <c r="U82" s="52"/>
      <c r="V82" s="46" t="str">
        <f>IF(U63=0,"N.D.",U82/U63)</f>
        <v>N.D.</v>
      </c>
      <c r="W82" s="52"/>
      <c r="X82" s="46" t="str">
        <f>IF(W63=0,"N.D.",W82/W63)</f>
        <v>N.D.</v>
      </c>
      <c r="Y82" s="52"/>
      <c r="Z82" s="46" t="str">
        <f>IF(Y63=0,"N.D.",Y82/Y63)</f>
        <v>N.D.</v>
      </c>
      <c r="AA82" s="52">
        <f t="shared" si="199"/>
        <v>0</v>
      </c>
      <c r="AB82" s="46">
        <f>IF(AA63=0,"N.D.",AA82/AA63)</f>
        <v>0</v>
      </c>
      <c r="AD82" s="353">
        <f>+AA82-ER!Q52</f>
        <v>0</v>
      </c>
    </row>
    <row r="83" spans="2:30" ht="13" x14ac:dyDescent="0.3">
      <c r="B83" s="47" t="s">
        <v>146</v>
      </c>
      <c r="C83" s="48">
        <v>250.66494000000026</v>
      </c>
      <c r="D83" s="49">
        <f>IF(C63=0,"N.D.",C83/C63)</f>
        <v>0.20145734712987062</v>
      </c>
      <c r="E83" s="48">
        <v>126.58385000000001</v>
      </c>
      <c r="F83" s="49">
        <f>IF(E63=0,"N.D.",E83/E63)</f>
        <v>5.6305012367243557E-2</v>
      </c>
      <c r="G83" s="48">
        <v>39.416930000000001</v>
      </c>
      <c r="H83" s="49">
        <f>IF(G63=0,"N.D.",G83/G63)</f>
        <v>6.5863411337092115E-2</v>
      </c>
      <c r="I83" s="48">
        <v>70.101500000000001</v>
      </c>
      <c r="J83" s="49">
        <f>IF(I63=0,"N.D.",I83/I63)</f>
        <v>6.1054146169765185E-2</v>
      </c>
      <c r="K83" s="48">
        <v>70.101500000000001</v>
      </c>
      <c r="L83" s="49">
        <f>IF(K63=0,"N.D.",K83/K63)</f>
        <v>6.1054146169765185E-2</v>
      </c>
      <c r="M83" s="48">
        <v>243.73584</v>
      </c>
      <c r="N83" s="49">
        <f>IF(M63=0,"N.D.",M83/M63)</f>
        <v>9.8931513302290275E-2</v>
      </c>
      <c r="O83" s="48"/>
      <c r="P83" s="49" t="str">
        <f>IF(O63=0,"N.D.",O83/O63)</f>
        <v>N.D.</v>
      </c>
      <c r="Q83" s="48"/>
      <c r="R83" s="49" t="str">
        <f>IF(Q63=0,"N.D.",Q83/Q63)</f>
        <v>N.D.</v>
      </c>
      <c r="S83" s="48"/>
      <c r="T83" s="49" t="str">
        <f>IF(S63=0,"N.D.",S83/S63)</f>
        <v>N.D.</v>
      </c>
      <c r="U83" s="48"/>
      <c r="V83" s="49" t="str">
        <f>IF(U63=0,"N.D.",U83/U63)</f>
        <v>N.D.</v>
      </c>
      <c r="W83" s="48"/>
      <c r="X83" s="49" t="str">
        <f>IF(W63=0,"N.D.",W83/W63)</f>
        <v>N.D.</v>
      </c>
      <c r="Y83" s="48"/>
      <c r="Z83" s="49" t="str">
        <f>IF(Y63=0,"N.D.",Y83/Y63)</f>
        <v>N.D.</v>
      </c>
      <c r="AA83" s="48">
        <f t="shared" si="199"/>
        <v>800.60456000000022</v>
      </c>
      <c r="AB83" s="49">
        <f>IF(AA63=0,"N.D.",AA83/AA63)</f>
        <v>9.0454003536302077E-2</v>
      </c>
      <c r="AD83" s="352">
        <f>+AA83-ER!Q53</f>
        <v>-310.48671000000058</v>
      </c>
    </row>
    <row r="84" spans="2:30" ht="13" x14ac:dyDescent="0.3">
      <c r="B84" s="47" t="s">
        <v>248</v>
      </c>
      <c r="C84" s="48">
        <v>185.10053000000025</v>
      </c>
      <c r="D84" s="49">
        <f>IF(C63=0,"N.D.",C84/C63)</f>
        <v>0.14876377097703827</v>
      </c>
      <c r="E84" s="48">
        <v>198.7336</v>
      </c>
      <c r="F84" s="49">
        <f>IF(E63=0,"N.D.",E84/E63)</f>
        <v>8.8397515210564645E-2</v>
      </c>
      <c r="G84" s="48">
        <v>164.36032999999998</v>
      </c>
      <c r="H84" s="49">
        <f>IF(G63=0,"N.D.",G84/G63)</f>
        <v>0.27463660975855297</v>
      </c>
      <c r="I84" s="48">
        <v>112.27674</v>
      </c>
      <c r="J84" s="49">
        <f>IF(I63=0,"N.D.",I84/I63)</f>
        <v>9.7786217062755032E-2</v>
      </c>
      <c r="K84" s="48">
        <v>112.27674</v>
      </c>
      <c r="L84" s="49">
        <f>IF(K63=0,"N.D.",K84/K63)</f>
        <v>9.7786217062755032E-2</v>
      </c>
      <c r="M84" s="48">
        <v>235.52145999999999</v>
      </c>
      <c r="N84" s="49">
        <f>IF(M63=0,"N.D.",M84/M63)</f>
        <v>9.5597325583979875E-2</v>
      </c>
      <c r="O84" s="48"/>
      <c r="P84" s="49" t="str">
        <f>IF(O63=0,"N.D.",O84/O63)</f>
        <v>N.D.</v>
      </c>
      <c r="Q84" s="48"/>
      <c r="R84" s="49" t="str">
        <f>IF(Q63=0,"N.D.",Q84/Q63)</f>
        <v>N.D.</v>
      </c>
      <c r="S84" s="48"/>
      <c r="T84" s="49" t="str">
        <f>IF(S63=0,"N.D.",S84/S63)</f>
        <v>N.D.</v>
      </c>
      <c r="U84" s="48"/>
      <c r="V84" s="49" t="str">
        <f>IF(U63=0,"N.D.",U84/U63)</f>
        <v>N.D.</v>
      </c>
      <c r="W84" s="48"/>
      <c r="X84" s="49" t="str">
        <f>IF(W63=0,"N.D.",W84/W63)</f>
        <v>N.D.</v>
      </c>
      <c r="Y84" s="48"/>
      <c r="Z84" s="49" t="str">
        <f>IF(Y63=0,"N.D.",Y84/Y63)</f>
        <v>N.D.</v>
      </c>
      <c r="AA84" s="48">
        <f t="shared" si="199"/>
        <v>1008.2694000000002</v>
      </c>
      <c r="AB84" s="49">
        <f>IF(AA63=0,"N.D.",AA84/AA63)</f>
        <v>0.11391641820419456</v>
      </c>
      <c r="AD84" s="352">
        <f>+AA84-ER!Q54</f>
        <v>-321.35746000000051</v>
      </c>
    </row>
    <row r="85" spans="2:30" x14ac:dyDescent="0.25"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</row>
    <row r="86" spans="2:30" ht="13" x14ac:dyDescent="0.3">
      <c r="B86" s="40"/>
      <c r="C86" s="39"/>
      <c r="E86" s="39"/>
      <c r="G86" s="39"/>
      <c r="I86" s="39"/>
      <c r="K86" s="39"/>
      <c r="M86" s="39"/>
      <c r="O86" s="39"/>
      <c r="Q86" s="39"/>
      <c r="S86" s="39"/>
      <c r="U86" s="39"/>
      <c r="W86" s="39"/>
      <c r="Y86" s="39"/>
      <c r="AA86" s="39"/>
    </row>
    <row r="87" spans="2:30" x14ac:dyDescent="0.25">
      <c r="C87" s="50"/>
      <c r="E87" s="50"/>
      <c r="G87" s="50"/>
      <c r="I87" s="50"/>
      <c r="K87" s="50"/>
      <c r="M87" s="50"/>
      <c r="O87" s="50"/>
      <c r="Q87" s="50"/>
      <c r="S87" s="50"/>
      <c r="U87" s="50"/>
      <c r="W87" s="50"/>
      <c r="Y87" s="50"/>
      <c r="AA87" s="50"/>
    </row>
    <row r="88" spans="2:30" x14ac:dyDescent="0.25">
      <c r="C88" s="61"/>
      <c r="E88" s="61"/>
      <c r="G88" s="61"/>
      <c r="I88" s="61"/>
      <c r="K88" s="61"/>
      <c r="M88" s="61"/>
      <c r="O88" s="61"/>
      <c r="Q88" s="61"/>
      <c r="S88" s="61"/>
      <c r="U88" s="61"/>
      <c r="W88" s="61"/>
      <c r="Y88" s="61"/>
      <c r="AA88" s="61"/>
    </row>
    <row r="89" spans="2:30" ht="13" x14ac:dyDescent="0.3">
      <c r="B89" s="41"/>
      <c r="C89" s="50"/>
      <c r="D89" s="62"/>
      <c r="E89" s="50"/>
      <c r="F89" s="62"/>
      <c r="G89" s="50"/>
      <c r="H89" s="62"/>
      <c r="I89" s="50"/>
      <c r="J89" s="62"/>
      <c r="K89" s="50"/>
      <c r="L89" s="62"/>
      <c r="M89" s="50"/>
      <c r="N89" s="62"/>
      <c r="O89" s="50"/>
      <c r="P89" s="62"/>
      <c r="Q89" s="50"/>
      <c r="R89" s="62"/>
      <c r="S89" s="50"/>
      <c r="T89" s="62"/>
      <c r="U89" s="50"/>
      <c r="V89" s="62"/>
      <c r="W89" s="50"/>
      <c r="X89" s="62"/>
      <c r="Y89" s="50"/>
      <c r="Z89" s="62"/>
      <c r="AA89" s="50"/>
      <c r="AB89" s="62"/>
    </row>
    <row r="90" spans="2:30" ht="13" x14ac:dyDescent="0.3">
      <c r="B90" s="47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</row>
    <row r="91" spans="2:30" x14ac:dyDescent="0.25">
      <c r="B91" s="41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</row>
    <row r="92" spans="2:30" x14ac:dyDescent="0.25">
      <c r="B92" s="41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</row>
    <row r="93" spans="2:30" x14ac:dyDescent="0.25">
      <c r="B93" s="41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</row>
    <row r="94" spans="2:30" x14ac:dyDescent="0.25">
      <c r="B94" s="41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</row>
    <row r="95" spans="2:30" ht="13" x14ac:dyDescent="0.3">
      <c r="B95" s="47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</row>
    <row r="96" spans="2:30" ht="13" x14ac:dyDescent="0.3">
      <c r="B96" s="47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</row>
    <row r="97" spans="2:28" x14ac:dyDescent="0.25">
      <c r="B97" s="41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</row>
    <row r="98" spans="2:28" x14ac:dyDescent="0.25">
      <c r="B98" s="41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</row>
    <row r="99" spans="2:28" x14ac:dyDescent="0.25">
      <c r="B99" s="41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</row>
    <row r="100" spans="2:28" x14ac:dyDescent="0.25">
      <c r="B100" s="41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</row>
    <row r="101" spans="2:28" x14ac:dyDescent="0.25">
      <c r="B101" s="41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</row>
    <row r="102" spans="2:28" x14ac:dyDescent="0.25">
      <c r="B102" s="41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</row>
    <row r="103" spans="2:28" ht="13" x14ac:dyDescent="0.3">
      <c r="B103" s="47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</row>
    <row r="104" spans="2:28" ht="13" x14ac:dyDescent="0.3">
      <c r="B104" s="47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</row>
    <row r="105" spans="2:28" x14ac:dyDescent="0.25">
      <c r="B105" s="41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</row>
    <row r="106" spans="2:28" x14ac:dyDescent="0.25">
      <c r="B106" s="41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</row>
    <row r="107" spans="2:28" x14ac:dyDescent="0.25">
      <c r="B107" s="41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</row>
    <row r="108" spans="2:28" ht="13" x14ac:dyDescent="0.3">
      <c r="B108" s="47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</row>
    <row r="109" spans="2:28" ht="13" x14ac:dyDescent="0.3">
      <c r="B109" s="47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_AA_Empresas">
    <tabColor rgb="FF00B0F0"/>
    <pageSetUpPr fitToPage="1"/>
  </sheetPr>
  <dimension ref="B1:AB106"/>
  <sheetViews>
    <sheetView showGridLines="0" zoomScale="82" zoomScaleNormal="82" workbookViewId="0">
      <selection activeCell="M11" sqref="M11"/>
    </sheetView>
  </sheetViews>
  <sheetFormatPr baseColWidth="10" defaultColWidth="9.1796875" defaultRowHeight="12.5" x14ac:dyDescent="0.25"/>
  <cols>
    <col min="1" max="1" width="11.7265625" bestFit="1" customWidth="1"/>
    <col min="2" max="2" width="36.54296875" style="37" bestFit="1" customWidth="1"/>
    <col min="3" max="3" width="8.26953125" style="37" customWidth="1"/>
    <col min="4" max="4" width="9.1796875" style="38" bestFit="1" customWidth="1"/>
    <col min="5" max="5" width="8.26953125" style="37" customWidth="1"/>
    <col min="6" max="6" width="9.1796875" style="38" bestFit="1" customWidth="1"/>
    <col min="7" max="7" width="8.26953125" style="37" customWidth="1"/>
    <col min="8" max="8" width="9.1796875" style="38" bestFit="1" customWidth="1"/>
    <col min="9" max="9" width="8.26953125" style="37" customWidth="1"/>
    <col min="10" max="10" width="9.1796875" style="38" customWidth="1"/>
    <col min="11" max="11" width="8.26953125" style="37" customWidth="1"/>
    <col min="12" max="12" width="9.1796875" style="38" customWidth="1"/>
    <col min="13" max="13" width="8.26953125" style="37" customWidth="1"/>
    <col min="14" max="14" width="9.1796875" style="38" customWidth="1"/>
    <col min="15" max="15" width="8.26953125" style="37" customWidth="1"/>
    <col min="16" max="16" width="9.1796875" style="38" customWidth="1"/>
    <col min="17" max="17" width="8.26953125" style="37" customWidth="1"/>
    <col min="18" max="18" width="9.1796875" style="38" customWidth="1"/>
    <col min="19" max="19" width="8.26953125" style="37" customWidth="1"/>
    <col min="20" max="20" width="9.1796875" style="38" customWidth="1"/>
    <col min="21" max="21" width="8.26953125" style="37" customWidth="1"/>
    <col min="22" max="22" width="9.1796875" style="38" customWidth="1"/>
    <col min="23" max="23" width="8.26953125" style="37" customWidth="1"/>
    <col min="24" max="24" width="9.1796875" style="38" customWidth="1"/>
    <col min="25" max="25" width="8.26953125" style="37" customWidth="1"/>
    <col min="26" max="26" width="9.1796875" style="38" customWidth="1"/>
    <col min="27" max="27" width="8.26953125" style="37" customWidth="1"/>
    <col min="28" max="28" width="9.1796875" style="38" bestFit="1" customWidth="1"/>
  </cols>
  <sheetData>
    <row r="1" spans="2:28" x14ac:dyDescent="0.25">
      <c r="B1"/>
    </row>
    <row r="2" spans="2:28" ht="18" x14ac:dyDescent="0.4">
      <c r="B2" s="348" t="str">
        <f>"Estado de Resultados Mes por Mes "&amp;YEAR(MES_CIERRE)-1</f>
        <v>Estado de Resultados Mes por Mes 2018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2:28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2:28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10" spans="2:28" ht="13" x14ac:dyDescent="0.3">
      <c r="B10" s="193" t="s">
        <v>249</v>
      </c>
      <c r="C10" s="39" t="s">
        <v>171</v>
      </c>
      <c r="E10" s="39" t="s">
        <v>172</v>
      </c>
      <c r="G10" s="39" t="s">
        <v>173</v>
      </c>
      <c r="I10" s="39" t="s">
        <v>174</v>
      </c>
      <c r="K10" s="39" t="s">
        <v>175</v>
      </c>
      <c r="M10" s="39" t="s">
        <v>176</v>
      </c>
      <c r="O10" s="39" t="s">
        <v>177</v>
      </c>
      <c r="Q10" s="39" t="s">
        <v>178</v>
      </c>
      <c r="S10" s="39" t="s">
        <v>179</v>
      </c>
      <c r="U10" s="39" t="s">
        <v>180</v>
      </c>
      <c r="W10" s="39" t="s">
        <v>181</v>
      </c>
      <c r="Y10" s="39" t="s">
        <v>182</v>
      </c>
      <c r="AA10" s="39" t="s">
        <v>250</v>
      </c>
    </row>
    <row r="11" spans="2:28" x14ac:dyDescent="0.25">
      <c r="B11" s="41" t="s">
        <v>17</v>
      </c>
      <c r="C11" s="42">
        <f>+C35+C60</f>
        <v>954.53387999999995</v>
      </c>
      <c r="D11" s="53">
        <f>IF(C$11=0,"N.D.",C11/C$11)</f>
        <v>1</v>
      </c>
      <c r="E11" s="42">
        <f>+E35+E60</f>
        <v>1826.3302699999999</v>
      </c>
      <c r="F11" s="53">
        <f>IF(E$11=0,"N.D.",E11/E$11)</f>
        <v>1</v>
      </c>
      <c r="G11" s="42">
        <f>+G35+G60</f>
        <v>2393.4870299999998</v>
      </c>
      <c r="H11" s="53">
        <f>IF(G$11=0,"N.D.",G11/G$11)</f>
        <v>1</v>
      </c>
      <c r="I11" s="42">
        <f>+I35+I60</f>
        <v>3945.6126400000003</v>
      </c>
      <c r="J11" s="53">
        <f>IF(I$11=0,"N.D.",I11/I$11)</f>
        <v>1</v>
      </c>
      <c r="K11" s="42">
        <f>+K35+K60</f>
        <v>3945.6126400000003</v>
      </c>
      <c r="L11" s="53">
        <f>IF(K$11=0,"N.D.",K11/K$11)</f>
        <v>1</v>
      </c>
      <c r="M11" s="42">
        <f>+M35+M60</f>
        <v>3090.25423</v>
      </c>
      <c r="N11" s="53">
        <f>IF(M$11=0,"N.D.",M11/M$11)</f>
        <v>1</v>
      </c>
      <c r="O11" s="42">
        <f>+O35+O60</f>
        <v>4132.7809999999999</v>
      </c>
      <c r="P11" s="53">
        <f>IF(O$11=0,"N.D.",O11/O$11)</f>
        <v>1</v>
      </c>
      <c r="Q11" s="42">
        <f>+Q35+Q60</f>
        <v>3552.8059999999996</v>
      </c>
      <c r="R11" s="53">
        <f>IF(Q$11=0,"N.D.",Q11/Q$11)</f>
        <v>1</v>
      </c>
      <c r="S11" s="42">
        <f>+S35+S60</f>
        <v>4618.2929999999997</v>
      </c>
      <c r="T11" s="53">
        <f>IF(S$11=0,"N.D.",S11/S$11)</f>
        <v>1</v>
      </c>
      <c r="U11" s="42">
        <f>+U35+U60</f>
        <v>4634.0119999999997</v>
      </c>
      <c r="V11" s="53">
        <f>IF(U$11=0,"N.D.",U11/U$11)</f>
        <v>1</v>
      </c>
      <c r="W11" s="42">
        <f>+W35+W60</f>
        <v>2951.68</v>
      </c>
      <c r="X11" s="53">
        <f>IF(W$11=0,"N.D.",W11/W$11)</f>
        <v>1</v>
      </c>
      <c r="Y11" s="42">
        <f>+Y35+Y60</f>
        <v>11431.643</v>
      </c>
      <c r="Z11" s="53">
        <f>IF(Y$11=0,"N.D.",Y11/Y$11)</f>
        <v>1</v>
      </c>
      <c r="AA11" s="42">
        <f>+AA35+AA60</f>
        <v>47477.045689999999</v>
      </c>
      <c r="AB11" s="53">
        <f>IF(AA$11=0,"N.D.",AA11/AA$11)</f>
        <v>1</v>
      </c>
    </row>
    <row r="12" spans="2:28" x14ac:dyDescent="0.25">
      <c r="B12" s="41" t="s">
        <v>18</v>
      </c>
      <c r="C12" s="45">
        <f t="shared" ref="C12:E13" si="0">+C36+C61</f>
        <v>747.29561999999999</v>
      </c>
      <c r="D12" s="59">
        <f>IF(C$11=0,"N.D.",C12/C$11)</f>
        <v>0.78289061882224653</v>
      </c>
      <c r="E12" s="45">
        <f t="shared" si="0"/>
        <v>1124.8974000000001</v>
      </c>
      <c r="F12" s="59">
        <f>IF(E$11=0,"N.D.",E12/E$11)</f>
        <v>0.61593317401457737</v>
      </c>
      <c r="G12" s="45">
        <f t="shared" ref="G12" si="1">+G36+G61</f>
        <v>1417.57853</v>
      </c>
      <c r="H12" s="59">
        <f>IF(G$11=0,"N.D.",G12/G$11)</f>
        <v>0.59226497249914078</v>
      </c>
      <c r="I12" s="45">
        <f t="shared" ref="I12" si="2">+I36+I61</f>
        <v>2199.2532099999999</v>
      </c>
      <c r="J12" s="59">
        <f>IF(I$11=0,"N.D.",I12/I$11)</f>
        <v>0.55739207333845109</v>
      </c>
      <c r="K12" s="45">
        <f t="shared" ref="K12" si="3">+K36+K61</f>
        <v>2199.2532099999999</v>
      </c>
      <c r="L12" s="59">
        <f>IF(K$11=0,"N.D.",K12/K$11)</f>
        <v>0.55739207333845109</v>
      </c>
      <c r="M12" s="45">
        <f t="shared" ref="M12" si="4">+M36+M61</f>
        <v>1314.4474599999999</v>
      </c>
      <c r="N12" s="59">
        <f>IF(M$11=0,"N.D.",M12/M$11)</f>
        <v>0.42535253159414005</v>
      </c>
      <c r="O12" s="45">
        <f t="shared" ref="O12" si="5">+O36+O61</f>
        <v>2372.6059999999998</v>
      </c>
      <c r="P12" s="59">
        <f>IF(O$11=0,"N.D.",O12/O$11)</f>
        <v>0.5740942963104021</v>
      </c>
      <c r="Q12" s="45">
        <f t="shared" ref="Q12" si="6">+Q36+Q61</f>
        <v>2260.7240000000002</v>
      </c>
      <c r="R12" s="59">
        <f>IF(Q$11=0,"N.D.",Q12/Q$11)</f>
        <v>0.63632069975112637</v>
      </c>
      <c r="S12" s="45">
        <f t="shared" ref="S12" si="7">+S36+S61</f>
        <v>2546.223</v>
      </c>
      <c r="T12" s="59">
        <f>IF(S$11=0,"N.D.",S12/S$11)</f>
        <v>0.5513342267370217</v>
      </c>
      <c r="U12" s="45">
        <f t="shared" ref="U12" si="8">+U36+U61</f>
        <v>2005.981</v>
      </c>
      <c r="V12" s="59">
        <f>IF(U$11=0,"N.D.",U12/U$11)</f>
        <v>0.43288213323573616</v>
      </c>
      <c r="W12" s="45">
        <f t="shared" ref="W12" si="9">+W36+W61</f>
        <v>2098.866</v>
      </c>
      <c r="X12" s="59">
        <f>IF(W$11=0,"N.D.",W12/W$11)</f>
        <v>0.71107504878577632</v>
      </c>
      <c r="Y12" s="45">
        <f t="shared" ref="Y12" si="10">+Y36+Y61</f>
        <v>5920.0060000000003</v>
      </c>
      <c r="Z12" s="59">
        <f>IF(Y$11=0,"N.D.",Y12/Y$11)</f>
        <v>0.51786134329072386</v>
      </c>
      <c r="AA12" s="45">
        <f t="shared" ref="AA12" si="11">+AA36+AA61</f>
        <v>26207.131430000001</v>
      </c>
      <c r="AB12" s="59">
        <f>IF(AA$11=0,"N.D.",AA12/AA$11)</f>
        <v>0.55199583396824459</v>
      </c>
    </row>
    <row r="13" spans="2:28" ht="13" x14ac:dyDescent="0.3">
      <c r="B13" s="47" t="s">
        <v>19</v>
      </c>
      <c r="C13" s="48">
        <f t="shared" si="0"/>
        <v>207.23825999999997</v>
      </c>
      <c r="D13" s="55">
        <f>IF(C$11=0,"N.D.",C13/C$11)</f>
        <v>0.21710938117775347</v>
      </c>
      <c r="E13" s="48">
        <f t="shared" si="0"/>
        <v>701.43286999999987</v>
      </c>
      <c r="F13" s="55">
        <f>IF(E$11=0,"N.D.",E13/E$11)</f>
        <v>0.38406682598542263</v>
      </c>
      <c r="G13" s="48">
        <f t="shared" ref="G13" si="12">+G37+G62</f>
        <v>975.90849999999989</v>
      </c>
      <c r="H13" s="55">
        <f>IF(G$11=0,"N.D.",G13/G$11)</f>
        <v>0.40773502750085927</v>
      </c>
      <c r="I13" s="48">
        <f t="shared" ref="I13" si="13">+I37+I62</f>
        <v>1746.3594300000002</v>
      </c>
      <c r="J13" s="55">
        <f>IF(I$11=0,"N.D.",I13/I$11)</f>
        <v>0.44260792666154886</v>
      </c>
      <c r="K13" s="48">
        <f t="shared" ref="K13" si="14">+K37+K62</f>
        <v>1746.3594300000002</v>
      </c>
      <c r="L13" s="55">
        <f>IF(K$11=0,"N.D.",K13/K$11)</f>
        <v>0.44260792666154886</v>
      </c>
      <c r="M13" s="48">
        <f t="shared" ref="M13" si="15">+M37+M62</f>
        <v>1775.8067700000001</v>
      </c>
      <c r="N13" s="55">
        <f>IF(M$11=0,"N.D.",M13/M$11)</f>
        <v>0.57464746840586001</v>
      </c>
      <c r="O13" s="48">
        <f t="shared" ref="O13" si="16">+O37+O62</f>
        <v>1760.175</v>
      </c>
      <c r="P13" s="55">
        <f>IF(O$11=0,"N.D.",O13/O$11)</f>
        <v>0.42590570368959785</v>
      </c>
      <c r="Q13" s="48">
        <f t="shared" ref="Q13" si="17">+Q37+Q62</f>
        <v>1292.0819999999999</v>
      </c>
      <c r="R13" s="55">
        <f>IF(Q$11=0,"N.D.",Q13/Q$11)</f>
        <v>0.36367930024887374</v>
      </c>
      <c r="S13" s="48">
        <f t="shared" ref="S13" si="18">+S37+S62</f>
        <v>2072.0699999999997</v>
      </c>
      <c r="T13" s="55">
        <f>IF(S$11=0,"N.D.",S13/S$11)</f>
        <v>0.4486657732629783</v>
      </c>
      <c r="U13" s="48">
        <f t="shared" ref="U13" si="19">+U37+U62</f>
        <v>2628.0309999999999</v>
      </c>
      <c r="V13" s="55">
        <f>IF(U$11=0,"N.D.",U13/U$11)</f>
        <v>0.5671178667642639</v>
      </c>
      <c r="W13" s="48">
        <f t="shared" ref="W13" si="20">+W37+W62</f>
        <v>852.81399999999985</v>
      </c>
      <c r="X13" s="55">
        <f>IF(W$11=0,"N.D.",W13/W$11)</f>
        <v>0.28892495121422374</v>
      </c>
      <c r="Y13" s="48">
        <f t="shared" ref="Y13" si="21">+Y37+Y62</f>
        <v>5511.6369999999988</v>
      </c>
      <c r="Z13" s="55">
        <f>IF(Y$11=0,"N.D.",Y13/Y$11)</f>
        <v>0.48213865670927608</v>
      </c>
      <c r="AA13" s="48">
        <f t="shared" ref="AA13" si="22">+AA37+AA62</f>
        <v>21269.914260000005</v>
      </c>
      <c r="AB13" s="55">
        <f>IF(AA$11=0,"N.D.",AA13/AA$11)</f>
        <v>0.44800416603175558</v>
      </c>
    </row>
    <row r="14" spans="2:28" x14ac:dyDescent="0.25">
      <c r="B14" s="41"/>
      <c r="C14" s="50"/>
      <c r="D14" s="60"/>
      <c r="E14" s="50"/>
      <c r="F14" s="60"/>
      <c r="G14" s="50"/>
      <c r="H14" s="60"/>
      <c r="I14" s="50"/>
      <c r="J14" s="60"/>
      <c r="K14" s="50"/>
      <c r="L14" s="60"/>
      <c r="M14" s="50"/>
      <c r="N14" s="60"/>
      <c r="O14" s="50"/>
      <c r="P14" s="60"/>
      <c r="Q14" s="50"/>
      <c r="R14" s="60"/>
      <c r="S14" s="50"/>
      <c r="T14" s="60"/>
      <c r="U14" s="50"/>
      <c r="V14" s="60"/>
      <c r="W14" s="50"/>
      <c r="X14" s="60"/>
      <c r="Y14" s="50"/>
      <c r="Z14" s="60"/>
      <c r="AA14" s="50"/>
      <c r="AB14" s="60"/>
    </row>
    <row r="15" spans="2:28" x14ac:dyDescent="0.25">
      <c r="B15" s="41" t="s">
        <v>20</v>
      </c>
      <c r="C15" s="42">
        <f t="shared" ref="C15:E19" si="23">+C39+C64</f>
        <v>32.800620000000002</v>
      </c>
      <c r="D15" s="53">
        <f>IF(C$11=0,"N.D.",C15/C$11)</f>
        <v>3.4362970961282172E-2</v>
      </c>
      <c r="E15" s="42">
        <f t="shared" si="23"/>
        <v>41.831000000000003</v>
      </c>
      <c r="F15" s="53">
        <f>IF(E$11=0,"N.D.",E15/E$11)</f>
        <v>2.2904400527731496E-2</v>
      </c>
      <c r="G15" s="42">
        <f t="shared" ref="G15" si="24">+G39+G64</f>
        <v>86.665050000000008</v>
      </c>
      <c r="H15" s="53">
        <f>IF(G$11=0,"N.D.",G15/G$11)</f>
        <v>3.6208698402681552E-2</v>
      </c>
      <c r="I15" s="42">
        <f t="shared" ref="I15" si="25">+I39+I64</f>
        <v>188.62354000000002</v>
      </c>
      <c r="J15" s="53">
        <f>IF(I$11=0,"N.D.",I15/I$11)</f>
        <v>4.7805894093040015E-2</v>
      </c>
      <c r="K15" s="42">
        <f t="shared" ref="K15" si="26">+K39+K64</f>
        <v>188.62354000000002</v>
      </c>
      <c r="L15" s="53">
        <f>IF(K$11=0,"N.D.",K15/K$11)</f>
        <v>4.7805894093040015E-2</v>
      </c>
      <c r="M15" s="42">
        <f t="shared" ref="M15" si="27">+M39+M64</f>
        <v>188.62354000000002</v>
      </c>
      <c r="N15" s="53">
        <f>IF(M$11=0,"N.D.",M15/M$11)</f>
        <v>6.1038194906054707E-2</v>
      </c>
      <c r="O15" s="42">
        <f t="shared" ref="O15" si="28">+O39+O64</f>
        <v>64.691999999999993</v>
      </c>
      <c r="P15" s="53">
        <f>IF(O$11=0,"N.D.",O15/O$11)</f>
        <v>1.5653382068878074E-2</v>
      </c>
      <c r="Q15" s="42">
        <f t="shared" ref="Q15" si="29">+Q39+Q64</f>
        <v>74.353999999999999</v>
      </c>
      <c r="R15" s="53">
        <f>IF(Q$11=0,"N.D.",Q15/Q$11)</f>
        <v>2.0928246574679284E-2</v>
      </c>
      <c r="S15" s="42">
        <f t="shared" ref="S15" si="30">+S39+S64</f>
        <v>143.744</v>
      </c>
      <c r="T15" s="53">
        <f>IF(S$11=0,"N.D.",S15/S$11)</f>
        <v>3.1124919965017379E-2</v>
      </c>
      <c r="U15" s="42">
        <f t="shared" ref="U15" si="31">+U39+U64</f>
        <v>192.27199999999999</v>
      </c>
      <c r="V15" s="53">
        <f>IF(U$11=0,"N.D.",U15/U$11)</f>
        <v>4.1491476500276653E-2</v>
      </c>
      <c r="W15" s="42">
        <f t="shared" ref="W15" si="32">+W39+W64</f>
        <v>154.958</v>
      </c>
      <c r="X15" s="53">
        <f>IF(W$11=0,"N.D.",W15/W$11)</f>
        <v>5.2498238291413708E-2</v>
      </c>
      <c r="Y15" s="42">
        <f t="shared" ref="Y15" si="33">+Y39+Y64</f>
        <v>673.63699999999994</v>
      </c>
      <c r="Z15" s="53">
        <f>IF(Y$11=0,"N.D.",Y15/Y$11)</f>
        <v>5.8927400024650869E-2</v>
      </c>
      <c r="AA15" s="42">
        <f t="shared" ref="AA15" si="34">+AA39+AA64</f>
        <v>2030.82429</v>
      </c>
      <c r="AB15" s="53">
        <f>IF(AA$11=0,"N.D.",AA15/AA$11)</f>
        <v>4.2774866474637213E-2</v>
      </c>
    </row>
    <row r="16" spans="2:28" x14ac:dyDescent="0.25">
      <c r="B16" s="41" t="s">
        <v>21</v>
      </c>
      <c r="C16" s="45">
        <f t="shared" si="23"/>
        <v>242.21406000000002</v>
      </c>
      <c r="D16" s="54">
        <f>IF(C$11=0,"N.D.",C16/C$11)</f>
        <v>0.25375113977096342</v>
      </c>
      <c r="E16" s="45">
        <f t="shared" si="23"/>
        <v>632.75584000000003</v>
      </c>
      <c r="F16" s="54">
        <f>IF(E$11=0,"N.D.",E16/E$11)</f>
        <v>0.34646298667546044</v>
      </c>
      <c r="G16" s="45">
        <f t="shared" ref="G16" si="35">+G40+G65</f>
        <v>395.05023</v>
      </c>
      <c r="H16" s="54">
        <f>IF(G$11=0,"N.D.",G16/G$11)</f>
        <v>0.1650521707652621</v>
      </c>
      <c r="I16" s="45">
        <f t="shared" ref="I16" si="36">+I40+I65</f>
        <v>768.21443999999997</v>
      </c>
      <c r="J16" s="54">
        <f>IF(I$11=0,"N.D.",I16/I$11)</f>
        <v>0.19470092735712646</v>
      </c>
      <c r="K16" s="45">
        <f t="shared" ref="K16" si="37">+K40+K65</f>
        <v>768.21443999999997</v>
      </c>
      <c r="L16" s="54">
        <f>IF(K$11=0,"N.D.",K16/K$11)</f>
        <v>0.19470092735712646</v>
      </c>
      <c r="M16" s="45">
        <f t="shared" ref="M16" si="38">+M40+M65</f>
        <v>765.63941999999997</v>
      </c>
      <c r="N16" s="54">
        <f>IF(M$11=0,"N.D.",M16/M$11)</f>
        <v>0.24775936315116701</v>
      </c>
      <c r="O16" s="45">
        <f t="shared" ref="O16" si="39">+O40+O65</f>
        <v>315.392</v>
      </c>
      <c r="P16" s="54">
        <f>IF(O$11=0,"N.D.",O16/O$11)</f>
        <v>7.6314713990409844E-2</v>
      </c>
      <c r="Q16" s="45">
        <f t="shared" ref="Q16" si="40">+Q40+Q65</f>
        <v>238.596</v>
      </c>
      <c r="R16" s="54">
        <f>IF(Q$11=0,"N.D.",Q16/Q$11)</f>
        <v>6.7157058392718322E-2</v>
      </c>
      <c r="S16" s="45">
        <f t="shared" ref="S16" si="41">+S40+S65</f>
        <v>446.14400000000001</v>
      </c>
      <c r="T16" s="54">
        <f>IF(S$11=0,"N.D.",S16/S$11)</f>
        <v>9.6603658537905673E-2</v>
      </c>
      <c r="U16" s="45">
        <f t="shared" ref="U16" si="42">+U40+U65</f>
        <v>283.14599999999996</v>
      </c>
      <c r="V16" s="54">
        <f>IF(U$11=0,"N.D.",U16/U$11)</f>
        <v>6.1101697621844739E-2</v>
      </c>
      <c r="W16" s="45">
        <f t="shared" ref="W16" si="43">+W40+W65</f>
        <v>250.452</v>
      </c>
      <c r="X16" s="54">
        <f>IF(W$11=0,"N.D.",W16/W$11)</f>
        <v>8.4850661318300089E-2</v>
      </c>
      <c r="Y16" s="45">
        <f t="shared" ref="Y16" si="44">+Y40+Y65</f>
        <v>327.01599999999996</v>
      </c>
      <c r="Z16" s="54">
        <f>IF(Y$11=0,"N.D.",Y16/Y$11)</f>
        <v>2.8606211723021788E-2</v>
      </c>
      <c r="AA16" s="45">
        <f t="shared" ref="AA16" si="45">+AA40+AA65</f>
        <v>5432.8344299999999</v>
      </c>
      <c r="AB16" s="54">
        <f>IF(AA$11=0,"N.D.",AA16/AA$11)</f>
        <v>0.11443076019248408</v>
      </c>
    </row>
    <row r="17" spans="2:28" x14ac:dyDescent="0.25">
      <c r="B17" s="41" t="s">
        <v>22</v>
      </c>
      <c r="C17" s="52">
        <f t="shared" si="23"/>
        <v>25.321280000000002</v>
      </c>
      <c r="D17" s="59">
        <f>IF(C$11=0,"N.D.",C17/C$11)</f>
        <v>2.6527376901488299E-2</v>
      </c>
      <c r="E17" s="52">
        <f t="shared" si="23"/>
        <v>25.321280000000002</v>
      </c>
      <c r="F17" s="59">
        <f>IF(E$11=0,"N.D.",E17/E$11)</f>
        <v>1.3864567880156749E-2</v>
      </c>
      <c r="G17" s="52">
        <f t="shared" ref="G17" si="46">+G41+G66</f>
        <v>25.321280000000002</v>
      </c>
      <c r="H17" s="59">
        <f>IF(G$11=0,"N.D.",G17/G$11)</f>
        <v>1.0579242620754875E-2</v>
      </c>
      <c r="I17" s="52">
        <f t="shared" ref="I17" si="47">+I41+I66</f>
        <v>25.242139999999999</v>
      </c>
      <c r="J17" s="59">
        <f>IF(I$11=0,"N.D.",I17/I$11)</f>
        <v>6.3975210703907312E-3</v>
      </c>
      <c r="K17" s="52">
        <f t="shared" ref="K17" si="48">+K41+K66</f>
        <v>25.242139999999999</v>
      </c>
      <c r="L17" s="59">
        <f>IF(K$11=0,"N.D.",K17/K$11)</f>
        <v>6.3975210703907312E-3</v>
      </c>
      <c r="M17" s="52">
        <f t="shared" ref="M17" si="49">+M41+M66</f>
        <v>25.242139999999999</v>
      </c>
      <c r="N17" s="59">
        <f>IF(M$11=0,"N.D.",M17/M$11)</f>
        <v>8.1683052982990337E-3</v>
      </c>
      <c r="O17" s="52">
        <f t="shared" ref="O17" si="50">+O41+O66</f>
        <v>25.241999999999997</v>
      </c>
      <c r="P17" s="59">
        <f>IF(O$11=0,"N.D.",O17/O$11)</f>
        <v>6.1077516568141402E-3</v>
      </c>
      <c r="Q17" s="52">
        <f t="shared" ref="Q17" si="51">+Q41+Q66</f>
        <v>25.241999999999997</v>
      </c>
      <c r="R17" s="59">
        <f>IF(Q$11=0,"N.D.",Q17/Q$11)</f>
        <v>7.1048067358589241E-3</v>
      </c>
      <c r="S17" s="52">
        <f t="shared" ref="S17" si="52">+S41+S66</f>
        <v>0</v>
      </c>
      <c r="T17" s="59">
        <f>IF(S$11=0,"N.D.",S17/S$11)</f>
        <v>0</v>
      </c>
      <c r="U17" s="52">
        <f t="shared" ref="U17" si="53">+U41+U66</f>
        <v>25.241999999999997</v>
      </c>
      <c r="V17" s="59">
        <f>IF(U$11=0,"N.D.",U17/U$11)</f>
        <v>5.4471158037570893E-3</v>
      </c>
      <c r="W17" s="52">
        <f t="shared" ref="W17" si="54">+W41+W66</f>
        <v>25.241999999999997</v>
      </c>
      <c r="X17" s="59">
        <f>IF(W$11=0,"N.D.",W17/W$11)</f>
        <v>8.5517400260190796E-3</v>
      </c>
      <c r="Y17" s="52">
        <f t="shared" ref="Y17" si="55">+Y41+Y66</f>
        <v>25.241999999999997</v>
      </c>
      <c r="Z17" s="59">
        <f>IF(Y$11=0,"N.D.",Y17/Y$11)</f>
        <v>2.2080815504822884E-3</v>
      </c>
      <c r="AA17" s="52">
        <f t="shared" ref="AA17" si="56">+AA41+AA66</f>
        <v>277.90025999999995</v>
      </c>
      <c r="AB17" s="59">
        <f>IF(AA$11=0,"N.D.",AA17/AA$11)</f>
        <v>5.8533604178857652E-3</v>
      </c>
    </row>
    <row r="18" spans="2:28" ht="13" x14ac:dyDescent="0.3">
      <c r="B18" s="47" t="s">
        <v>23</v>
      </c>
      <c r="C18" s="48">
        <f t="shared" si="23"/>
        <v>300.33596</v>
      </c>
      <c r="D18" s="55">
        <f>IF(C$11=0,"N.D.",C18/C$11)</f>
        <v>0.3146414876337339</v>
      </c>
      <c r="E18" s="48">
        <f t="shared" si="23"/>
        <v>699.90811999999994</v>
      </c>
      <c r="F18" s="55">
        <f>IF(E$11=0,"N.D.",E18/E$11)</f>
        <v>0.38323195508334862</v>
      </c>
      <c r="G18" s="48">
        <f t="shared" ref="G18" si="57">+G42+G67</f>
        <v>507.03656000000001</v>
      </c>
      <c r="H18" s="55">
        <f>IF(G$11=0,"N.D.",G18/G$11)</f>
        <v>0.21184011178869855</v>
      </c>
      <c r="I18" s="48">
        <f t="shared" ref="I18" si="58">+I42+I67</f>
        <v>982.08012000000008</v>
      </c>
      <c r="J18" s="55">
        <f>IF(I$11=0,"N.D.",I18/I$11)</f>
        <v>0.24890434252055721</v>
      </c>
      <c r="K18" s="48">
        <f t="shared" ref="K18" si="59">+K42+K67</f>
        <v>982.08012000000008</v>
      </c>
      <c r="L18" s="55">
        <f>IF(K$11=0,"N.D.",K18/K$11)</f>
        <v>0.24890434252055721</v>
      </c>
      <c r="M18" s="48">
        <f t="shared" ref="M18" si="60">+M42+M67</f>
        <v>979.50509999999997</v>
      </c>
      <c r="N18" s="55">
        <f>IF(M$11=0,"N.D.",M18/M$11)</f>
        <v>0.31696586335552074</v>
      </c>
      <c r="O18" s="48">
        <f t="shared" ref="O18" si="61">+O42+O67</f>
        <v>405.32600000000002</v>
      </c>
      <c r="P18" s="55">
        <f>IF(O$11=0,"N.D.",O18/O$11)</f>
        <v>9.8075847716102074E-2</v>
      </c>
      <c r="Q18" s="48">
        <f t="shared" ref="Q18" si="62">+Q42+Q67</f>
        <v>338.19200000000001</v>
      </c>
      <c r="R18" s="55">
        <f>IF(Q$11=0,"N.D.",Q18/Q$11)</f>
        <v>9.5190111703256544E-2</v>
      </c>
      <c r="S18" s="48">
        <f t="shared" ref="S18" si="63">+S42+S67</f>
        <v>589.88799999999992</v>
      </c>
      <c r="T18" s="55">
        <f>IF(S$11=0,"N.D.",S18/S$11)</f>
        <v>0.12772857850292305</v>
      </c>
      <c r="U18" s="48">
        <f t="shared" ref="U18" si="64">+U42+U67</f>
        <v>500.65999999999997</v>
      </c>
      <c r="V18" s="55">
        <f>IF(U$11=0,"N.D.",U18/U$11)</f>
        <v>0.10804028992587848</v>
      </c>
      <c r="W18" s="48">
        <f t="shared" ref="W18" si="65">+W42+W67</f>
        <v>430.65200000000004</v>
      </c>
      <c r="X18" s="55">
        <f>IF(W$11=0,"N.D.",W18/W$11)</f>
        <v>0.14590063963573288</v>
      </c>
      <c r="Y18" s="48">
        <f t="shared" ref="Y18" si="66">+Y42+Y67</f>
        <v>1025.895</v>
      </c>
      <c r="Z18" s="55">
        <f>IF(Y$11=0,"N.D.",Y18/Y$11)</f>
        <v>8.9741693298154956E-2</v>
      </c>
      <c r="AA18" s="48">
        <f t="shared" ref="AA18" si="67">+AA42+AA67</f>
        <v>7741.5589799999989</v>
      </c>
      <c r="AB18" s="55">
        <f>IF(AA$11=0,"N.D.",AA18/AA$11)</f>
        <v>0.16305898708500705</v>
      </c>
    </row>
    <row r="19" spans="2:28" ht="13" x14ac:dyDescent="0.3">
      <c r="B19" s="47" t="s">
        <v>24</v>
      </c>
      <c r="C19" s="48">
        <f t="shared" si="23"/>
        <v>-93.097700000000032</v>
      </c>
      <c r="D19" s="55">
        <f>IF(C$11=0,"N.D.",C19/C$11)</f>
        <v>-9.7532106455980414E-2</v>
      </c>
      <c r="E19" s="48">
        <f t="shared" si="23"/>
        <v>1.5247499999999263</v>
      </c>
      <c r="F19" s="55">
        <f>IF(E$11=0,"N.D.",E19/E$11)</f>
        <v>8.3487090207398596E-4</v>
      </c>
      <c r="G19" s="48">
        <f t="shared" ref="G19" si="68">+G43+G68</f>
        <v>468.87193999999988</v>
      </c>
      <c r="H19" s="55">
        <f>IF(G$11=0,"N.D.",G19/G$11)</f>
        <v>0.19589491571216072</v>
      </c>
      <c r="I19" s="48">
        <f t="shared" ref="I19" si="69">+I43+I68</f>
        <v>764.27931000000035</v>
      </c>
      <c r="J19" s="55">
        <f>IF(I$11=0,"N.D.",I19/I$11)</f>
        <v>0.19370358414099167</v>
      </c>
      <c r="K19" s="48">
        <f t="shared" ref="K19" si="70">+K43+K68</f>
        <v>764.27931000000035</v>
      </c>
      <c r="L19" s="55">
        <f>IF(K$11=0,"N.D.",K19/K$11)</f>
        <v>0.19370358414099167</v>
      </c>
      <c r="M19" s="48">
        <f t="shared" ref="M19" si="71">+M43+M68</f>
        <v>796.30167000000017</v>
      </c>
      <c r="N19" s="55">
        <f>IF(M$11=0,"N.D.",M19/M$11)</f>
        <v>0.25768160505033921</v>
      </c>
      <c r="O19" s="48">
        <f t="shared" ref="O19" si="72">+O43+O68</f>
        <v>1354.8489999999999</v>
      </c>
      <c r="P19" s="55">
        <f>IF(O$11=0,"N.D.",O19/O$11)</f>
        <v>0.32782985597349579</v>
      </c>
      <c r="Q19" s="48">
        <f t="shared" ref="Q19" si="73">+Q43+Q68</f>
        <v>953.88999999999987</v>
      </c>
      <c r="R19" s="55">
        <f>IF(Q$11=0,"N.D.",Q19/Q$11)</f>
        <v>0.26848918854561715</v>
      </c>
      <c r="S19" s="48">
        <f t="shared" ref="S19" si="74">+S43+S68</f>
        <v>1482.1819999999998</v>
      </c>
      <c r="T19" s="55">
        <f>IF(S$11=0,"N.D.",S19/S$11)</f>
        <v>0.32093719476005528</v>
      </c>
      <c r="U19" s="48">
        <f t="shared" ref="U19" si="75">+U43+U68</f>
        <v>2127.3710000000001</v>
      </c>
      <c r="V19" s="55">
        <f>IF(U$11=0,"N.D.",U19/U$11)</f>
        <v>0.45907757683838546</v>
      </c>
      <c r="W19" s="48">
        <f t="shared" ref="W19" si="76">+W43+W68</f>
        <v>422.16199999999992</v>
      </c>
      <c r="X19" s="55">
        <f>IF(W$11=0,"N.D.",W19/W$11)</f>
        <v>0.14302431157849088</v>
      </c>
      <c r="Y19" s="48">
        <f t="shared" ref="Y19" si="77">+Y43+Y68</f>
        <v>4485.7419999999993</v>
      </c>
      <c r="Z19" s="55">
        <f>IF(Y$11=0,"N.D.",Y19/Y$11)</f>
        <v>0.39239696341112118</v>
      </c>
      <c r="AA19" s="48">
        <f t="shared" ref="AA19" si="78">+AA43+AA68</f>
        <v>13528.355279999996</v>
      </c>
      <c r="AB19" s="55">
        <f>IF(AA$11=0,"N.D.",AA19/AA$11)</f>
        <v>0.28494517894674831</v>
      </c>
    </row>
    <row r="20" spans="2:28" x14ac:dyDescent="0.25">
      <c r="B20" s="41"/>
      <c r="C20" s="50"/>
      <c r="D20" s="60"/>
      <c r="E20" s="50"/>
      <c r="F20" s="60"/>
      <c r="G20" s="50"/>
      <c r="H20" s="60"/>
      <c r="I20" s="50"/>
      <c r="J20" s="60"/>
      <c r="K20" s="50"/>
      <c r="L20" s="60"/>
      <c r="M20" s="50"/>
      <c r="N20" s="60"/>
      <c r="O20" s="50"/>
      <c r="P20" s="60"/>
      <c r="Q20" s="50"/>
      <c r="R20" s="60"/>
      <c r="S20" s="50"/>
      <c r="T20" s="60"/>
      <c r="U20" s="50"/>
      <c r="V20" s="60"/>
      <c r="W20" s="50"/>
      <c r="X20" s="60"/>
      <c r="Y20" s="50"/>
      <c r="Z20" s="60"/>
      <c r="AA20" s="50"/>
      <c r="AB20" s="60"/>
    </row>
    <row r="21" spans="2:28" x14ac:dyDescent="0.25">
      <c r="B21" s="41" t="s">
        <v>25</v>
      </c>
      <c r="C21" s="42">
        <f t="shared" ref="C21:E27" si="79">+C45+C70</f>
        <v>-419.47021999999998</v>
      </c>
      <c r="D21" s="53">
        <f t="shared" ref="D21:D27" si="80">IF(C$11=0,"N.D.",C21/C$11)</f>
        <v>-0.43945032102998793</v>
      </c>
      <c r="E21" s="42">
        <f t="shared" si="79"/>
        <v>14.329179999999997</v>
      </c>
      <c r="F21" s="53">
        <f t="shared" ref="F21:H27" si="81">IF(E$11=0,"N.D.",E21/E$11)</f>
        <v>7.8458864945604809E-3</v>
      </c>
      <c r="G21" s="42">
        <f t="shared" ref="G21" si="82">+G45+G70</f>
        <v>-166.27600999999999</v>
      </c>
      <c r="H21" s="53">
        <f t="shared" si="81"/>
        <v>-6.9470194705838872E-2</v>
      </c>
      <c r="I21" s="42">
        <f t="shared" ref="I21" si="83">+I45+I70</f>
        <v>219.10609999999997</v>
      </c>
      <c r="J21" s="53">
        <f t="shared" ref="J21" si="84">IF(I$11=0,"N.D.",I21/I$11)</f>
        <v>5.5531578994536056E-2</v>
      </c>
      <c r="K21" s="42">
        <f t="shared" ref="K21" si="85">+K45+K70</f>
        <v>219.10609999999997</v>
      </c>
      <c r="L21" s="53">
        <f t="shared" ref="L21" si="86">IF(K$11=0,"N.D.",K21/K$11)</f>
        <v>5.5531578994536056E-2</v>
      </c>
      <c r="M21" s="42">
        <f t="shared" ref="M21" si="87">+M45+M70</f>
        <v>-14.005279999999999</v>
      </c>
      <c r="N21" s="53">
        <f t="shared" ref="N21" si="88">IF(M$11=0,"N.D.",M21/M$11)</f>
        <v>-4.5320801971687613E-3</v>
      </c>
      <c r="O21" s="42">
        <f t="shared" ref="O21" si="89">+O45+O70</f>
        <v>-453.63200000000001</v>
      </c>
      <c r="P21" s="53">
        <f t="shared" ref="P21" si="90">IF(O$11=0,"N.D.",O21/O$11)</f>
        <v>-0.10976434512257001</v>
      </c>
      <c r="Q21" s="42">
        <f t="shared" ref="Q21" si="91">+Q45+Q70</f>
        <v>42.645999999999987</v>
      </c>
      <c r="R21" s="53">
        <f t="shared" ref="R21" si="92">IF(Q$11=0,"N.D.",Q21/Q$11)</f>
        <v>1.2003469933342826E-2</v>
      </c>
      <c r="S21" s="42">
        <f t="shared" ref="S21" si="93">+S45+S70</f>
        <v>-112.679</v>
      </c>
      <c r="T21" s="53">
        <f t="shared" ref="T21" si="94">IF(S$11=0,"N.D.",S21/S$11)</f>
        <v>-2.4398408676106088E-2</v>
      </c>
      <c r="U21" s="42">
        <f t="shared" ref="U21" si="95">+U45+U70</f>
        <v>199.19899999999998</v>
      </c>
      <c r="V21" s="53">
        <f t="shared" ref="V21" si="96">IF(U$11=0,"N.D.",U21/U$11)</f>
        <v>4.2986293518445788E-2</v>
      </c>
      <c r="W21" s="42">
        <f t="shared" ref="W21" si="97">+W45+W70</f>
        <v>-22.317999999999998</v>
      </c>
      <c r="X21" s="53">
        <f t="shared" ref="X21" si="98">IF(W$11=0,"N.D.",W21/W$11)</f>
        <v>-7.5611177363399821E-3</v>
      </c>
      <c r="Y21" s="42">
        <f t="shared" ref="Y21" si="99">+Y45+Y70</f>
        <v>-201.072</v>
      </c>
      <c r="Z21" s="53">
        <f t="shared" ref="Z21" si="100">IF(Y$11=0,"N.D.",Y21/Y$11)</f>
        <v>-1.7589072716843939E-2</v>
      </c>
      <c r="AA21" s="42">
        <f t="shared" ref="AA21" si="101">+AA45+AA70</f>
        <v>-695.06613000000016</v>
      </c>
      <c r="AB21" s="53">
        <f t="shared" ref="AB21" si="102">IF(AA$11=0,"N.D.",AA21/AA$11)</f>
        <v>-1.4640045940061528E-2</v>
      </c>
    </row>
    <row r="22" spans="2:28" x14ac:dyDescent="0.25">
      <c r="B22" s="41" t="s">
        <v>26</v>
      </c>
      <c r="C22" s="45">
        <f t="shared" si="79"/>
        <v>0</v>
      </c>
      <c r="D22" s="54">
        <f t="shared" si="80"/>
        <v>0</v>
      </c>
      <c r="E22" s="45">
        <f t="shared" si="79"/>
        <v>0</v>
      </c>
      <c r="F22" s="54">
        <f t="shared" si="81"/>
        <v>0</v>
      </c>
      <c r="G22" s="45">
        <f t="shared" ref="G22" si="103">+G46+G71</f>
        <v>0</v>
      </c>
      <c r="H22" s="54">
        <f t="shared" si="81"/>
        <v>0</v>
      </c>
      <c r="I22" s="45">
        <f t="shared" ref="I22" si="104">+I46+I71</f>
        <v>0</v>
      </c>
      <c r="J22" s="54">
        <f t="shared" ref="J22" si="105">IF(I$11=0,"N.D.",I22/I$11)</f>
        <v>0</v>
      </c>
      <c r="K22" s="45">
        <f t="shared" ref="K22" si="106">+K46+K71</f>
        <v>0</v>
      </c>
      <c r="L22" s="54">
        <f t="shared" ref="L22" si="107">IF(K$11=0,"N.D.",K22/K$11)</f>
        <v>0</v>
      </c>
      <c r="M22" s="45">
        <f t="shared" ref="M22" si="108">+M46+M71</f>
        <v>0</v>
      </c>
      <c r="N22" s="54">
        <f t="shared" ref="N22" si="109">IF(M$11=0,"N.D.",M22/M$11)</f>
        <v>0</v>
      </c>
      <c r="O22" s="45">
        <f t="shared" ref="O22" si="110">+O46+O71</f>
        <v>0</v>
      </c>
      <c r="P22" s="54">
        <f t="shared" ref="P22" si="111">IF(O$11=0,"N.D.",O22/O$11)</f>
        <v>0</v>
      </c>
      <c r="Q22" s="45">
        <f t="shared" ref="Q22" si="112">+Q46+Q71</f>
        <v>0</v>
      </c>
      <c r="R22" s="54">
        <f t="shared" ref="R22" si="113">IF(Q$11=0,"N.D.",Q22/Q$11)</f>
        <v>0</v>
      </c>
      <c r="S22" s="45">
        <f t="shared" ref="S22" si="114">+S46+S71</f>
        <v>0</v>
      </c>
      <c r="T22" s="54">
        <f t="shared" ref="T22" si="115">IF(S$11=0,"N.D.",S22/S$11)</f>
        <v>0</v>
      </c>
      <c r="U22" s="45">
        <f t="shared" ref="U22" si="116">+U46+U71</f>
        <v>0</v>
      </c>
      <c r="V22" s="54">
        <f t="shared" ref="V22" si="117">IF(U$11=0,"N.D.",U22/U$11)</f>
        <v>0</v>
      </c>
      <c r="W22" s="45">
        <f t="shared" ref="W22" si="118">+W46+W71</f>
        <v>0</v>
      </c>
      <c r="X22" s="54">
        <f t="shared" ref="X22" si="119">IF(W$11=0,"N.D.",W22/W$11)</f>
        <v>0</v>
      </c>
      <c r="Y22" s="45">
        <f t="shared" ref="Y22" si="120">+Y46+Y71</f>
        <v>0</v>
      </c>
      <c r="Z22" s="54">
        <f t="shared" ref="Z22" si="121">IF(Y$11=0,"N.D.",Y22/Y$11)</f>
        <v>0</v>
      </c>
      <c r="AA22" s="45">
        <f t="shared" ref="AA22" si="122">+AA46+AA71</f>
        <v>0</v>
      </c>
      <c r="AB22" s="54">
        <f t="shared" ref="AB22" si="123">IF(AA$11=0,"N.D.",AA22/AA$11)</f>
        <v>0</v>
      </c>
    </row>
    <row r="23" spans="2:28" x14ac:dyDescent="0.25">
      <c r="B23" s="41" t="s">
        <v>27</v>
      </c>
      <c r="C23" s="45">
        <f t="shared" si="79"/>
        <v>39.062709999999996</v>
      </c>
      <c r="D23" s="54">
        <f t="shared" si="80"/>
        <v>4.0923335272290175E-2</v>
      </c>
      <c r="E23" s="45">
        <f t="shared" si="79"/>
        <v>36.601779999999998</v>
      </c>
      <c r="F23" s="54">
        <f t="shared" si="81"/>
        <v>2.0041161558363701E-2</v>
      </c>
      <c r="G23" s="45">
        <f t="shared" ref="G23" si="124">+G47+G72</f>
        <v>35.491680000000002</v>
      </c>
      <c r="H23" s="54">
        <f t="shared" si="81"/>
        <v>1.4828440495037905E-2</v>
      </c>
      <c r="I23" s="45">
        <f t="shared" ref="I23" si="125">+I47+I72</f>
        <v>37.932940000000002</v>
      </c>
      <c r="J23" s="54">
        <f t="shared" ref="J23" si="126">IF(I$11=0,"N.D.",I23/I$11)</f>
        <v>9.613954399740568E-3</v>
      </c>
      <c r="K23" s="45">
        <f t="shared" ref="K23" si="127">+K47+K72</f>
        <v>37.932940000000002</v>
      </c>
      <c r="L23" s="54">
        <f t="shared" ref="L23" si="128">IF(K$11=0,"N.D.",K23/K$11)</f>
        <v>9.613954399740568E-3</v>
      </c>
      <c r="M23" s="45">
        <f t="shared" ref="M23" si="129">+M47+M72</f>
        <v>36.482430000000001</v>
      </c>
      <c r="N23" s="54">
        <f t="shared" ref="N23" si="130">IF(M$11=0,"N.D.",M23/M$11)</f>
        <v>1.1805640340471275E-2</v>
      </c>
      <c r="O23" s="45">
        <f t="shared" ref="O23" si="131">+O47+O72</f>
        <v>42.363</v>
      </c>
      <c r="P23" s="54">
        <f t="shared" ref="P23" si="132">IF(O$11=0,"N.D.",O23/O$11)</f>
        <v>1.0250482665304549E-2</v>
      </c>
      <c r="Q23" s="45">
        <f t="shared" ref="Q23" si="133">+Q47+Q72</f>
        <v>35.613</v>
      </c>
      <c r="R23" s="54">
        <f t="shared" ref="R23" si="134">IF(Q$11=0,"N.D.",Q23/Q$11)</f>
        <v>1.00239078632495E-2</v>
      </c>
      <c r="S23" s="45">
        <f t="shared" ref="S23" si="135">+S47+S72</f>
        <v>36.784999999999997</v>
      </c>
      <c r="T23" s="54">
        <f t="shared" ref="T23" si="136">IF(S$11=0,"N.D.",S23/S$11)</f>
        <v>7.9650641481603703E-3</v>
      </c>
      <c r="U23" s="45">
        <f t="shared" ref="U23" si="137">+U47+U72</f>
        <v>34.449000000000005</v>
      </c>
      <c r="V23" s="54">
        <f t="shared" ref="V23" si="138">IF(U$11=0,"N.D.",U23/U$11)</f>
        <v>7.4339470851607654E-3</v>
      </c>
      <c r="W23" s="45">
        <f t="shared" ref="W23" si="139">+W47+W72</f>
        <v>36.96</v>
      </c>
      <c r="X23" s="54">
        <f t="shared" ref="X23" si="140">IF(W$11=0,"N.D.",W23/W$11)</f>
        <v>1.2521682567215959E-2</v>
      </c>
      <c r="Y23" s="45">
        <f t="shared" ref="Y23" si="141">+Y47+Y72</f>
        <v>35.682000000000002</v>
      </c>
      <c r="Z23" s="54">
        <f t="shared" ref="Z23" si="142">IF(Y$11=0,"N.D.",Y23/Y$11)</f>
        <v>3.1213361019059118E-3</v>
      </c>
      <c r="AA23" s="45">
        <f t="shared" ref="AA23" si="143">+AA47+AA72</f>
        <v>445.35647999999998</v>
      </c>
      <c r="AB23" s="54">
        <f t="shared" ref="AB23" si="144">IF(AA$11=0,"N.D.",AA23/AA$11)</f>
        <v>9.3804589887067167E-3</v>
      </c>
    </row>
    <row r="24" spans="2:28" x14ac:dyDescent="0.25">
      <c r="B24" s="41" t="s">
        <v>28</v>
      </c>
      <c r="C24" s="45">
        <f t="shared" si="79"/>
        <v>231.18607</v>
      </c>
      <c r="D24" s="54">
        <f t="shared" si="80"/>
        <v>0.24219786729832996</v>
      </c>
      <c r="E24" s="45">
        <f t="shared" si="79"/>
        <v>244.90885999999998</v>
      </c>
      <c r="F24" s="54">
        <f t="shared" si="81"/>
        <v>0.13409888891563954</v>
      </c>
      <c r="G24" s="45">
        <f t="shared" ref="G24" si="145">+G48+G73</f>
        <v>324.89625000000001</v>
      </c>
      <c r="H24" s="54">
        <f t="shared" si="81"/>
        <v>0.13574180512689055</v>
      </c>
      <c r="I24" s="45">
        <f t="shared" ref="I24" si="146">+I48+I73</f>
        <v>253.90413000000001</v>
      </c>
      <c r="J24" s="54">
        <f t="shared" ref="J24" si="147">IF(I$11=0,"N.D.",I24/I$11)</f>
        <v>6.4351002788758299E-2</v>
      </c>
      <c r="K24" s="45">
        <f t="shared" ref="K24" si="148">+K48+K73</f>
        <v>253.90413000000001</v>
      </c>
      <c r="L24" s="54">
        <f t="shared" ref="L24" si="149">IF(K$11=0,"N.D.",K24/K$11)</f>
        <v>6.4351002788758299E-2</v>
      </c>
      <c r="M24" s="45">
        <f t="shared" ref="M24" si="150">+M48+M73</f>
        <v>253.90413000000001</v>
      </c>
      <c r="N24" s="54">
        <f t="shared" ref="N24" si="151">IF(M$11=0,"N.D.",M24/M$11)</f>
        <v>8.2162861403153875E-2</v>
      </c>
      <c r="O24" s="45">
        <f t="shared" ref="O24" si="152">+O48+O73</f>
        <v>300.46800000000002</v>
      </c>
      <c r="P24" s="54">
        <f t="shared" ref="P24" si="153">IF(O$11=0,"N.D.",O24/O$11)</f>
        <v>7.2703586277617915E-2</v>
      </c>
      <c r="Q24" s="45">
        <f t="shared" ref="Q24" si="154">+Q48+Q73</f>
        <v>396.28399999999999</v>
      </c>
      <c r="R24" s="54">
        <f t="shared" ref="R24" si="155">IF(Q$11=0,"N.D.",Q24/Q$11)</f>
        <v>0.1115411311509832</v>
      </c>
      <c r="S24" s="45">
        <f t="shared" ref="S24" si="156">+S48+S73</f>
        <v>242.83799999999999</v>
      </c>
      <c r="T24" s="54">
        <f t="shared" ref="T24" si="157">IF(S$11=0,"N.D.",S24/S$11)</f>
        <v>5.2581765600406907E-2</v>
      </c>
      <c r="U24" s="45">
        <f t="shared" ref="U24" si="158">+U48+U73</f>
        <v>324.37299999999999</v>
      </c>
      <c r="V24" s="54">
        <f t="shared" ref="V24" si="159">IF(U$11=0,"N.D.",U24/U$11)</f>
        <v>6.999830816148081E-2</v>
      </c>
      <c r="W24" s="45">
        <f t="shared" ref="W24" si="160">+W48+W73</f>
        <v>295.19</v>
      </c>
      <c r="X24" s="54">
        <f t="shared" ref="X24" si="161">IF(W$11=0,"N.D.",W24/W$11)</f>
        <v>0.10000745338248049</v>
      </c>
      <c r="Y24" s="45">
        <f t="shared" ref="Y24" si="162">+Y48+Y73</f>
        <v>385.41199999999998</v>
      </c>
      <c r="Z24" s="54">
        <f t="shared" ref="Z24" si="163">IF(Y$11=0,"N.D.",Y24/Y$11)</f>
        <v>3.3714488809701279E-2</v>
      </c>
      <c r="AA24" s="45">
        <f t="shared" ref="AA24" si="164">+AA48+AA73</f>
        <v>3507.2685700000002</v>
      </c>
      <c r="AB24" s="54">
        <f t="shared" ref="AB24" si="165">IF(AA$11=0,"N.D.",AA24/AA$11)</f>
        <v>7.3872932045953521E-2</v>
      </c>
    </row>
    <row r="25" spans="2:28" x14ac:dyDescent="0.25">
      <c r="B25" s="41" t="s">
        <v>399</v>
      </c>
      <c r="C25" s="52">
        <f t="shared" si="79"/>
        <v>0</v>
      </c>
      <c r="D25" s="59">
        <f t="shared" si="80"/>
        <v>0</v>
      </c>
      <c r="E25" s="52">
        <f t="shared" si="79"/>
        <v>0</v>
      </c>
      <c r="F25" s="59">
        <f t="shared" si="81"/>
        <v>0</v>
      </c>
      <c r="G25" s="52">
        <f t="shared" ref="G25" si="166">+G49+G74</f>
        <v>0</v>
      </c>
      <c r="H25" s="59">
        <f t="shared" si="81"/>
        <v>0</v>
      </c>
      <c r="I25" s="52">
        <f t="shared" ref="I25" si="167">+I49+I74</f>
        <v>0</v>
      </c>
      <c r="J25" s="59">
        <f t="shared" ref="J25" si="168">IF(I$11=0,"N.D.",I25/I$11)</f>
        <v>0</v>
      </c>
      <c r="K25" s="52">
        <f t="shared" ref="K25" si="169">+K49+K74</f>
        <v>0</v>
      </c>
      <c r="L25" s="59">
        <f t="shared" ref="L25" si="170">IF(K$11=0,"N.D.",K25/K$11)</f>
        <v>0</v>
      </c>
      <c r="M25" s="52">
        <f t="shared" ref="M25" si="171">+M49+M74</f>
        <v>0</v>
      </c>
      <c r="N25" s="59">
        <f t="shared" ref="N25" si="172">IF(M$11=0,"N.D.",M25/M$11)</f>
        <v>0</v>
      </c>
      <c r="O25" s="52">
        <f t="shared" ref="O25" si="173">+O49+O74</f>
        <v>0</v>
      </c>
      <c r="P25" s="59">
        <f t="shared" ref="P25" si="174">IF(O$11=0,"N.D.",O25/O$11)</f>
        <v>0</v>
      </c>
      <c r="Q25" s="52">
        <f t="shared" ref="Q25" si="175">+Q49+Q74</f>
        <v>0</v>
      </c>
      <c r="R25" s="59">
        <f t="shared" ref="R25" si="176">IF(Q$11=0,"N.D.",Q25/Q$11)</f>
        <v>0</v>
      </c>
      <c r="S25" s="52">
        <f t="shared" ref="S25" si="177">+S49+S74</f>
        <v>0</v>
      </c>
      <c r="T25" s="59">
        <f t="shared" ref="T25" si="178">IF(S$11=0,"N.D.",S25/S$11)</f>
        <v>0</v>
      </c>
      <c r="U25" s="52">
        <f t="shared" ref="U25" si="179">+U49+U74</f>
        <v>0</v>
      </c>
      <c r="V25" s="59">
        <f t="shared" ref="V25" si="180">IF(U$11=0,"N.D.",U25/U$11)</f>
        <v>0</v>
      </c>
      <c r="W25" s="52">
        <f t="shared" ref="W25" si="181">+W49+W74</f>
        <v>0</v>
      </c>
      <c r="X25" s="59">
        <f t="shared" ref="X25" si="182">IF(W$11=0,"N.D.",W25/W$11)</f>
        <v>0</v>
      </c>
      <c r="Y25" s="52">
        <f t="shared" ref="Y25" si="183">+Y49+Y74</f>
        <v>0</v>
      </c>
      <c r="Z25" s="59">
        <f t="shared" ref="Z25" si="184">IF(Y$11=0,"N.D.",Y25/Y$11)</f>
        <v>0</v>
      </c>
      <c r="AA25" s="52">
        <f t="shared" ref="AA25" si="185">+AA49+AA74</f>
        <v>0</v>
      </c>
      <c r="AB25" s="59">
        <f t="shared" ref="AB25" si="186">IF(AA$11=0,"N.D.",AA25/AA$11)</f>
        <v>0</v>
      </c>
    </row>
    <row r="26" spans="2:28" ht="13" x14ac:dyDescent="0.3">
      <c r="B26" s="47" t="s">
        <v>143</v>
      </c>
      <c r="C26" s="48">
        <f t="shared" si="79"/>
        <v>-611.59357999999997</v>
      </c>
      <c r="D26" s="55">
        <f t="shared" si="80"/>
        <v>-0.64072485305602778</v>
      </c>
      <c r="E26" s="48">
        <f t="shared" si="79"/>
        <v>-193.97789999999998</v>
      </c>
      <c r="F26" s="55">
        <f t="shared" si="81"/>
        <v>-0.10621184086271536</v>
      </c>
      <c r="G26" s="48">
        <f t="shared" ref="G26" si="187">+G50+G75</f>
        <v>-455.68057999999996</v>
      </c>
      <c r="H26" s="55">
        <f t="shared" si="81"/>
        <v>-0.19038355933769149</v>
      </c>
      <c r="I26" s="48">
        <f t="shared" ref="I26" si="188">+I50+I75</f>
        <v>3.1349099999999339</v>
      </c>
      <c r="J26" s="55">
        <f t="shared" ref="J26" si="189">IF(I$11=0,"N.D.",I26/I$11)</f>
        <v>7.9453060551831908E-4</v>
      </c>
      <c r="K26" s="48">
        <f t="shared" ref="K26" si="190">+K50+K75</f>
        <v>3.1349099999999339</v>
      </c>
      <c r="L26" s="55">
        <f t="shared" ref="L26" si="191">IF(K$11=0,"N.D.",K26/K$11)</f>
        <v>7.9453060551831908E-4</v>
      </c>
      <c r="M26" s="48">
        <f t="shared" ref="M26" si="192">+M50+M75</f>
        <v>-231.42698000000001</v>
      </c>
      <c r="N26" s="55">
        <f t="shared" ref="N26" si="193">IF(M$11=0,"N.D.",M26/M$11)</f>
        <v>-7.4889301259851368E-2</v>
      </c>
      <c r="O26" s="48">
        <f t="shared" ref="O26" si="194">+O50+O75</f>
        <v>-711.73700000000008</v>
      </c>
      <c r="P26" s="55">
        <f t="shared" ref="P26" si="195">IF(O$11=0,"N.D.",O26/O$11)</f>
        <v>-0.17221744873488337</v>
      </c>
      <c r="Q26" s="48">
        <f t="shared" ref="Q26" si="196">+Q50+Q75</f>
        <v>-318.02500000000003</v>
      </c>
      <c r="R26" s="55">
        <f t="shared" ref="R26" si="197">IF(Q$11=0,"N.D.",Q26/Q$11)</f>
        <v>-8.9513753354390893E-2</v>
      </c>
      <c r="S26" s="48">
        <f t="shared" ref="S26" si="198">+S50+S75</f>
        <v>-318.73200000000003</v>
      </c>
      <c r="T26" s="55">
        <f t="shared" ref="T26" si="199">IF(S$11=0,"N.D.",S26/S$11)</f>
        <v>-6.9015110128352625E-2</v>
      </c>
      <c r="U26" s="48">
        <f t="shared" ref="U26" si="200">+U50+U75</f>
        <v>-90.725000000000023</v>
      </c>
      <c r="V26" s="55">
        <f t="shared" ref="V26" si="201">IF(U$11=0,"N.D.",U26/U$11)</f>
        <v>-1.9578067557874262E-2</v>
      </c>
      <c r="W26" s="48">
        <f t="shared" ref="W26" si="202">+W50+W75</f>
        <v>-280.548</v>
      </c>
      <c r="X26" s="55">
        <f t="shared" ref="X26" si="203">IF(W$11=0,"N.D.",W26/W$11)</f>
        <v>-9.5046888551604522E-2</v>
      </c>
      <c r="Y26" s="48">
        <f t="shared" ref="Y26" si="204">+Y50+Y75</f>
        <v>-550.80199999999991</v>
      </c>
      <c r="Z26" s="55">
        <f t="shared" ref="Z26" si="205">IF(Y$11=0,"N.D.",Y26/Y$11)</f>
        <v>-4.8182225424639305E-2</v>
      </c>
      <c r="AA26" s="48">
        <f t="shared" ref="AA26" si="206">+AA50+AA75</f>
        <v>-3756.9782200000009</v>
      </c>
      <c r="AB26" s="55">
        <f t="shared" ref="AB26" si="207">IF(AA$11=0,"N.D.",AA26/AA$11)</f>
        <v>-7.9132518997308332E-2</v>
      </c>
    </row>
    <row r="27" spans="2:28" ht="13" x14ac:dyDescent="0.3">
      <c r="B27" s="47" t="s">
        <v>29</v>
      </c>
      <c r="C27" s="48">
        <f t="shared" si="79"/>
        <v>518.49587999999994</v>
      </c>
      <c r="D27" s="55">
        <f t="shared" si="80"/>
        <v>0.54319274660004735</v>
      </c>
      <c r="E27" s="48">
        <f t="shared" si="79"/>
        <v>195.50264999999996</v>
      </c>
      <c r="F27" s="55">
        <f t="shared" si="81"/>
        <v>0.10704671176478939</v>
      </c>
      <c r="G27" s="48">
        <f t="shared" ref="G27" si="208">+G51+G76</f>
        <v>924.55251999999984</v>
      </c>
      <c r="H27" s="55">
        <f t="shared" si="81"/>
        <v>0.38627847504985224</v>
      </c>
      <c r="I27" s="48">
        <f t="shared" ref="I27" si="209">+I51+I76</f>
        <v>761.14440000000025</v>
      </c>
      <c r="J27" s="55">
        <f t="shared" ref="J27" si="210">IF(I$11=0,"N.D.",I27/I$11)</f>
        <v>0.1929090535354733</v>
      </c>
      <c r="K27" s="48">
        <f t="shared" ref="K27" si="211">+K51+K76</f>
        <v>761.14440000000025</v>
      </c>
      <c r="L27" s="55">
        <f t="shared" ref="L27" si="212">IF(K$11=0,"N.D.",K27/K$11)</f>
        <v>0.1929090535354733</v>
      </c>
      <c r="M27" s="48">
        <f t="shared" ref="M27" si="213">+M51+M76</f>
        <v>1027.72865</v>
      </c>
      <c r="N27" s="55">
        <f t="shared" ref="N27" si="214">IF(M$11=0,"N.D.",M27/M$11)</f>
        <v>0.33257090631019054</v>
      </c>
      <c r="O27" s="48">
        <f t="shared" ref="O27" si="215">+O51+O76</f>
        <v>2066.5859999999998</v>
      </c>
      <c r="P27" s="55">
        <f t="shared" ref="P27" si="216">IF(O$11=0,"N.D.",O27/O$11)</f>
        <v>0.5000473047083791</v>
      </c>
      <c r="Q27" s="48">
        <f t="shared" ref="Q27" si="217">+Q51+Q76</f>
        <v>1271.915</v>
      </c>
      <c r="R27" s="55">
        <f t="shared" ref="R27" si="218">IF(Q$11=0,"N.D.",Q27/Q$11)</f>
        <v>0.35800294190000809</v>
      </c>
      <c r="S27" s="48">
        <f t="shared" ref="S27" si="219">+S51+S76</f>
        <v>1800.914</v>
      </c>
      <c r="T27" s="55">
        <f t="shared" ref="T27" si="220">IF(S$11=0,"N.D.",S27/S$11)</f>
        <v>0.38995230488840793</v>
      </c>
      <c r="U27" s="48">
        <f t="shared" ref="U27" si="221">+U51+U76</f>
        <v>2218.0960000000005</v>
      </c>
      <c r="V27" s="55">
        <f t="shared" ref="V27" si="222">IF(U$11=0,"N.D.",U27/U$11)</f>
        <v>0.47865564439625979</v>
      </c>
      <c r="W27" s="48">
        <f t="shared" ref="W27" si="223">+W51+W76</f>
        <v>702.70999999999981</v>
      </c>
      <c r="X27" s="55">
        <f t="shared" ref="X27" si="224">IF(W$11=0,"N.D.",W27/W$11)</f>
        <v>0.23807120013009536</v>
      </c>
      <c r="Y27" s="48">
        <f t="shared" ref="Y27" si="225">+Y51+Y76</f>
        <v>5036.543999999999</v>
      </c>
      <c r="Z27" s="55">
        <f t="shared" ref="Z27" si="226">IF(Y$11=0,"N.D.",Y27/Y$11)</f>
        <v>0.44057918883576042</v>
      </c>
      <c r="AA27" s="48">
        <f t="shared" ref="AA27" si="227">+AA51+AA76</f>
        <v>17285.333500000001</v>
      </c>
      <c r="AB27" s="55">
        <f t="shared" ref="AB27" si="228">IF(AA$11=0,"N.D.",AA27/AA$11)</f>
        <v>0.36407769794405676</v>
      </c>
    </row>
    <row r="28" spans="2:28" x14ac:dyDescent="0.25">
      <c r="B28" s="41"/>
      <c r="C28" s="50"/>
      <c r="D28" s="60"/>
      <c r="E28" s="50"/>
      <c r="F28" s="60"/>
      <c r="G28" s="50"/>
      <c r="H28" s="60"/>
      <c r="I28" s="50"/>
      <c r="J28" s="60"/>
      <c r="K28" s="50"/>
      <c r="L28" s="60"/>
      <c r="M28" s="50"/>
      <c r="N28" s="60"/>
      <c r="O28" s="50"/>
      <c r="P28" s="60"/>
      <c r="Q28" s="50"/>
      <c r="R28" s="60"/>
      <c r="S28" s="50"/>
      <c r="T28" s="60"/>
      <c r="U28" s="50"/>
      <c r="V28" s="60"/>
      <c r="W28" s="50"/>
      <c r="X28" s="60"/>
      <c r="Y28" s="50"/>
      <c r="Z28" s="60"/>
      <c r="AA28" s="50"/>
      <c r="AB28" s="60"/>
    </row>
    <row r="29" spans="2:28" x14ac:dyDescent="0.25">
      <c r="B29" s="41" t="s">
        <v>398</v>
      </c>
      <c r="C29" s="42">
        <f t="shared" ref="C29:E32" si="229">+C53+C78</f>
        <v>0</v>
      </c>
      <c r="D29" s="53">
        <f>IF(C$11=0,"N.D.",C29/C$11)</f>
        <v>0</v>
      </c>
      <c r="E29" s="42">
        <f t="shared" si="229"/>
        <v>0</v>
      </c>
      <c r="F29" s="53">
        <f>IF(E$11=0,"N.D.",E29/E$11)</f>
        <v>0</v>
      </c>
      <c r="G29" s="42">
        <f t="shared" ref="G29" si="230">+G53+G78</f>
        <v>0</v>
      </c>
      <c r="H29" s="53">
        <f>IF(G$11=0,"N.D.",G29/G$11)</f>
        <v>0</v>
      </c>
      <c r="I29" s="42">
        <f t="shared" ref="I29" si="231">+I53+I78</f>
        <v>0</v>
      </c>
      <c r="J29" s="53">
        <f>IF(I$11=0,"N.D.",I29/I$11)</f>
        <v>0</v>
      </c>
      <c r="K29" s="42">
        <f t="shared" ref="K29" si="232">+K53+K78</f>
        <v>0</v>
      </c>
      <c r="L29" s="53">
        <f>IF(K$11=0,"N.D.",K29/K$11)</f>
        <v>0</v>
      </c>
      <c r="M29" s="42">
        <f t="shared" ref="M29" si="233">+M53+M78</f>
        <v>0</v>
      </c>
      <c r="N29" s="53">
        <f>IF(M$11=0,"N.D.",M29/M$11)</f>
        <v>0</v>
      </c>
      <c r="O29" s="42">
        <f t="shared" ref="O29" si="234">+O53+O78</f>
        <v>0</v>
      </c>
      <c r="P29" s="53">
        <f>IF(O$11=0,"N.D.",O29/O$11)</f>
        <v>0</v>
      </c>
      <c r="Q29" s="42">
        <f t="shared" ref="Q29" si="235">+Q53+Q78</f>
        <v>0</v>
      </c>
      <c r="R29" s="53">
        <f>IF(Q$11=0,"N.D.",Q29/Q$11)</f>
        <v>0</v>
      </c>
      <c r="S29" s="42">
        <f t="shared" ref="S29" si="236">+S53+S78</f>
        <v>0</v>
      </c>
      <c r="T29" s="53">
        <f>IF(S$11=0,"N.D.",S29/S$11)</f>
        <v>0</v>
      </c>
      <c r="U29" s="42">
        <f t="shared" ref="U29" si="237">+U53+U78</f>
        <v>0</v>
      </c>
      <c r="V29" s="53">
        <f>IF(U$11=0,"N.D.",U29/U$11)</f>
        <v>0</v>
      </c>
      <c r="W29" s="42">
        <f t="shared" ref="W29" si="238">+W53+W78</f>
        <v>0</v>
      </c>
      <c r="X29" s="53">
        <f>IF(W$11=0,"N.D.",W29/W$11)</f>
        <v>0</v>
      </c>
      <c r="Y29" s="42">
        <f t="shared" ref="Y29" si="239">+Y53+Y78</f>
        <v>0</v>
      </c>
      <c r="Z29" s="53">
        <f>IF(Y$11=0,"N.D.",Y29/Y$11)</f>
        <v>0</v>
      </c>
      <c r="AA29" s="42">
        <f t="shared" ref="AA29" si="240">+AA53+AA78</f>
        <v>0</v>
      </c>
      <c r="AB29" s="53">
        <f>IF(AA$11=0,"N.D.",AA29/AA$11)</f>
        <v>0</v>
      </c>
    </row>
    <row r="30" spans="2:28" x14ac:dyDescent="0.25">
      <c r="B30" s="41" t="s">
        <v>396</v>
      </c>
      <c r="C30" s="52">
        <f t="shared" si="229"/>
        <v>0</v>
      </c>
      <c r="D30" s="59">
        <f>IF(C$11=0,"N.D.",C30/C$11)</f>
        <v>0</v>
      </c>
      <c r="E30" s="52">
        <f t="shared" si="229"/>
        <v>0</v>
      </c>
      <c r="F30" s="59">
        <f>IF(E$11=0,"N.D.",E30/E$11)</f>
        <v>0</v>
      </c>
      <c r="G30" s="52">
        <f t="shared" ref="G30" si="241">+G54+G79</f>
        <v>0</v>
      </c>
      <c r="H30" s="59">
        <f>IF(G$11=0,"N.D.",G30/G$11)</f>
        <v>0</v>
      </c>
      <c r="I30" s="52">
        <f t="shared" ref="I30" si="242">+I54+I79</f>
        <v>0</v>
      </c>
      <c r="J30" s="59">
        <f>IF(I$11=0,"N.D.",I30/I$11)</f>
        <v>0</v>
      </c>
      <c r="K30" s="52">
        <f t="shared" ref="K30" si="243">+K54+K79</f>
        <v>0</v>
      </c>
      <c r="L30" s="59">
        <f>IF(K$11=0,"N.D.",K30/K$11)</f>
        <v>0</v>
      </c>
      <c r="M30" s="52">
        <f t="shared" ref="M30" si="244">+M54+M79</f>
        <v>0</v>
      </c>
      <c r="N30" s="59">
        <f>IF(M$11=0,"N.D.",M30/M$11)</f>
        <v>0</v>
      </c>
      <c r="O30" s="52">
        <f t="shared" ref="O30" si="245">+O54+O79</f>
        <v>0</v>
      </c>
      <c r="P30" s="59">
        <f>IF(O$11=0,"N.D.",O30/O$11)</f>
        <v>0</v>
      </c>
      <c r="Q30" s="52">
        <f t="shared" ref="Q30" si="246">+Q54+Q79</f>
        <v>0</v>
      </c>
      <c r="R30" s="59">
        <f>IF(Q$11=0,"N.D.",Q30/Q$11)</f>
        <v>0</v>
      </c>
      <c r="S30" s="52">
        <f t="shared" ref="S30" si="247">+S54+S79</f>
        <v>0</v>
      </c>
      <c r="T30" s="59">
        <f>IF(S$11=0,"N.D.",S30/S$11)</f>
        <v>0</v>
      </c>
      <c r="U30" s="52">
        <f t="shared" ref="U30" si="248">+U54+U79</f>
        <v>0</v>
      </c>
      <c r="V30" s="59">
        <f>IF(U$11=0,"N.D.",U30/U$11)</f>
        <v>0</v>
      </c>
      <c r="W30" s="52">
        <f t="shared" ref="W30" si="249">+W54+W79</f>
        <v>0</v>
      </c>
      <c r="X30" s="59">
        <f>IF(W$11=0,"N.D.",W30/W$11)</f>
        <v>0</v>
      </c>
      <c r="Y30" s="52">
        <f t="shared" ref="Y30" si="250">+Y54+Y79</f>
        <v>0</v>
      </c>
      <c r="Z30" s="59">
        <f>IF(Y$11=0,"N.D.",Y30/Y$11)</f>
        <v>0</v>
      </c>
      <c r="AA30" s="52">
        <f t="shared" ref="AA30" si="251">+AA54+AA79</f>
        <v>0</v>
      </c>
      <c r="AB30" s="59">
        <f>IF(AA$11=0,"N.D.",AA30/AA$11)</f>
        <v>0</v>
      </c>
    </row>
    <row r="31" spans="2:28" ht="13" x14ac:dyDescent="0.3">
      <c r="B31" s="47" t="s">
        <v>30</v>
      </c>
      <c r="C31" s="48">
        <f t="shared" si="229"/>
        <v>518.49587999999994</v>
      </c>
      <c r="D31" s="55">
        <f>IF(C$11=0,"N.D.",C31/C$11)</f>
        <v>0.54319274660004735</v>
      </c>
      <c r="E31" s="48">
        <f t="shared" si="229"/>
        <v>195.50264999999996</v>
      </c>
      <c r="F31" s="55">
        <f>IF(E$11=0,"N.D.",E31/E$11)</f>
        <v>0.10704671176478939</v>
      </c>
      <c r="G31" s="48">
        <f t="shared" ref="G31" si="252">+G55+G80</f>
        <v>924.55251999999984</v>
      </c>
      <c r="H31" s="55">
        <f>IF(G$11=0,"N.D.",G31/G$11)</f>
        <v>0.38627847504985224</v>
      </c>
      <c r="I31" s="48">
        <f t="shared" ref="I31" si="253">+I55+I80</f>
        <v>761.14440000000025</v>
      </c>
      <c r="J31" s="55">
        <f>IF(I$11=0,"N.D.",I31/I$11)</f>
        <v>0.1929090535354733</v>
      </c>
      <c r="K31" s="48">
        <f t="shared" ref="K31" si="254">+K55+K80</f>
        <v>761.14440000000025</v>
      </c>
      <c r="L31" s="55">
        <f>IF(K$11=0,"N.D.",K31/K$11)</f>
        <v>0.1929090535354733</v>
      </c>
      <c r="M31" s="48">
        <f t="shared" ref="M31" si="255">+M55+M80</f>
        <v>1027.72865</v>
      </c>
      <c r="N31" s="55">
        <f>IF(M$11=0,"N.D.",M31/M$11)</f>
        <v>0.33257090631019054</v>
      </c>
      <c r="O31" s="48">
        <f t="shared" ref="O31" si="256">+O55+O80</f>
        <v>2066.5859999999998</v>
      </c>
      <c r="P31" s="55">
        <f>IF(O$11=0,"N.D.",O31/O$11)</f>
        <v>0.5000473047083791</v>
      </c>
      <c r="Q31" s="48">
        <f t="shared" ref="Q31" si="257">+Q55+Q80</f>
        <v>1271.915</v>
      </c>
      <c r="R31" s="55">
        <f>IF(Q$11=0,"N.D.",Q31/Q$11)</f>
        <v>0.35800294190000809</v>
      </c>
      <c r="S31" s="48">
        <f t="shared" ref="S31" si="258">+S55+S80</f>
        <v>1800.914</v>
      </c>
      <c r="T31" s="55">
        <f>IF(S$11=0,"N.D.",S31/S$11)</f>
        <v>0.38995230488840793</v>
      </c>
      <c r="U31" s="48">
        <f t="shared" ref="U31" si="259">+U55+U80</f>
        <v>2218.0960000000005</v>
      </c>
      <c r="V31" s="55">
        <f>IF(U$11=0,"N.D.",U31/U$11)</f>
        <v>0.47865564439625979</v>
      </c>
      <c r="W31" s="48">
        <f t="shared" ref="W31" si="260">+W55+W80</f>
        <v>702.70999999999981</v>
      </c>
      <c r="X31" s="55">
        <f>IF(W$11=0,"N.D.",W31/W$11)</f>
        <v>0.23807120013009536</v>
      </c>
      <c r="Y31" s="48">
        <f t="shared" ref="Y31" si="261">+Y55+Y80</f>
        <v>5036.543999999999</v>
      </c>
      <c r="Z31" s="55">
        <f>IF(Y$11=0,"N.D.",Y31/Y$11)</f>
        <v>0.44057918883576042</v>
      </c>
      <c r="AA31" s="48">
        <f t="shared" ref="AA31" si="262">+AA55+AA80</f>
        <v>17285.333500000001</v>
      </c>
      <c r="AB31" s="55">
        <f>IF(AA$11=0,"N.D.",AA31/AA$11)</f>
        <v>0.36407769794405676</v>
      </c>
    </row>
    <row r="32" spans="2:28" ht="13" x14ac:dyDescent="0.3">
      <c r="B32" s="47" t="s">
        <v>31</v>
      </c>
      <c r="C32" s="48">
        <f t="shared" si="229"/>
        <v>-67.776420000000044</v>
      </c>
      <c r="D32" s="55">
        <f>IF(C$11=0,"N.D.",C32/C$11)</f>
        <v>-7.1004729554492135E-2</v>
      </c>
      <c r="E32" s="48">
        <f t="shared" si="229"/>
        <v>26.846029999999942</v>
      </c>
      <c r="F32" s="55">
        <f>IF(E$11=0,"N.D.",E32/E$11)</f>
        <v>1.4699438782230742E-2</v>
      </c>
      <c r="G32" s="48">
        <f t="shared" ref="G32" si="263">+G56+G81</f>
        <v>494.19321999999988</v>
      </c>
      <c r="H32" s="55">
        <f>IF(G$11=0,"N.D.",G32/G$11)</f>
        <v>0.2064741583329156</v>
      </c>
      <c r="I32" s="48">
        <f t="shared" ref="I32" si="264">+I56+I81</f>
        <v>789.52145000000019</v>
      </c>
      <c r="J32" s="55">
        <f>IF(I$11=0,"N.D.",I32/I$11)</f>
        <v>0.20010110521138236</v>
      </c>
      <c r="K32" s="48">
        <f t="shared" ref="K32" si="265">+K56+K81</f>
        <v>789.52145000000019</v>
      </c>
      <c r="L32" s="55">
        <f>IF(K$11=0,"N.D.",K32/K$11)</f>
        <v>0.20010110521138236</v>
      </c>
      <c r="M32" s="48">
        <f t="shared" ref="M32" si="266">+M56+M81</f>
        <v>821.54381000000012</v>
      </c>
      <c r="N32" s="55">
        <f>IF(M$11=0,"N.D.",M32/M$11)</f>
        <v>0.26584991034863825</v>
      </c>
      <c r="O32" s="48">
        <f t="shared" ref="O32" si="267">+O56+O81</f>
        <v>1380.0909999999999</v>
      </c>
      <c r="P32" s="55">
        <f>IF(O$11=0,"N.D.",O32/O$11)</f>
        <v>0.33393760763030994</v>
      </c>
      <c r="Q32" s="48">
        <f t="shared" ref="Q32" si="268">+Q56+Q81</f>
        <v>979.13199999999983</v>
      </c>
      <c r="R32" s="55">
        <f>IF(Q$11=0,"N.D.",Q32/Q$11)</f>
        <v>0.2755939952814761</v>
      </c>
      <c r="S32" s="48">
        <f t="shared" ref="S32" si="269">+S56+S81</f>
        <v>1482.1819999999998</v>
      </c>
      <c r="T32" s="55">
        <f>IF(S$11=0,"N.D.",S32/S$11)</f>
        <v>0.32093719476005528</v>
      </c>
      <c r="U32" s="48">
        <f t="shared" ref="U32" si="270">+U56+U81</f>
        <v>2152.6130000000003</v>
      </c>
      <c r="V32" s="55">
        <f>IF(U$11=0,"N.D.",U32/U$11)</f>
        <v>0.46452469264214258</v>
      </c>
      <c r="W32" s="48">
        <f t="shared" ref="W32" si="271">+W56+W81</f>
        <v>447.40399999999988</v>
      </c>
      <c r="X32" s="55">
        <f>IF(W$11=0,"N.D.",W32/W$11)</f>
        <v>0.15157605160450993</v>
      </c>
      <c r="Y32" s="48">
        <f t="shared" ref="Y32" si="272">+Y56+Y81</f>
        <v>4510.9839999999995</v>
      </c>
      <c r="Z32" s="55">
        <f>IF(Y$11=0,"N.D.",Y32/Y$11)</f>
        <v>0.39460504496160348</v>
      </c>
      <c r="AA32" s="48">
        <f t="shared" ref="AA32" si="273">+AA56+AA81</f>
        <v>13806.25554</v>
      </c>
      <c r="AB32" s="55">
        <f>IF(AA$11=0,"N.D.",AA32/AA$11)</f>
        <v>0.29079853936463418</v>
      </c>
    </row>
    <row r="33" spans="2:28" x14ac:dyDescent="0.25">
      <c r="C33" s="89"/>
      <c r="D33" s="50"/>
      <c r="E33" s="89"/>
      <c r="F33" s="50"/>
      <c r="G33" s="89"/>
      <c r="H33" s="50"/>
      <c r="I33" s="89"/>
      <c r="J33" s="50"/>
      <c r="K33" s="89"/>
      <c r="L33" s="50"/>
      <c r="M33" s="89"/>
      <c r="N33" s="50"/>
      <c r="O33" s="89"/>
      <c r="P33" s="50"/>
      <c r="Q33" s="89"/>
      <c r="R33" s="50"/>
      <c r="S33" s="89"/>
      <c r="T33" s="50"/>
      <c r="U33" s="89"/>
      <c r="V33" s="50"/>
      <c r="W33" s="89"/>
      <c r="X33" s="50"/>
      <c r="Y33" s="89"/>
      <c r="Z33" s="50"/>
      <c r="AA33" s="89"/>
      <c r="AB33" s="50"/>
    </row>
    <row r="34" spans="2:28" ht="13" x14ac:dyDescent="0.3">
      <c r="B34" s="194" t="s">
        <v>169</v>
      </c>
      <c r="C34" s="75" t="s">
        <v>171</v>
      </c>
      <c r="D34" s="90"/>
      <c r="E34" s="75" t="s">
        <v>172</v>
      </c>
      <c r="F34" s="90"/>
      <c r="G34" s="75" t="s">
        <v>173</v>
      </c>
      <c r="H34" s="90"/>
      <c r="I34" s="75" t="s">
        <v>174</v>
      </c>
      <c r="J34" s="90"/>
      <c r="K34" s="75" t="s">
        <v>175</v>
      </c>
      <c r="L34" s="90"/>
      <c r="M34" s="75" t="s">
        <v>176</v>
      </c>
      <c r="N34" s="90"/>
      <c r="O34" s="75" t="s">
        <v>177</v>
      </c>
      <c r="P34" s="90"/>
      <c r="Q34" s="75" t="s">
        <v>178</v>
      </c>
      <c r="R34" s="90"/>
      <c r="S34" s="75" t="s">
        <v>179</v>
      </c>
      <c r="T34" s="90"/>
      <c r="U34" s="75" t="s">
        <v>180</v>
      </c>
      <c r="V34" s="90"/>
      <c r="W34" s="75" t="s">
        <v>181</v>
      </c>
      <c r="X34" s="90"/>
      <c r="Y34" s="75" t="s">
        <v>182</v>
      </c>
      <c r="Z34" s="90"/>
      <c r="AA34" s="75" t="str">
        <f>+AA10</f>
        <v>Acum 2018</v>
      </c>
    </row>
    <row r="35" spans="2:28" x14ac:dyDescent="0.25">
      <c r="B35" s="41" t="s">
        <v>17</v>
      </c>
      <c r="C35" s="42">
        <v>0</v>
      </c>
      <c r="D35" s="53" t="str">
        <f>IF(C$35=0,"N.D.",C35/C$35)</f>
        <v>N.D.</v>
      </c>
      <c r="E35" s="42">
        <v>866.25092000000006</v>
      </c>
      <c r="F35" s="53">
        <f>IF(E$35=0,"N.D.",E35/E$35)</f>
        <v>1</v>
      </c>
      <c r="G35" s="340">
        <v>916.13609999999994</v>
      </c>
      <c r="H35" s="53">
        <f>IF(G$35=0,"N.D.",G35/G$35)</f>
        <v>1</v>
      </c>
      <c r="I35" s="42">
        <v>2414.15463</v>
      </c>
      <c r="J35" s="53">
        <f>IF(I$35=0,"N.D.",I35/I$35)</f>
        <v>1</v>
      </c>
      <c r="K35" s="42">
        <v>2414.15463</v>
      </c>
      <c r="L35" s="53">
        <f>IF(K$35=0,"N.D.",K35/K$35)</f>
        <v>1</v>
      </c>
      <c r="M35" s="42">
        <v>2414.15463</v>
      </c>
      <c r="N35" s="53">
        <f>IF(M$35=0,"N.D.",M35/M$35)</f>
        <v>1</v>
      </c>
      <c r="O35" s="42">
        <v>2753.107</v>
      </c>
      <c r="P35" s="53">
        <f>IF(O$35=0,"N.D.",O35/O$35)</f>
        <v>1</v>
      </c>
      <c r="Q35" s="42">
        <v>1379.624</v>
      </c>
      <c r="R35" s="53">
        <f>IF(Q$35=0,"N.D.",Q35/Q$35)</f>
        <v>1</v>
      </c>
      <c r="S35" s="42">
        <v>2630.915</v>
      </c>
      <c r="T35" s="53">
        <f>IF(S$35=0,"N.D.",S35/S$35)</f>
        <v>1</v>
      </c>
      <c r="U35" s="42">
        <v>3789.0360000000001</v>
      </c>
      <c r="V35" s="53">
        <f>IF(U$35=0,"N.D.",U35/U$35)</f>
        <v>1</v>
      </c>
      <c r="W35" s="42">
        <v>872.26499999999999</v>
      </c>
      <c r="X35" s="53">
        <f>IF(W$35=0,"N.D.",W35/W$35)</f>
        <v>1</v>
      </c>
      <c r="Y35" s="42">
        <v>10329.138999999999</v>
      </c>
      <c r="Z35" s="53">
        <f>IF(Y$35=0,"N.D.",Y35/Y$35)</f>
        <v>1</v>
      </c>
      <c r="AA35" s="42">
        <f>+Y35+W35+U35+S35+Q35+O35+M35+K35+I35+G35+E35+C35</f>
        <v>30778.93691</v>
      </c>
      <c r="AB35" s="53">
        <f>IF(AA$35=0,"N.D.",AA35/AA$35)</f>
        <v>1</v>
      </c>
    </row>
    <row r="36" spans="2:28" x14ac:dyDescent="0.25">
      <c r="B36" s="41" t="s">
        <v>18</v>
      </c>
      <c r="C36" s="45">
        <v>0</v>
      </c>
      <c r="D36" s="59" t="str">
        <f>IF(C$35=0,"N.D.",C36/C$35)</f>
        <v>N.D.</v>
      </c>
      <c r="E36" s="45">
        <v>402.82551000000001</v>
      </c>
      <c r="F36" s="59">
        <f>IF(E$35=0,"N.D.",E36/E$35)</f>
        <v>0.46502173989033108</v>
      </c>
      <c r="G36" s="341">
        <v>402.86008000000004</v>
      </c>
      <c r="H36" s="59">
        <f>IF(G$35=0,"N.D.",G36/G$35)</f>
        <v>0.43973824413206736</v>
      </c>
      <c r="I36" s="45">
        <v>984.97955000000002</v>
      </c>
      <c r="J36" s="59">
        <f>IF(I$35=0,"N.D.",I36/I$35)</f>
        <v>0.40800184783523996</v>
      </c>
      <c r="K36" s="45">
        <v>984.97955000000002</v>
      </c>
      <c r="L36" s="59">
        <f>IF(K$35=0,"N.D.",K36/K$35)</f>
        <v>0.40800184783523996</v>
      </c>
      <c r="M36" s="45">
        <v>984.97955000000002</v>
      </c>
      <c r="N36" s="59">
        <f>IF(M$35=0,"N.D.",M36/M$35)</f>
        <v>0.40800184783523996</v>
      </c>
      <c r="O36" s="45">
        <v>1243.8620000000001</v>
      </c>
      <c r="P36" s="59">
        <f>IF(O$35=0,"N.D.",O36/O$35)</f>
        <v>0.45180299930224294</v>
      </c>
      <c r="Q36" s="45">
        <v>676.15200000000004</v>
      </c>
      <c r="R36" s="59">
        <f>IF(Q$35=0,"N.D.",Q36/Q$35)</f>
        <v>0.49009875154389893</v>
      </c>
      <c r="S36" s="45">
        <v>1082.7090000000001</v>
      </c>
      <c r="T36" s="59">
        <f>IF(S$35=0,"N.D.",S36/S$35)</f>
        <v>0.41153324983893441</v>
      </c>
      <c r="U36" s="45">
        <v>1610.31</v>
      </c>
      <c r="V36" s="59">
        <f>IF(U$35=0,"N.D.",U36/U$35)</f>
        <v>0.42499200324304121</v>
      </c>
      <c r="W36" s="45">
        <v>408.56900000000002</v>
      </c>
      <c r="X36" s="59">
        <f>IF(W$35=0,"N.D.",W36/W$35)</f>
        <v>0.46840008483660356</v>
      </c>
      <c r="Y36" s="45">
        <v>5058.518</v>
      </c>
      <c r="Z36" s="59">
        <f>IF(Y$35=0,"N.D.",Y36/Y$35)</f>
        <v>0.48973278411685622</v>
      </c>
      <c r="AA36" s="45">
        <f t="shared" ref="AA36:AA37" si="274">+Y36+W36+U36+S36+Q36+O36+M36+K36+I36+G36+E36+C36</f>
        <v>13840.744240000004</v>
      </c>
      <c r="AB36" s="59">
        <f>IF(AA$35=0,"N.D.",AA36/AA$35)</f>
        <v>0.44968233569831906</v>
      </c>
    </row>
    <row r="37" spans="2:28" ht="13" x14ac:dyDescent="0.3">
      <c r="B37" s="47" t="s">
        <v>19</v>
      </c>
      <c r="C37" s="48">
        <v>0</v>
      </c>
      <c r="D37" s="55" t="str">
        <f>IF(C$35=0,"N.D.",C37/C$35)</f>
        <v>N.D.</v>
      </c>
      <c r="E37" s="48">
        <v>463.42541</v>
      </c>
      <c r="F37" s="55">
        <f>IF(E$35=0,"N.D.",E37/E$35)</f>
        <v>0.53497826010966887</v>
      </c>
      <c r="G37" s="342">
        <v>513.27602000000002</v>
      </c>
      <c r="H37" s="55">
        <f>IF(G$35=0,"N.D.",G37/G$35)</f>
        <v>0.56026175586793281</v>
      </c>
      <c r="I37" s="48">
        <v>1429.17508</v>
      </c>
      <c r="J37" s="55">
        <f>IF(I$35=0,"N.D.",I37/I$35)</f>
        <v>0.59199815216476004</v>
      </c>
      <c r="K37" s="48">
        <v>1429.17508</v>
      </c>
      <c r="L37" s="55">
        <f>IF(K$35=0,"N.D.",K37/K$35)</f>
        <v>0.59199815216476004</v>
      </c>
      <c r="M37" s="48">
        <v>1429.17508</v>
      </c>
      <c r="N37" s="55">
        <f>IF(M$35=0,"N.D.",M37/M$35)</f>
        <v>0.59199815216476004</v>
      </c>
      <c r="O37" s="48">
        <v>1509.2449999999999</v>
      </c>
      <c r="P37" s="55">
        <f>IF(O$35=0,"N.D.",O37/O$35)</f>
        <v>0.54819700069775712</v>
      </c>
      <c r="Q37" s="48">
        <v>703.47199999999998</v>
      </c>
      <c r="R37" s="55">
        <f>IF(Q$35=0,"N.D.",Q37/Q$35)</f>
        <v>0.50990124845610107</v>
      </c>
      <c r="S37" s="48">
        <v>1548.2059999999999</v>
      </c>
      <c r="T37" s="55">
        <f>IF(S$35=0,"N.D.",S37/S$35)</f>
        <v>0.58846675016106564</v>
      </c>
      <c r="U37" s="48">
        <v>2178.7260000000001</v>
      </c>
      <c r="V37" s="55">
        <f>IF(U$35=0,"N.D.",U37/U$35)</f>
        <v>0.57500799675695879</v>
      </c>
      <c r="W37" s="48">
        <v>463.69599999999997</v>
      </c>
      <c r="X37" s="55">
        <f>IF(W$35=0,"N.D.",W37/W$35)</f>
        <v>0.53159991516339644</v>
      </c>
      <c r="Y37" s="48">
        <v>5270.6209999999992</v>
      </c>
      <c r="Z37" s="55">
        <f>IF(Y$35=0,"N.D.",Y37/Y$35)</f>
        <v>0.51026721588314372</v>
      </c>
      <c r="AA37" s="48">
        <f t="shared" si="274"/>
        <v>16938.192670000004</v>
      </c>
      <c r="AB37" s="55">
        <f>IF(AA$35=0,"N.D.",AA37/AA$35)</f>
        <v>0.55031766430168116</v>
      </c>
    </row>
    <row r="38" spans="2:28" x14ac:dyDescent="0.25">
      <c r="B38" s="41"/>
      <c r="C38" s="50"/>
      <c r="D38" s="60"/>
      <c r="E38" s="50"/>
      <c r="F38" s="60"/>
      <c r="G38" s="343"/>
      <c r="H38" s="60"/>
      <c r="I38" s="50"/>
      <c r="J38" s="60"/>
      <c r="K38" s="50"/>
      <c r="L38" s="60"/>
      <c r="M38" s="50"/>
      <c r="N38" s="60"/>
      <c r="O38" s="50"/>
      <c r="P38" s="60"/>
      <c r="Q38" s="50"/>
      <c r="R38" s="60"/>
      <c r="S38" s="50"/>
      <c r="T38" s="60"/>
      <c r="U38" s="50"/>
      <c r="V38" s="60"/>
      <c r="W38" s="50"/>
      <c r="X38" s="60"/>
      <c r="Y38" s="50"/>
      <c r="Z38" s="60"/>
      <c r="AA38" s="50"/>
      <c r="AB38" s="60"/>
    </row>
    <row r="39" spans="2:28" x14ac:dyDescent="0.25">
      <c r="B39" s="41" t="s">
        <v>20</v>
      </c>
      <c r="C39" s="42">
        <v>32.800620000000002</v>
      </c>
      <c r="D39" s="53" t="str">
        <f>IF(C$35=0,"N.D.",C39/C$35)</f>
        <v>N.D.</v>
      </c>
      <c r="E39" s="42">
        <v>41.831000000000003</v>
      </c>
      <c r="F39" s="53">
        <f>IF(E$35=0,"N.D.",E39/E$35)</f>
        <v>4.8289703403720484E-2</v>
      </c>
      <c r="G39" s="340">
        <v>86.665050000000008</v>
      </c>
      <c r="H39" s="53">
        <f>IF(G$35=0,"N.D.",G39/G$35)</f>
        <v>9.4598444488761022E-2</v>
      </c>
      <c r="I39" s="42">
        <v>188.62354000000002</v>
      </c>
      <c r="J39" s="53">
        <f>IF(I$35=0,"N.D.",I39/I$35)</f>
        <v>7.8132335707095948E-2</v>
      </c>
      <c r="K39" s="42">
        <v>188.62354000000002</v>
      </c>
      <c r="L39" s="53">
        <f>IF(K$35=0,"N.D.",K39/K$35)</f>
        <v>7.8132335707095948E-2</v>
      </c>
      <c r="M39" s="42">
        <v>188.62354000000002</v>
      </c>
      <c r="N39" s="53">
        <f>IF(M$35=0,"N.D.",M39/M$35)</f>
        <v>7.8132335707095948E-2</v>
      </c>
      <c r="O39" s="42">
        <v>64.691999999999993</v>
      </c>
      <c r="P39" s="53">
        <f>IF(O$35=0,"N.D.",O39/O$35)</f>
        <v>2.3497815377317335E-2</v>
      </c>
      <c r="Q39" s="42">
        <v>74.353999999999999</v>
      </c>
      <c r="R39" s="53">
        <f>IF(Q$35=0,"N.D.",Q39/Q$35)</f>
        <v>5.3894394414710091E-2</v>
      </c>
      <c r="S39" s="42">
        <v>143.744</v>
      </c>
      <c r="T39" s="53">
        <f>IF(S$35=0,"N.D.",S39/S$35)</f>
        <v>5.4636504790158559E-2</v>
      </c>
      <c r="U39" s="42">
        <v>192.27199999999999</v>
      </c>
      <c r="V39" s="53">
        <f>IF(U$35=0,"N.D.",U39/U$35)</f>
        <v>5.0744305411719495E-2</v>
      </c>
      <c r="W39" s="42">
        <v>154.958</v>
      </c>
      <c r="X39" s="53">
        <f>IF(W$35=0,"N.D.",W39/W$35)</f>
        <v>0.17765014072558225</v>
      </c>
      <c r="Y39" s="42">
        <v>673.63699999999994</v>
      </c>
      <c r="Z39" s="53">
        <f>IF(Y$35=0,"N.D.",Y39/Y$35)</f>
        <v>6.521714927062168E-2</v>
      </c>
      <c r="AA39" s="42">
        <f t="shared" ref="AA39:AA43" si="275">+Y39+W39+U39+S39+Q39+O39+M39+K39+I39+G39+E39+C39</f>
        <v>2030.82429</v>
      </c>
      <c r="AB39" s="53">
        <f>IF(AA$35=0,"N.D.",AA39/AA$35)</f>
        <v>6.5980975754240237E-2</v>
      </c>
    </row>
    <row r="40" spans="2:28" x14ac:dyDescent="0.25">
      <c r="B40" s="41" t="s">
        <v>21</v>
      </c>
      <c r="C40" s="45">
        <v>152.24751000000001</v>
      </c>
      <c r="D40" s="54" t="str">
        <f>IF(C$35=0,"N.D.",C40/C$35)</f>
        <v>N.D.</v>
      </c>
      <c r="E40" s="45">
        <v>547.94537000000003</v>
      </c>
      <c r="F40" s="54">
        <f>IF(E$35=0,"N.D.",E40/E$35)</f>
        <v>0.63254809587965577</v>
      </c>
      <c r="G40" s="341">
        <v>292.62912</v>
      </c>
      <c r="H40" s="54">
        <f>IF(G$35=0,"N.D.",G40/G$35)</f>
        <v>0.31941664562721633</v>
      </c>
      <c r="I40" s="45">
        <v>659.43749000000003</v>
      </c>
      <c r="J40" s="54">
        <f>IF(I$35=0,"N.D.",I40/I$35)</f>
        <v>0.27315461976020983</v>
      </c>
      <c r="K40" s="45">
        <v>659.43749000000003</v>
      </c>
      <c r="L40" s="54">
        <f>IF(K$35=0,"N.D.",K40/K$35)</f>
        <v>0.27315461976020983</v>
      </c>
      <c r="M40" s="45">
        <v>659.43749000000003</v>
      </c>
      <c r="N40" s="54">
        <f>IF(M$35=0,"N.D.",M40/M$35)</f>
        <v>0.27315461976020983</v>
      </c>
      <c r="O40" s="45">
        <v>168.46899999999999</v>
      </c>
      <c r="P40" s="54">
        <f>IF(O$35=0,"N.D.",O40/O$35)</f>
        <v>6.1192318351593306E-2</v>
      </c>
      <c r="Q40" s="45">
        <v>105.167</v>
      </c>
      <c r="R40" s="54">
        <f>IF(Q$35=0,"N.D.",Q40/Q$35)</f>
        <v>7.6228740584391108E-2</v>
      </c>
      <c r="S40" s="45">
        <v>342.65699999999998</v>
      </c>
      <c r="T40" s="54">
        <f>IF(S$35=0,"N.D.",S40/S$35)</f>
        <v>0.13024252018784338</v>
      </c>
      <c r="U40" s="45">
        <v>141.922</v>
      </c>
      <c r="V40" s="54">
        <f>IF(U$35=0,"N.D.",U40/U$35)</f>
        <v>3.7455965052852494E-2</v>
      </c>
      <c r="W40" s="45">
        <v>134.16</v>
      </c>
      <c r="X40" s="54">
        <f>IF(W$35=0,"N.D.",W40/W$35)</f>
        <v>0.15380646936424136</v>
      </c>
      <c r="Y40" s="45">
        <v>177.005</v>
      </c>
      <c r="Z40" s="54">
        <f>IF(Y$35=0,"N.D.",Y40/Y$35)</f>
        <v>1.713647187824658E-2</v>
      </c>
      <c r="AA40" s="45">
        <f t="shared" si="275"/>
        <v>4040.5144700000001</v>
      </c>
      <c r="AB40" s="54">
        <f>IF(AA$35=0,"N.D.",AA40/AA$35)</f>
        <v>0.13127530953439939</v>
      </c>
    </row>
    <row r="41" spans="2:28" x14ac:dyDescent="0.25">
      <c r="B41" s="41" t="s">
        <v>22</v>
      </c>
      <c r="C41" s="52">
        <v>1.15299</v>
      </c>
      <c r="D41" s="59" t="str">
        <f>IF(C$35=0,"N.D.",C41/C$35)</f>
        <v>N.D.</v>
      </c>
      <c r="E41" s="52">
        <v>1.15299</v>
      </c>
      <c r="F41" s="59">
        <f>IF(E$35=0,"N.D.",E41/E$35)</f>
        <v>1.3310115734133938E-3</v>
      </c>
      <c r="G41" s="344">
        <v>1.15299</v>
      </c>
      <c r="H41" s="59">
        <f>IF(G$35=0,"N.D.",G41/G$35)</f>
        <v>1.2585357131980719E-3</v>
      </c>
      <c r="I41" s="52">
        <v>1.15299</v>
      </c>
      <c r="J41" s="59">
        <f>IF(I$35=0,"N.D.",I41/I$35)</f>
        <v>4.7759575367382326E-4</v>
      </c>
      <c r="K41" s="52">
        <v>1.15299</v>
      </c>
      <c r="L41" s="59">
        <f>IF(K$35=0,"N.D.",K41/K$35)</f>
        <v>4.7759575367382326E-4</v>
      </c>
      <c r="M41" s="52">
        <v>1.15299</v>
      </c>
      <c r="N41" s="59">
        <f>IF(M$35=0,"N.D.",M41/M$35)</f>
        <v>4.7759575367382326E-4</v>
      </c>
      <c r="O41" s="52">
        <v>1.153</v>
      </c>
      <c r="P41" s="59">
        <f>IF(O$35=0,"N.D.",O41/O$35)</f>
        <v>4.1879955991539744E-4</v>
      </c>
      <c r="Q41" s="52">
        <v>1.153</v>
      </c>
      <c r="R41" s="59">
        <f>IF(Q$35=0,"N.D.",Q41/Q$35)</f>
        <v>8.3573495387148959E-4</v>
      </c>
      <c r="S41" s="52">
        <v>0</v>
      </c>
      <c r="T41" s="59">
        <f>IF(S$35=0,"N.D.",S41/S$35)</f>
        <v>0</v>
      </c>
      <c r="U41" s="52">
        <v>1.153</v>
      </c>
      <c r="V41" s="59">
        <f>IF(U$35=0,"N.D.",U41/U$35)</f>
        <v>3.0429903542748078E-4</v>
      </c>
      <c r="W41" s="52">
        <v>1.153</v>
      </c>
      <c r="X41" s="59">
        <f>IF(W$35=0,"N.D.",W41/W$35)</f>
        <v>1.3218459986357358E-3</v>
      </c>
      <c r="Y41" s="52">
        <v>1.153</v>
      </c>
      <c r="Z41" s="59">
        <f>IF(Y$35=0,"N.D.",Y41/Y$35)</f>
        <v>1.116259544963041E-4</v>
      </c>
      <c r="AA41" s="52">
        <f t="shared" si="275"/>
        <v>12.682939999999999</v>
      </c>
      <c r="AB41" s="59">
        <f>IF(AA$35=0,"N.D.",AA41/AA$35)</f>
        <v>4.1206556409293472E-4</v>
      </c>
    </row>
    <row r="42" spans="2:28" ht="13" x14ac:dyDescent="0.3">
      <c r="B42" s="47" t="s">
        <v>23</v>
      </c>
      <c r="C42" s="48">
        <v>186.20112</v>
      </c>
      <c r="D42" s="55" t="str">
        <f>IF(C$35=0,"N.D.",C42/C$35)</f>
        <v>N.D.</v>
      </c>
      <c r="E42" s="48">
        <v>590.92935999999997</v>
      </c>
      <c r="F42" s="55">
        <f>IF(E$35=0,"N.D.",E42/E$35)</f>
        <v>0.6821688108567896</v>
      </c>
      <c r="G42" s="342">
        <v>380.44716</v>
      </c>
      <c r="H42" s="55">
        <f>IF(G$35=0,"N.D.",G42/G$35)</f>
        <v>0.41527362582917543</v>
      </c>
      <c r="I42" s="48">
        <v>849.21402</v>
      </c>
      <c r="J42" s="55">
        <f>IF(I$35=0,"N.D.",I42/I$35)</f>
        <v>0.3517645512209796</v>
      </c>
      <c r="K42" s="48">
        <v>849.21402</v>
      </c>
      <c r="L42" s="55">
        <f>IF(K$35=0,"N.D.",K42/K$35)</f>
        <v>0.3517645512209796</v>
      </c>
      <c r="M42" s="48">
        <v>849.21402</v>
      </c>
      <c r="N42" s="55">
        <f>IF(M$35=0,"N.D.",M42/M$35)</f>
        <v>0.3517645512209796</v>
      </c>
      <c r="O42" s="48">
        <v>234.31399999999999</v>
      </c>
      <c r="P42" s="55">
        <f>IF(O$35=0,"N.D.",O42/O$35)</f>
        <v>8.5108933288826044E-2</v>
      </c>
      <c r="Q42" s="48">
        <v>180.67400000000001</v>
      </c>
      <c r="R42" s="55">
        <f>IF(Q$35=0,"N.D.",Q42/Q$35)</f>
        <v>0.13095886995297271</v>
      </c>
      <c r="S42" s="48">
        <v>486.40099999999995</v>
      </c>
      <c r="T42" s="55">
        <f>IF(S$35=0,"N.D.",S42/S$35)</f>
        <v>0.18487902497800193</v>
      </c>
      <c r="U42" s="48">
        <v>335.34699999999998</v>
      </c>
      <c r="V42" s="55">
        <f>IF(U$35=0,"N.D.",U42/U$35)</f>
        <v>8.8504569499999464E-2</v>
      </c>
      <c r="W42" s="48">
        <v>290.27100000000002</v>
      </c>
      <c r="X42" s="55">
        <f>IF(W$35=0,"N.D.",W42/W$35)</f>
        <v>0.33277845608845935</v>
      </c>
      <c r="Y42" s="48">
        <v>851.79499999999996</v>
      </c>
      <c r="Z42" s="55">
        <f>IF(Y$35=0,"N.D.",Y42/Y$35)</f>
        <v>8.2465247103364572E-2</v>
      </c>
      <c r="AA42" s="48">
        <f t="shared" si="275"/>
        <v>6084.0216999999993</v>
      </c>
      <c r="AB42" s="55">
        <f>IF(AA$35=0,"N.D.",AA42/AA$35)</f>
        <v>0.19766835085273254</v>
      </c>
    </row>
    <row r="43" spans="2:28" ht="13" x14ac:dyDescent="0.3">
      <c r="B43" s="47" t="s">
        <v>24</v>
      </c>
      <c r="C43" s="48">
        <v>-186.20112</v>
      </c>
      <c r="D43" s="55" t="str">
        <f>IF(C$35=0,"N.D.",C43/C$35)</f>
        <v>N.D.</v>
      </c>
      <c r="E43" s="48">
        <v>-127.50395</v>
      </c>
      <c r="F43" s="55">
        <f>IF(E$35=0,"N.D.",E43/E$35)</f>
        <v>-0.1471905507471207</v>
      </c>
      <c r="G43" s="342">
        <v>132.82885999999999</v>
      </c>
      <c r="H43" s="55">
        <f>IF(G$35=0,"N.D.",G43/G$35)</f>
        <v>0.14498813003875735</v>
      </c>
      <c r="I43" s="48">
        <v>579.96106000000009</v>
      </c>
      <c r="J43" s="55">
        <f>IF(I$35=0,"N.D.",I43/I$35)</f>
        <v>0.24023360094378052</v>
      </c>
      <c r="K43" s="48">
        <v>579.96106000000009</v>
      </c>
      <c r="L43" s="55">
        <f>IF(K$35=0,"N.D.",K43/K$35)</f>
        <v>0.24023360094378052</v>
      </c>
      <c r="M43" s="48">
        <v>579.96106000000009</v>
      </c>
      <c r="N43" s="55">
        <f>IF(M$35=0,"N.D.",M43/M$35)</f>
        <v>0.24023360094378052</v>
      </c>
      <c r="O43" s="48">
        <v>1274.9309999999998</v>
      </c>
      <c r="P43" s="55">
        <f>IF(O$35=0,"N.D.",O43/O$35)</f>
        <v>0.46308806740893099</v>
      </c>
      <c r="Q43" s="48">
        <v>522.798</v>
      </c>
      <c r="R43" s="55">
        <f>IF(Q$35=0,"N.D.",Q43/Q$35)</f>
        <v>0.3789423785031284</v>
      </c>
      <c r="S43" s="48">
        <v>1061.8049999999998</v>
      </c>
      <c r="T43" s="55">
        <f>IF(S$35=0,"N.D.",S43/S$35)</f>
        <v>0.40358772518306363</v>
      </c>
      <c r="U43" s="48">
        <v>1843.3790000000001</v>
      </c>
      <c r="V43" s="55">
        <f>IF(U$35=0,"N.D.",U43/U$35)</f>
        <v>0.48650342725695933</v>
      </c>
      <c r="W43" s="48">
        <v>173.42499999999995</v>
      </c>
      <c r="X43" s="55">
        <f>IF(W$35=0,"N.D.",W43/W$35)</f>
        <v>0.19882145907493703</v>
      </c>
      <c r="Y43" s="48">
        <v>4418.8259999999991</v>
      </c>
      <c r="Z43" s="55">
        <f>IF(Y$35=0,"N.D.",Y43/Y$35)</f>
        <v>0.42780196877977916</v>
      </c>
      <c r="AA43" s="48">
        <f t="shared" si="275"/>
        <v>10854.170969999997</v>
      </c>
      <c r="AB43" s="55">
        <f>IF(AA$35=0,"N.D.",AA43/AA$35)</f>
        <v>0.3526493134489484</v>
      </c>
    </row>
    <row r="44" spans="2:28" x14ac:dyDescent="0.25">
      <c r="B44" s="41"/>
      <c r="C44" s="50"/>
      <c r="D44" s="60"/>
      <c r="E44" s="50"/>
      <c r="F44" s="60"/>
      <c r="G44" s="343"/>
      <c r="H44" s="60"/>
      <c r="I44" s="50"/>
      <c r="J44" s="60"/>
      <c r="K44" s="50"/>
      <c r="L44" s="60"/>
      <c r="M44" s="50"/>
      <c r="N44" s="60"/>
      <c r="O44" s="50"/>
      <c r="P44" s="60"/>
      <c r="Q44" s="50"/>
      <c r="R44" s="60"/>
      <c r="S44" s="50"/>
      <c r="T44" s="60"/>
      <c r="U44" s="50"/>
      <c r="V44" s="60"/>
      <c r="W44" s="50"/>
      <c r="X44" s="60"/>
      <c r="Y44" s="50"/>
      <c r="Z44" s="60"/>
      <c r="AA44" s="50"/>
      <c r="AB44" s="60"/>
    </row>
    <row r="45" spans="2:28" x14ac:dyDescent="0.25">
      <c r="B45" s="41" t="s">
        <v>25</v>
      </c>
      <c r="C45" s="42">
        <v>-43.3384</v>
      </c>
      <c r="D45" s="53" t="str">
        <f t="shared" ref="D45:D51" si="276">IF(C$35=0,"N.D.",C45/C$35)</f>
        <v>N.D.</v>
      </c>
      <c r="E45" s="42">
        <v>-17.890840000000001</v>
      </c>
      <c r="F45" s="53">
        <f t="shared" ref="F45:F51" si="277">IF(E$35=0,"N.D.",E45/E$35)</f>
        <v>-2.0653184414511212E-2</v>
      </c>
      <c r="G45" s="340">
        <v>-15.804180000000001</v>
      </c>
      <c r="H45" s="53">
        <f t="shared" ref="H45:H51" si="278">IF(G$35=0,"N.D.",G45/G$35)</f>
        <v>-1.7250908462181549E-2</v>
      </c>
      <c r="I45" s="42">
        <v>-126.75944</v>
      </c>
      <c r="J45" s="53">
        <f t="shared" ref="J45:J51" si="279">IF(I$35=0,"N.D.",I45/I$35)</f>
        <v>-5.2506760927737262E-2</v>
      </c>
      <c r="K45" s="42">
        <v>-126.75944</v>
      </c>
      <c r="L45" s="53">
        <f t="shared" ref="L45:L51" si="280">IF(K$35=0,"N.D.",K45/K$35)</f>
        <v>-5.2506760927737262E-2</v>
      </c>
      <c r="M45" s="42">
        <v>-126.75944</v>
      </c>
      <c r="N45" s="53">
        <f t="shared" ref="N45:N51" si="281">IF(M$35=0,"N.D.",M45/M$35)</f>
        <v>-5.2506760927737262E-2</v>
      </c>
      <c r="O45" s="42">
        <v>-44.106000000000002</v>
      </c>
      <c r="P45" s="53">
        <f t="shared" ref="P45:P51" si="282">IF(O$35=0,"N.D.",O45/O$35)</f>
        <v>-1.6020445264205135E-2</v>
      </c>
      <c r="Q45" s="42">
        <v>-133.71</v>
      </c>
      <c r="R45" s="53">
        <f t="shared" ref="R45:R51" si="283">IF(Q$35=0,"N.D.",Q45/Q$35)</f>
        <v>-9.6917710912538493E-2</v>
      </c>
      <c r="S45" s="42">
        <v>-20.315000000000001</v>
      </c>
      <c r="T45" s="53">
        <f t="shared" ref="T45:T51" si="284">IF(S$35=0,"N.D.",S45/S$35)</f>
        <v>-7.721648171833754E-3</v>
      </c>
      <c r="U45" s="42">
        <v>-146.23699999999999</v>
      </c>
      <c r="V45" s="53">
        <f t="shared" ref="V45:V51" si="285">IF(U$35=0,"N.D.",U45/U$35)</f>
        <v>-3.8594777141204253E-2</v>
      </c>
      <c r="W45" s="42">
        <v>-76.930999999999997</v>
      </c>
      <c r="X45" s="53">
        <f t="shared" ref="X45:X51" si="286">IF(W$35=0,"N.D.",W45/W$35)</f>
        <v>-8.8196820920247859E-2</v>
      </c>
      <c r="Y45" s="42">
        <v>-56.210999999999999</v>
      </c>
      <c r="Z45" s="53">
        <f t="shared" ref="Z45:Z51" si="287">IF(Y$35=0,"N.D.",Y45/Y$35)</f>
        <v>-5.4419831120483524E-3</v>
      </c>
      <c r="AA45" s="42">
        <f t="shared" ref="AA45:AA51" si="288">+Y45+W45+U45+S45+Q45+O45+M45+K45+I45+G45+E45+C45</f>
        <v>-934.82174000000009</v>
      </c>
      <c r="AB45" s="53">
        <f t="shared" ref="AB45:AB51" si="289">IF(AA$35=0,"N.D.",AA45/AA$35)</f>
        <v>-3.0372125675863705E-2</v>
      </c>
    </row>
    <row r="46" spans="2:28" x14ac:dyDescent="0.25">
      <c r="B46" s="41" t="s">
        <v>26</v>
      </c>
      <c r="C46" s="45">
        <v>0</v>
      </c>
      <c r="D46" s="54" t="str">
        <f t="shared" si="276"/>
        <v>N.D.</v>
      </c>
      <c r="E46" s="45">
        <v>0</v>
      </c>
      <c r="F46" s="54">
        <f t="shared" si="277"/>
        <v>0</v>
      </c>
      <c r="G46" s="341">
        <v>0</v>
      </c>
      <c r="H46" s="54">
        <f t="shared" si="278"/>
        <v>0</v>
      </c>
      <c r="I46" s="45">
        <v>0</v>
      </c>
      <c r="J46" s="54">
        <f t="shared" si="279"/>
        <v>0</v>
      </c>
      <c r="K46" s="45">
        <v>0</v>
      </c>
      <c r="L46" s="54">
        <f t="shared" si="280"/>
        <v>0</v>
      </c>
      <c r="M46" s="45">
        <v>0</v>
      </c>
      <c r="N46" s="54">
        <f t="shared" si="281"/>
        <v>0</v>
      </c>
      <c r="O46" s="45">
        <v>0</v>
      </c>
      <c r="P46" s="54">
        <f t="shared" si="282"/>
        <v>0</v>
      </c>
      <c r="Q46" s="45">
        <v>0</v>
      </c>
      <c r="R46" s="54">
        <f t="shared" si="283"/>
        <v>0</v>
      </c>
      <c r="S46" s="45">
        <v>0</v>
      </c>
      <c r="T46" s="54">
        <f t="shared" si="284"/>
        <v>0</v>
      </c>
      <c r="U46" s="45">
        <v>0</v>
      </c>
      <c r="V46" s="54">
        <f t="shared" si="285"/>
        <v>0</v>
      </c>
      <c r="W46" s="45">
        <v>0</v>
      </c>
      <c r="X46" s="54">
        <f t="shared" si="286"/>
        <v>0</v>
      </c>
      <c r="Y46" s="45">
        <v>0</v>
      </c>
      <c r="Z46" s="54">
        <f t="shared" si="287"/>
        <v>0</v>
      </c>
      <c r="AA46" s="45">
        <f t="shared" si="288"/>
        <v>0</v>
      </c>
      <c r="AB46" s="54">
        <f t="shared" si="289"/>
        <v>0</v>
      </c>
    </row>
    <row r="47" spans="2:28" x14ac:dyDescent="0.25">
      <c r="B47" s="41" t="s">
        <v>27</v>
      </c>
      <c r="C47" s="45">
        <v>1.22333</v>
      </c>
      <c r="D47" s="54" t="str">
        <f t="shared" si="276"/>
        <v>N.D.</v>
      </c>
      <c r="E47" s="45">
        <v>0.94525000000000003</v>
      </c>
      <c r="F47" s="54">
        <f t="shared" si="277"/>
        <v>1.0911965322934374E-3</v>
      </c>
      <c r="G47" s="341">
        <v>2.09389</v>
      </c>
      <c r="H47" s="54">
        <f t="shared" si="278"/>
        <v>2.2855665222667244E-3</v>
      </c>
      <c r="I47" s="45">
        <v>2.51512</v>
      </c>
      <c r="J47" s="54">
        <f t="shared" si="279"/>
        <v>1.0418222464896542E-3</v>
      </c>
      <c r="K47" s="45">
        <v>2.51512</v>
      </c>
      <c r="L47" s="54">
        <f t="shared" si="280"/>
        <v>1.0418222464896542E-3</v>
      </c>
      <c r="M47" s="45">
        <v>2.51512</v>
      </c>
      <c r="N47" s="54">
        <f t="shared" si="281"/>
        <v>1.0418222464896542E-3</v>
      </c>
      <c r="O47" s="45">
        <v>1.7869999999999999</v>
      </c>
      <c r="P47" s="54">
        <f t="shared" si="282"/>
        <v>6.4908483397121866E-4</v>
      </c>
      <c r="Q47" s="45">
        <v>1.0720000000000001</v>
      </c>
      <c r="R47" s="54">
        <f t="shared" si="283"/>
        <v>7.7702330490046572E-4</v>
      </c>
      <c r="S47" s="45">
        <v>2.2210000000000001</v>
      </c>
      <c r="T47" s="54">
        <f t="shared" si="284"/>
        <v>8.4419298989134967E-4</v>
      </c>
      <c r="U47" s="45">
        <v>1.3979999999999999</v>
      </c>
      <c r="V47" s="54">
        <f t="shared" si="285"/>
        <v>3.6895928146367569E-4</v>
      </c>
      <c r="W47" s="45">
        <v>1.7050000000000001</v>
      </c>
      <c r="X47" s="54">
        <f t="shared" si="286"/>
        <v>1.9546812035333302E-3</v>
      </c>
      <c r="Y47" s="45">
        <v>1.6859999999999999</v>
      </c>
      <c r="Z47" s="54">
        <f t="shared" si="287"/>
        <v>1.6322754490959992E-4</v>
      </c>
      <c r="AA47" s="45">
        <f t="shared" si="288"/>
        <v>21.676829999999999</v>
      </c>
      <c r="AB47" s="54">
        <f t="shared" si="289"/>
        <v>7.042748118099313E-4</v>
      </c>
    </row>
    <row r="48" spans="2:28" x14ac:dyDescent="0.25">
      <c r="B48" s="41" t="s">
        <v>28</v>
      </c>
      <c r="C48" s="45">
        <v>231.18607</v>
      </c>
      <c r="D48" s="54" t="str">
        <f t="shared" si="276"/>
        <v>N.D.</v>
      </c>
      <c r="E48" s="45">
        <v>244.90885999999998</v>
      </c>
      <c r="F48" s="54">
        <f t="shared" si="277"/>
        <v>0.28272277044161748</v>
      </c>
      <c r="G48" s="341">
        <v>324.89625000000001</v>
      </c>
      <c r="H48" s="54">
        <f t="shared" si="278"/>
        <v>0.35463753693364997</v>
      </c>
      <c r="I48" s="45">
        <v>253.90413000000001</v>
      </c>
      <c r="J48" s="54">
        <f t="shared" si="279"/>
        <v>0.10517310152581237</v>
      </c>
      <c r="K48" s="45">
        <v>253.90413000000001</v>
      </c>
      <c r="L48" s="54">
        <f t="shared" si="280"/>
        <v>0.10517310152581237</v>
      </c>
      <c r="M48" s="45">
        <v>253.90413000000001</v>
      </c>
      <c r="N48" s="54">
        <f t="shared" si="281"/>
        <v>0.10517310152581237</v>
      </c>
      <c r="O48" s="45">
        <v>300.46800000000002</v>
      </c>
      <c r="P48" s="54">
        <f t="shared" si="282"/>
        <v>0.10913778505521217</v>
      </c>
      <c r="Q48" s="45">
        <v>396.28399999999999</v>
      </c>
      <c r="R48" s="54">
        <f t="shared" si="283"/>
        <v>0.28724058149176879</v>
      </c>
      <c r="S48" s="45">
        <v>242.83799999999999</v>
      </c>
      <c r="T48" s="54">
        <f t="shared" si="284"/>
        <v>9.2301727725905239E-2</v>
      </c>
      <c r="U48" s="45">
        <v>324.37299999999999</v>
      </c>
      <c r="V48" s="54">
        <f t="shared" si="285"/>
        <v>8.5608318316321083E-2</v>
      </c>
      <c r="W48" s="45">
        <v>295.19</v>
      </c>
      <c r="X48" s="54">
        <f t="shared" si="286"/>
        <v>0.33841779734369715</v>
      </c>
      <c r="Y48" s="45">
        <v>385.41199999999998</v>
      </c>
      <c r="Z48" s="54">
        <f t="shared" si="287"/>
        <v>3.7313080983807076E-2</v>
      </c>
      <c r="AA48" s="45">
        <f t="shared" si="288"/>
        <v>3507.2685700000002</v>
      </c>
      <c r="AB48" s="54">
        <f t="shared" si="289"/>
        <v>0.11395028295667019</v>
      </c>
    </row>
    <row r="49" spans="2:28" x14ac:dyDescent="0.25">
      <c r="B49" s="41" t="s">
        <v>399</v>
      </c>
      <c r="C49" s="52">
        <v>0</v>
      </c>
      <c r="D49" s="59" t="str">
        <f t="shared" si="276"/>
        <v>N.D.</v>
      </c>
      <c r="E49" s="52">
        <v>0</v>
      </c>
      <c r="F49" s="59">
        <f t="shared" si="277"/>
        <v>0</v>
      </c>
      <c r="G49" s="344">
        <v>0</v>
      </c>
      <c r="H49" s="59">
        <f t="shared" si="278"/>
        <v>0</v>
      </c>
      <c r="I49" s="52">
        <v>0</v>
      </c>
      <c r="J49" s="59">
        <f t="shared" si="279"/>
        <v>0</v>
      </c>
      <c r="K49" s="52">
        <v>0</v>
      </c>
      <c r="L49" s="59">
        <f t="shared" si="280"/>
        <v>0</v>
      </c>
      <c r="M49" s="52">
        <v>0</v>
      </c>
      <c r="N49" s="59">
        <f t="shared" si="281"/>
        <v>0</v>
      </c>
      <c r="O49" s="52">
        <v>0</v>
      </c>
      <c r="P49" s="59">
        <f t="shared" si="282"/>
        <v>0</v>
      </c>
      <c r="Q49" s="52">
        <v>0</v>
      </c>
      <c r="R49" s="59">
        <f t="shared" si="283"/>
        <v>0</v>
      </c>
      <c r="S49" s="52">
        <v>0</v>
      </c>
      <c r="T49" s="59">
        <f t="shared" si="284"/>
        <v>0</v>
      </c>
      <c r="U49" s="52">
        <v>0</v>
      </c>
      <c r="V49" s="59">
        <f t="shared" si="285"/>
        <v>0</v>
      </c>
      <c r="W49" s="52">
        <v>0</v>
      </c>
      <c r="X49" s="59">
        <f t="shared" si="286"/>
        <v>0</v>
      </c>
      <c r="Y49" s="52">
        <v>0</v>
      </c>
      <c r="Z49" s="59">
        <f t="shared" si="287"/>
        <v>0</v>
      </c>
      <c r="AA49" s="52">
        <f t="shared" si="288"/>
        <v>0</v>
      </c>
      <c r="AB49" s="59">
        <f t="shared" si="289"/>
        <v>0</v>
      </c>
    </row>
    <row r="50" spans="2:28" ht="13" x14ac:dyDescent="0.3">
      <c r="B50" s="47" t="s">
        <v>394</v>
      </c>
      <c r="C50" s="48">
        <v>-273.30114000000003</v>
      </c>
      <c r="D50" s="55" t="str">
        <f t="shared" si="276"/>
        <v>N.D.</v>
      </c>
      <c r="E50" s="48">
        <v>-261.85444999999999</v>
      </c>
      <c r="F50" s="55">
        <f t="shared" si="277"/>
        <v>-0.30228475832383528</v>
      </c>
      <c r="G50" s="342">
        <v>-338.60654</v>
      </c>
      <c r="H50" s="55">
        <f t="shared" si="278"/>
        <v>-0.36960287887356474</v>
      </c>
      <c r="I50" s="48">
        <v>-378.14845000000003</v>
      </c>
      <c r="J50" s="55">
        <f t="shared" si="279"/>
        <v>-0.15663804020705999</v>
      </c>
      <c r="K50" s="48">
        <v>-378.14845000000003</v>
      </c>
      <c r="L50" s="55">
        <f t="shared" si="280"/>
        <v>-0.15663804020705999</v>
      </c>
      <c r="M50" s="48">
        <v>-378.14845000000003</v>
      </c>
      <c r="N50" s="55">
        <f t="shared" si="281"/>
        <v>-0.15663804020705999</v>
      </c>
      <c r="O50" s="48">
        <v>-342.78700000000003</v>
      </c>
      <c r="P50" s="55">
        <f t="shared" si="282"/>
        <v>-0.12450914548544609</v>
      </c>
      <c r="Q50" s="48">
        <v>-528.92200000000003</v>
      </c>
      <c r="R50" s="55">
        <f t="shared" si="283"/>
        <v>-0.38338126909940679</v>
      </c>
      <c r="S50" s="48">
        <v>-260.93200000000002</v>
      </c>
      <c r="T50" s="55">
        <f t="shared" si="284"/>
        <v>-9.9179182907847663E-2</v>
      </c>
      <c r="U50" s="48">
        <v>-469.21199999999999</v>
      </c>
      <c r="V50" s="55">
        <f t="shared" si="285"/>
        <v>-0.12383413617606166</v>
      </c>
      <c r="W50" s="48">
        <v>-370.416</v>
      </c>
      <c r="X50" s="55">
        <f t="shared" si="286"/>
        <v>-0.42465993706041166</v>
      </c>
      <c r="Y50" s="48">
        <v>-439.93699999999995</v>
      </c>
      <c r="Z50" s="55">
        <f t="shared" si="287"/>
        <v>-4.2591836550945825E-2</v>
      </c>
      <c r="AA50" s="48">
        <f t="shared" si="288"/>
        <v>-4420.4134800000011</v>
      </c>
      <c r="AB50" s="55">
        <f t="shared" si="289"/>
        <v>-0.143618133820724</v>
      </c>
    </row>
    <row r="51" spans="2:28" ht="13" x14ac:dyDescent="0.3">
      <c r="B51" s="47" t="s">
        <v>29</v>
      </c>
      <c r="C51" s="48">
        <v>87.100020000000029</v>
      </c>
      <c r="D51" s="55" t="str">
        <f t="shared" si="276"/>
        <v>N.D.</v>
      </c>
      <c r="E51" s="48">
        <v>134.35050000000001</v>
      </c>
      <c r="F51" s="55">
        <f t="shared" si="277"/>
        <v>0.1550942075767146</v>
      </c>
      <c r="G51" s="342">
        <v>471.43540000000002</v>
      </c>
      <c r="H51" s="55">
        <f t="shared" si="278"/>
        <v>0.51459100891232212</v>
      </c>
      <c r="I51" s="48">
        <v>958.10951</v>
      </c>
      <c r="J51" s="55">
        <f t="shared" si="279"/>
        <v>0.39687164115084045</v>
      </c>
      <c r="K51" s="48">
        <v>958.10951</v>
      </c>
      <c r="L51" s="55">
        <f t="shared" si="280"/>
        <v>0.39687164115084045</v>
      </c>
      <c r="M51" s="48">
        <v>958.10951</v>
      </c>
      <c r="N51" s="55">
        <f t="shared" si="281"/>
        <v>0.39687164115084045</v>
      </c>
      <c r="O51" s="48">
        <v>1617.7179999999998</v>
      </c>
      <c r="P51" s="55">
        <f t="shared" si="282"/>
        <v>0.58759721289437705</v>
      </c>
      <c r="Q51" s="48">
        <v>1051.72</v>
      </c>
      <c r="R51" s="55">
        <f t="shared" si="283"/>
        <v>0.76232364760253524</v>
      </c>
      <c r="S51" s="48">
        <v>1322.7369999999999</v>
      </c>
      <c r="T51" s="55">
        <f t="shared" si="284"/>
        <v>0.50276690809091129</v>
      </c>
      <c r="U51" s="48">
        <v>2312.5910000000003</v>
      </c>
      <c r="V51" s="55">
        <f t="shared" si="285"/>
        <v>0.61033756343302104</v>
      </c>
      <c r="W51" s="48">
        <v>543.84099999999989</v>
      </c>
      <c r="X51" s="55">
        <f t="shared" si="286"/>
        <v>0.6234813961353487</v>
      </c>
      <c r="Y51" s="48">
        <v>4858.762999999999</v>
      </c>
      <c r="Z51" s="55">
        <f t="shared" si="287"/>
        <v>0.470393805330725</v>
      </c>
      <c r="AA51" s="48">
        <f t="shared" si="288"/>
        <v>15274.58445</v>
      </c>
      <c r="AB51" s="55">
        <f t="shared" si="289"/>
        <v>0.49626744726967242</v>
      </c>
    </row>
    <row r="52" spans="2:28" x14ac:dyDescent="0.25">
      <c r="B52" s="41"/>
      <c r="C52" s="50"/>
      <c r="D52" s="60"/>
      <c r="E52" s="50"/>
      <c r="F52" s="60"/>
      <c r="G52" s="343"/>
      <c r="H52" s="60"/>
      <c r="I52" s="50"/>
      <c r="J52" s="60"/>
      <c r="K52" s="50"/>
      <c r="L52" s="60"/>
      <c r="M52" s="50"/>
      <c r="N52" s="60"/>
      <c r="O52" s="50"/>
      <c r="P52" s="60"/>
      <c r="Q52" s="50"/>
      <c r="R52" s="60"/>
      <c r="S52" s="50"/>
      <c r="T52" s="60"/>
      <c r="U52" s="50"/>
      <c r="V52" s="60"/>
      <c r="W52" s="50"/>
      <c r="X52" s="60"/>
      <c r="Y52" s="50"/>
      <c r="Z52" s="60"/>
      <c r="AA52" s="50"/>
      <c r="AB52" s="60"/>
    </row>
    <row r="53" spans="2:28" x14ac:dyDescent="0.25">
      <c r="B53" s="41" t="s">
        <v>398</v>
      </c>
      <c r="C53" s="42">
        <v>0</v>
      </c>
      <c r="D53" s="53" t="str">
        <f>IF(C$35=0,"N.D.",C53/C$35)</f>
        <v>N.D.</v>
      </c>
      <c r="E53" s="42">
        <v>0</v>
      </c>
      <c r="F53" s="53">
        <f>IF(E$35=0,"N.D.",E53/E$35)</f>
        <v>0</v>
      </c>
      <c r="G53" s="340">
        <v>0</v>
      </c>
      <c r="H53" s="53">
        <f>IF(G$35=0,"N.D.",G53/G$35)</f>
        <v>0</v>
      </c>
      <c r="I53" s="42">
        <v>0</v>
      </c>
      <c r="J53" s="53">
        <f>IF(I$35=0,"N.D.",I53/I$35)</f>
        <v>0</v>
      </c>
      <c r="K53" s="42">
        <v>0</v>
      </c>
      <c r="L53" s="53">
        <f>IF(K$35=0,"N.D.",K53/K$35)</f>
        <v>0</v>
      </c>
      <c r="M53" s="42">
        <v>0</v>
      </c>
      <c r="N53" s="53">
        <f>IF(M$35=0,"N.D.",M53/M$35)</f>
        <v>0</v>
      </c>
      <c r="O53" s="42">
        <v>0</v>
      </c>
      <c r="P53" s="53">
        <f>IF(O$35=0,"N.D.",O53/O$35)</f>
        <v>0</v>
      </c>
      <c r="Q53" s="42">
        <v>0</v>
      </c>
      <c r="R53" s="53">
        <f>IF(Q$35=0,"N.D.",Q53/Q$35)</f>
        <v>0</v>
      </c>
      <c r="S53" s="42">
        <v>0</v>
      </c>
      <c r="T53" s="53">
        <f>IF(S$35=0,"N.D.",S53/S$35)</f>
        <v>0</v>
      </c>
      <c r="U53" s="42">
        <v>0</v>
      </c>
      <c r="V53" s="53">
        <f>IF(U$35=0,"N.D.",U53/U$35)</f>
        <v>0</v>
      </c>
      <c r="W53" s="42">
        <v>0</v>
      </c>
      <c r="X53" s="53">
        <f>IF(W$35=0,"N.D.",W53/W$35)</f>
        <v>0</v>
      </c>
      <c r="Y53" s="42">
        <v>0</v>
      </c>
      <c r="Z53" s="53">
        <f>IF(Y$35=0,"N.D.",Y53/Y$35)</f>
        <v>0</v>
      </c>
      <c r="AA53" s="42">
        <f t="shared" ref="AA53:AA56" si="290">+Y53+W53+U53+S53+Q53+O53+M53+K53+I53+G53+E53+C53</f>
        <v>0</v>
      </c>
      <c r="AB53" s="53">
        <f>IF(AA$35=0,"N.D.",AA53/AA$35)</f>
        <v>0</v>
      </c>
    </row>
    <row r="54" spans="2:28" x14ac:dyDescent="0.25">
      <c r="B54" s="41" t="s">
        <v>396</v>
      </c>
      <c r="C54" s="52">
        <v>0</v>
      </c>
      <c r="D54" s="59" t="str">
        <f>IF(C$35=0,"N.D.",C54/C$35)</f>
        <v>N.D.</v>
      </c>
      <c r="E54" s="52">
        <v>0</v>
      </c>
      <c r="F54" s="59">
        <f>IF(E$35=0,"N.D.",E54/E$35)</f>
        <v>0</v>
      </c>
      <c r="G54" s="344">
        <v>0</v>
      </c>
      <c r="H54" s="59">
        <f>IF(G$35=0,"N.D.",G54/G$35)</f>
        <v>0</v>
      </c>
      <c r="I54" s="52">
        <v>0</v>
      </c>
      <c r="J54" s="59">
        <f>IF(I$35=0,"N.D.",I54/I$35)</f>
        <v>0</v>
      </c>
      <c r="K54" s="52">
        <v>0</v>
      </c>
      <c r="L54" s="59">
        <f>IF(K$35=0,"N.D.",K54/K$35)</f>
        <v>0</v>
      </c>
      <c r="M54" s="52">
        <v>0</v>
      </c>
      <c r="N54" s="59">
        <f>IF(M$35=0,"N.D.",M54/M$35)</f>
        <v>0</v>
      </c>
      <c r="O54" s="52">
        <v>0</v>
      </c>
      <c r="P54" s="59">
        <f>IF(O$35=0,"N.D.",O54/O$35)</f>
        <v>0</v>
      </c>
      <c r="Q54" s="52">
        <v>0</v>
      </c>
      <c r="R54" s="59">
        <f>IF(Q$35=0,"N.D.",Q54/Q$35)</f>
        <v>0</v>
      </c>
      <c r="S54" s="52">
        <v>0</v>
      </c>
      <c r="T54" s="59">
        <f>IF(S$35=0,"N.D.",S54/S$35)</f>
        <v>0</v>
      </c>
      <c r="U54" s="52">
        <v>0</v>
      </c>
      <c r="V54" s="59">
        <f>IF(U$35=0,"N.D.",U54/U$35)</f>
        <v>0</v>
      </c>
      <c r="W54" s="52">
        <v>0</v>
      </c>
      <c r="X54" s="59">
        <f>IF(W$35=0,"N.D.",W54/W$35)</f>
        <v>0</v>
      </c>
      <c r="Y54" s="52">
        <v>0</v>
      </c>
      <c r="Z54" s="59">
        <f>IF(Y$35=0,"N.D.",Y54/Y$35)</f>
        <v>0</v>
      </c>
      <c r="AA54" s="52">
        <f t="shared" si="290"/>
        <v>0</v>
      </c>
      <c r="AB54" s="59">
        <f>IF(AA$35=0,"N.D.",AA54/AA$35)</f>
        <v>0</v>
      </c>
    </row>
    <row r="55" spans="2:28" ht="13" x14ac:dyDescent="0.3">
      <c r="B55" s="47" t="s">
        <v>30</v>
      </c>
      <c r="C55" s="48">
        <v>87.100020000000029</v>
      </c>
      <c r="D55" s="55" t="str">
        <f>IF(C$35=0,"N.D.",C55/C$35)</f>
        <v>N.D.</v>
      </c>
      <c r="E55" s="48">
        <v>134.35050000000001</v>
      </c>
      <c r="F55" s="55">
        <f>IF(E$35=0,"N.D.",E55/E$35)</f>
        <v>0.1550942075767146</v>
      </c>
      <c r="G55" s="342">
        <v>471.43540000000002</v>
      </c>
      <c r="H55" s="55">
        <f>IF(G$35=0,"N.D.",G55/G$35)</f>
        <v>0.51459100891232212</v>
      </c>
      <c r="I55" s="48">
        <v>958.10951</v>
      </c>
      <c r="J55" s="55">
        <f>IF(I$35=0,"N.D.",I55/I$35)</f>
        <v>0.39687164115084045</v>
      </c>
      <c r="K55" s="48">
        <v>958.10951</v>
      </c>
      <c r="L55" s="55">
        <f>IF(K$35=0,"N.D.",K55/K$35)</f>
        <v>0.39687164115084045</v>
      </c>
      <c r="M55" s="48">
        <v>958.10951</v>
      </c>
      <c r="N55" s="55">
        <f>IF(M$35=0,"N.D.",M55/M$35)</f>
        <v>0.39687164115084045</v>
      </c>
      <c r="O55" s="48">
        <v>1617.7179999999998</v>
      </c>
      <c r="P55" s="55">
        <f>IF(O$35=0,"N.D.",O55/O$35)</f>
        <v>0.58759721289437705</v>
      </c>
      <c r="Q55" s="48">
        <v>1051.72</v>
      </c>
      <c r="R55" s="55">
        <f>IF(Q$35=0,"N.D.",Q55/Q$35)</f>
        <v>0.76232364760253524</v>
      </c>
      <c r="S55" s="48">
        <v>1322.7369999999999</v>
      </c>
      <c r="T55" s="55">
        <f>IF(S$35=0,"N.D.",S55/S$35)</f>
        <v>0.50276690809091129</v>
      </c>
      <c r="U55" s="48">
        <v>2312.5910000000003</v>
      </c>
      <c r="V55" s="55">
        <f>IF(U$35=0,"N.D.",U55/U$35)</f>
        <v>0.61033756343302104</v>
      </c>
      <c r="W55" s="48">
        <v>543.84099999999989</v>
      </c>
      <c r="X55" s="55">
        <f>IF(W$35=0,"N.D.",W55/W$35)</f>
        <v>0.6234813961353487</v>
      </c>
      <c r="Y55" s="48">
        <v>4858.762999999999</v>
      </c>
      <c r="Z55" s="55">
        <f>IF(Y$35=0,"N.D.",Y55/Y$35)</f>
        <v>0.470393805330725</v>
      </c>
      <c r="AA55" s="48">
        <f t="shared" si="290"/>
        <v>15274.58445</v>
      </c>
      <c r="AB55" s="55">
        <f>IF(AA$35=0,"N.D.",AA55/AA$35)</f>
        <v>0.49626744726967242</v>
      </c>
    </row>
    <row r="56" spans="2:28" ht="13" x14ac:dyDescent="0.3">
      <c r="B56" s="47" t="s">
        <v>31</v>
      </c>
      <c r="C56" s="48">
        <v>-185.04813000000001</v>
      </c>
      <c r="D56" s="55" t="str">
        <f>IF(C$35=0,"N.D.",C56/C$35)</f>
        <v>N.D.</v>
      </c>
      <c r="E56" s="48">
        <v>-126.35096</v>
      </c>
      <c r="F56" s="55">
        <f>IF(E$35=0,"N.D.",E56/E$35)</f>
        <v>-0.14585953917370731</v>
      </c>
      <c r="G56" s="342">
        <v>133.98185000000001</v>
      </c>
      <c r="H56" s="55">
        <f>IF(G$35=0,"N.D.",G56/G$35)</f>
        <v>0.14624666575195544</v>
      </c>
      <c r="I56" s="48">
        <v>581.11405000000002</v>
      </c>
      <c r="J56" s="55">
        <f>IF(I$35=0,"N.D.",I56/I$35)</f>
        <v>0.2407111966974543</v>
      </c>
      <c r="K56" s="48">
        <v>581.11405000000002</v>
      </c>
      <c r="L56" s="55">
        <f>IF(K$35=0,"N.D.",K56/K$35)</f>
        <v>0.2407111966974543</v>
      </c>
      <c r="M56" s="48">
        <v>581.11405000000002</v>
      </c>
      <c r="N56" s="55">
        <f>IF(M$35=0,"N.D.",M56/M$35)</f>
        <v>0.2407111966974543</v>
      </c>
      <c r="O56" s="48">
        <v>1276.0839999999998</v>
      </c>
      <c r="P56" s="55">
        <f>IF(O$35=0,"N.D.",O56/O$35)</f>
        <v>0.46350686696884641</v>
      </c>
      <c r="Q56" s="48">
        <v>523.95100000000002</v>
      </c>
      <c r="R56" s="55">
        <f>IF(Q$35=0,"N.D.",Q56/Q$35)</f>
        <v>0.37977811345699991</v>
      </c>
      <c r="S56" s="48">
        <v>1061.8049999999998</v>
      </c>
      <c r="T56" s="55">
        <f>IF(S$35=0,"N.D.",S56/S$35)</f>
        <v>0.40358772518306363</v>
      </c>
      <c r="U56" s="48">
        <v>1844.5320000000002</v>
      </c>
      <c r="V56" s="55">
        <f>IF(U$35=0,"N.D.",U56/U$35)</f>
        <v>0.48680772629238678</v>
      </c>
      <c r="W56" s="48">
        <v>174.57799999999995</v>
      </c>
      <c r="X56" s="55">
        <f>IF(W$35=0,"N.D.",W56/W$35)</f>
        <v>0.20014330507357275</v>
      </c>
      <c r="Y56" s="48">
        <v>4419.9789999999994</v>
      </c>
      <c r="Z56" s="55">
        <f>IF(Y$35=0,"N.D.",Y56/Y$35)</f>
        <v>0.42791359473427548</v>
      </c>
      <c r="AA56" s="48">
        <f t="shared" si="290"/>
        <v>10866.85391</v>
      </c>
      <c r="AB56" s="55">
        <f>IF(AA$35=0,"N.D.",AA56/AA$35)</f>
        <v>0.35306137901304141</v>
      </c>
    </row>
    <row r="57" spans="2:28" x14ac:dyDescent="0.25"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</row>
    <row r="58" spans="2:28" x14ac:dyDescent="0.25">
      <c r="E58" s="61"/>
      <c r="G58" s="61"/>
      <c r="I58" s="61"/>
      <c r="K58" s="61"/>
      <c r="M58" s="61"/>
      <c r="O58" s="61"/>
      <c r="Q58" s="61"/>
      <c r="S58" s="61"/>
      <c r="U58" s="61"/>
      <c r="W58" s="61"/>
      <c r="Y58" s="61"/>
      <c r="AA58" s="61"/>
    </row>
    <row r="59" spans="2:28" ht="13" x14ac:dyDescent="0.3">
      <c r="B59" s="195" t="s">
        <v>161</v>
      </c>
      <c r="C59" s="39" t="s">
        <v>171</v>
      </c>
      <c r="E59" s="39" t="s">
        <v>172</v>
      </c>
      <c r="G59" s="39" t="s">
        <v>173</v>
      </c>
      <c r="I59" s="39" t="s">
        <v>174</v>
      </c>
      <c r="K59" s="39" t="s">
        <v>175</v>
      </c>
      <c r="M59" s="39" t="s">
        <v>176</v>
      </c>
      <c r="O59" s="39" t="s">
        <v>177</v>
      </c>
      <c r="Q59" s="39" t="s">
        <v>178</v>
      </c>
      <c r="S59" s="39" t="s">
        <v>179</v>
      </c>
      <c r="U59" s="39" t="s">
        <v>180</v>
      </c>
      <c r="W59" s="39" t="s">
        <v>181</v>
      </c>
      <c r="Y59" s="39" t="s">
        <v>182</v>
      </c>
      <c r="AA59" s="39" t="str">
        <f>+AA10</f>
        <v>Acum 2018</v>
      </c>
    </row>
    <row r="60" spans="2:28" x14ac:dyDescent="0.25">
      <c r="B60" s="41" t="s">
        <v>17</v>
      </c>
      <c r="C60" s="42">
        <v>954.53387999999995</v>
      </c>
      <c r="D60" s="53">
        <f>IF(C$60=0,"N.D.",C60/C$60)</f>
        <v>1</v>
      </c>
      <c r="E60" s="42">
        <v>960.07934999999998</v>
      </c>
      <c r="F60" s="53">
        <f>IF(E$60=0,"N.D.",E60/E$60)</f>
        <v>1</v>
      </c>
      <c r="G60" s="340">
        <v>1477.3509299999998</v>
      </c>
      <c r="H60" s="53">
        <f>IF(G$60=0,"N.D.",G60/G$60)</f>
        <v>1</v>
      </c>
      <c r="I60" s="42">
        <v>1531.4580100000001</v>
      </c>
      <c r="J60" s="53">
        <f>IF(I$60=0,"N.D.",I60/I$60)</f>
        <v>1</v>
      </c>
      <c r="K60" s="42">
        <v>1531.4580100000001</v>
      </c>
      <c r="L60" s="53">
        <f>IF(K$60=0,"N.D.",K60/K$60)</f>
        <v>1</v>
      </c>
      <c r="M60" s="42">
        <v>676.09960000000001</v>
      </c>
      <c r="N60" s="53">
        <f>IF(M$60=0,"N.D.",M60/M$60)</f>
        <v>1</v>
      </c>
      <c r="O60" s="42">
        <v>1379.674</v>
      </c>
      <c r="P60" s="53">
        <f>IF(O$60=0,"N.D.",O60/O$60)</f>
        <v>1</v>
      </c>
      <c r="Q60" s="42">
        <v>2173.1819999999998</v>
      </c>
      <c r="R60" s="53">
        <f>IF(Q$60=0,"N.D.",Q60/Q$60)</f>
        <v>1</v>
      </c>
      <c r="S60" s="42">
        <v>1987.3779999999999</v>
      </c>
      <c r="T60" s="53">
        <f>IF(S$60=0,"N.D.",S60/S$60)</f>
        <v>1</v>
      </c>
      <c r="U60" s="42">
        <v>844.976</v>
      </c>
      <c r="V60" s="53">
        <f>IF(U$60=0,"N.D.",U60/U$60)</f>
        <v>1</v>
      </c>
      <c r="W60" s="42">
        <v>2079.415</v>
      </c>
      <c r="X60" s="53">
        <f>IF(W$60=0,"N.D.",W60/W$60)</f>
        <v>1</v>
      </c>
      <c r="Y60" s="42">
        <v>1102.5039999999999</v>
      </c>
      <c r="Z60" s="53">
        <f>IF(Y$60=0,"N.D.",Y60/Y$60)</f>
        <v>1</v>
      </c>
      <c r="AA60" s="42">
        <f>+Y60+W60+U60+S60+Q60+O60+M60+K60+I60+G60+E60+C60</f>
        <v>16698.108780000002</v>
      </c>
      <c r="AB60" s="53">
        <f>IF(AA$60=0,"N.D.",AA60/AA$60)</f>
        <v>1</v>
      </c>
    </row>
    <row r="61" spans="2:28" x14ac:dyDescent="0.25">
      <c r="B61" s="41" t="s">
        <v>18</v>
      </c>
      <c r="C61" s="45">
        <v>747.29561999999999</v>
      </c>
      <c r="D61" s="59">
        <f>IF(C$60=0,"N.D.",C61/C$60)</f>
        <v>0.78289061882224653</v>
      </c>
      <c r="E61" s="45">
        <v>722.07189000000005</v>
      </c>
      <c r="F61" s="59">
        <f>IF(E$60=0,"N.D.",E61/E$60)</f>
        <v>0.75209605331059359</v>
      </c>
      <c r="G61" s="341">
        <v>1014.71845</v>
      </c>
      <c r="H61" s="59">
        <f>IF(G$60=0,"N.D.",G61/G$60)</f>
        <v>0.6868499754489612</v>
      </c>
      <c r="I61" s="45">
        <v>1214.2736599999998</v>
      </c>
      <c r="J61" s="59">
        <f>IF(I$60=0,"N.D.",I61/I$60)</f>
        <v>0.79288733486071861</v>
      </c>
      <c r="K61" s="45">
        <v>1214.2736599999998</v>
      </c>
      <c r="L61" s="59">
        <f>IF(K$60=0,"N.D.",K61/K$60)</f>
        <v>0.79288733486071861</v>
      </c>
      <c r="M61" s="45">
        <v>329.46790999999996</v>
      </c>
      <c r="N61" s="59">
        <f>IF(M$60=0,"N.D.",M61/M$60)</f>
        <v>0.4873067666361583</v>
      </c>
      <c r="O61" s="45">
        <v>1128.7439999999999</v>
      </c>
      <c r="P61" s="59">
        <f>IF(O$60=0,"N.D.",O61/O$60)</f>
        <v>0.81812370168605042</v>
      </c>
      <c r="Q61" s="45">
        <v>1584.5719999999999</v>
      </c>
      <c r="R61" s="59">
        <f>IF(Q$60=0,"N.D.",Q61/Q$60)</f>
        <v>0.72914831799637581</v>
      </c>
      <c r="S61" s="45">
        <v>1463.5139999999999</v>
      </c>
      <c r="T61" s="59">
        <f>IF(S$60=0,"N.D.",S61/S$60)</f>
        <v>0.7364044484743214</v>
      </c>
      <c r="U61" s="45">
        <v>395.67099999999999</v>
      </c>
      <c r="V61" s="59">
        <f>IF(U$60=0,"N.D.",U61/U$60)</f>
        <v>0.46826300391963793</v>
      </c>
      <c r="W61" s="45">
        <v>1690.297</v>
      </c>
      <c r="X61" s="59">
        <f>IF(W$60=0,"N.D.",W61/W$60)</f>
        <v>0.8128714085451918</v>
      </c>
      <c r="Y61" s="45">
        <v>861.48800000000006</v>
      </c>
      <c r="Z61" s="59">
        <f>IF(Y$60=0,"N.D.",Y61/Y$60)</f>
        <v>0.78139217635491587</v>
      </c>
      <c r="AA61" s="45">
        <f t="shared" ref="AA61:AA62" si="291">+Y61+W61+U61+S61+Q61+O61+M61+K61+I61+G61+E61+C61</f>
        <v>12366.387189999998</v>
      </c>
      <c r="AB61" s="59">
        <f>IF(AA$60=0,"N.D.",AA61/AA$60)</f>
        <v>0.7405860958824102</v>
      </c>
    </row>
    <row r="62" spans="2:28" ht="13" x14ac:dyDescent="0.3">
      <c r="B62" s="47" t="s">
        <v>19</v>
      </c>
      <c r="C62" s="48">
        <v>207.23825999999997</v>
      </c>
      <c r="D62" s="55">
        <f>IF(C$60=0,"N.D.",C62/C$60)</f>
        <v>0.21710938117775347</v>
      </c>
      <c r="E62" s="48">
        <v>238.00745999999992</v>
      </c>
      <c r="F62" s="55">
        <f>IF(E$60=0,"N.D.",E62/E$60)</f>
        <v>0.24790394668940638</v>
      </c>
      <c r="G62" s="342">
        <v>462.63247999999987</v>
      </c>
      <c r="H62" s="55">
        <f>IF(G$60=0,"N.D.",G62/G$60)</f>
        <v>0.31315002455103874</v>
      </c>
      <c r="I62" s="48">
        <v>317.18435000000022</v>
      </c>
      <c r="J62" s="55">
        <f>IF(I$60=0,"N.D.",I62/I$60)</f>
        <v>0.20711266513928137</v>
      </c>
      <c r="K62" s="48">
        <v>317.18435000000022</v>
      </c>
      <c r="L62" s="55">
        <f>IF(K$60=0,"N.D.",K62/K$60)</f>
        <v>0.20711266513928137</v>
      </c>
      <c r="M62" s="48">
        <v>346.63169000000005</v>
      </c>
      <c r="N62" s="55">
        <f>IF(M$60=0,"N.D.",M62/M$60)</f>
        <v>0.51269323336384176</v>
      </c>
      <c r="O62" s="48">
        <v>250.93000000000006</v>
      </c>
      <c r="P62" s="55">
        <f>IF(O$60=0,"N.D.",O62/O$60)</f>
        <v>0.18187629831394958</v>
      </c>
      <c r="Q62" s="48">
        <v>588.6099999999999</v>
      </c>
      <c r="R62" s="55">
        <f>IF(Q$60=0,"N.D.",Q62/Q$60)</f>
        <v>0.27085168200362414</v>
      </c>
      <c r="S62" s="48">
        <v>523.86400000000003</v>
      </c>
      <c r="T62" s="55">
        <f>IF(S$60=0,"N.D.",S62/S$60)</f>
        <v>0.2635955515256786</v>
      </c>
      <c r="U62" s="48">
        <v>449.30500000000001</v>
      </c>
      <c r="V62" s="55">
        <f>IF(U$60=0,"N.D.",U62/U$60)</f>
        <v>0.53173699608036207</v>
      </c>
      <c r="W62" s="48">
        <v>389.11799999999994</v>
      </c>
      <c r="X62" s="55">
        <f>IF(W$60=0,"N.D.",W62/W$60)</f>
        <v>0.18712859145480817</v>
      </c>
      <c r="Y62" s="48">
        <v>241.01599999999985</v>
      </c>
      <c r="Z62" s="55">
        <f>IF(Y$60=0,"N.D.",Y62/Y$60)</f>
        <v>0.21860782364508416</v>
      </c>
      <c r="AA62" s="48">
        <f t="shared" si="291"/>
        <v>4331.721590000001</v>
      </c>
      <c r="AB62" s="55">
        <f>IF(AA$60=0,"N.D.",AA62/AA$60)</f>
        <v>0.25941390411758958</v>
      </c>
    </row>
    <row r="63" spans="2:28" x14ac:dyDescent="0.25">
      <c r="B63" s="41"/>
      <c r="C63" s="50"/>
      <c r="D63" s="60"/>
      <c r="E63" s="50"/>
      <c r="F63" s="60"/>
      <c r="G63" s="343"/>
      <c r="H63" s="60"/>
      <c r="I63" s="50"/>
      <c r="J63" s="60"/>
      <c r="K63" s="50"/>
      <c r="L63" s="60"/>
      <c r="M63" s="50"/>
      <c r="N63" s="60"/>
      <c r="O63" s="50"/>
      <c r="P63" s="60"/>
      <c r="Q63" s="50"/>
      <c r="R63" s="60"/>
      <c r="S63" s="50"/>
      <c r="T63" s="60"/>
      <c r="U63" s="50"/>
      <c r="V63" s="60"/>
      <c r="W63" s="50"/>
      <c r="X63" s="60"/>
      <c r="Y63" s="50"/>
      <c r="Z63" s="60"/>
      <c r="AA63" s="50"/>
      <c r="AB63" s="60"/>
    </row>
    <row r="64" spans="2:28" x14ac:dyDescent="0.25">
      <c r="B64" s="41" t="s">
        <v>20</v>
      </c>
      <c r="C64" s="42">
        <v>0</v>
      </c>
      <c r="D64" s="53">
        <f>IF(C$60=0,"N.D.",C64/C$60)</f>
        <v>0</v>
      </c>
      <c r="E64" s="42">
        <v>0</v>
      </c>
      <c r="F64" s="53">
        <f>IF(E$60=0,"N.D.",E64/E$60)</f>
        <v>0</v>
      </c>
      <c r="G64" s="340">
        <v>0</v>
      </c>
      <c r="H64" s="53">
        <f>IF(G$60=0,"N.D.",G64/G$60)</f>
        <v>0</v>
      </c>
      <c r="I64" s="42">
        <v>0</v>
      </c>
      <c r="J64" s="53">
        <f>IF(I$60=0,"N.D.",I64/I$60)</f>
        <v>0</v>
      </c>
      <c r="K64" s="42">
        <v>0</v>
      </c>
      <c r="L64" s="53">
        <f>IF(K$60=0,"N.D.",K64/K$60)</f>
        <v>0</v>
      </c>
      <c r="M64" s="42">
        <v>0</v>
      </c>
      <c r="N64" s="53">
        <f>IF(M$60=0,"N.D.",M64/M$60)</f>
        <v>0</v>
      </c>
      <c r="O64" s="42">
        <v>0</v>
      </c>
      <c r="P64" s="53">
        <f>IF(O$60=0,"N.D.",O64/O$60)</f>
        <v>0</v>
      </c>
      <c r="Q64" s="42">
        <v>0</v>
      </c>
      <c r="R64" s="53">
        <f>IF(Q$60=0,"N.D.",Q64/Q$60)</f>
        <v>0</v>
      </c>
      <c r="S64" s="42">
        <v>0</v>
      </c>
      <c r="T64" s="53">
        <f>IF(S$60=0,"N.D.",S64/S$60)</f>
        <v>0</v>
      </c>
      <c r="U64" s="42">
        <v>0</v>
      </c>
      <c r="V64" s="53">
        <f>IF(U$60=0,"N.D.",U64/U$60)</f>
        <v>0</v>
      </c>
      <c r="W64" s="42">
        <v>0</v>
      </c>
      <c r="X64" s="53">
        <f>IF(W$60=0,"N.D.",W64/W$60)</f>
        <v>0</v>
      </c>
      <c r="Y64" s="42">
        <v>0</v>
      </c>
      <c r="Z64" s="53">
        <f>IF(Y$60=0,"N.D.",Y64/Y$60)</f>
        <v>0</v>
      </c>
      <c r="AA64" s="42">
        <f t="shared" ref="AA64:AA68" si="292">+Y64+W64+U64+S64+Q64+O64+M64+K64+I64+G64+E64+C64</f>
        <v>0</v>
      </c>
      <c r="AB64" s="53">
        <f>IF(AA$60=0,"N.D.",AA64/AA$60)</f>
        <v>0</v>
      </c>
    </row>
    <row r="65" spans="2:28" x14ac:dyDescent="0.25">
      <c r="B65" s="41" t="s">
        <v>21</v>
      </c>
      <c r="C65" s="45">
        <v>89.966549999999998</v>
      </c>
      <c r="D65" s="54">
        <f>IF(C$60=0,"N.D.",C65/C$60)</f>
        <v>9.4251814299142533E-2</v>
      </c>
      <c r="E65" s="45">
        <v>84.810469999999995</v>
      </c>
      <c r="F65" s="54">
        <f>IF(E$60=0,"N.D.",E65/E$60)</f>
        <v>8.8336937983303152E-2</v>
      </c>
      <c r="G65" s="341">
        <v>102.42111</v>
      </c>
      <c r="H65" s="54">
        <f>IF(G$60=0,"N.D.",G65/G$60)</f>
        <v>6.9327542914938978E-2</v>
      </c>
      <c r="I65" s="45">
        <v>108.77695</v>
      </c>
      <c r="J65" s="54">
        <f>IF(I$60=0,"N.D.",I65/I$60)</f>
        <v>7.1028359438989774E-2</v>
      </c>
      <c r="K65" s="45">
        <v>108.77695</v>
      </c>
      <c r="L65" s="54">
        <f>IF(K$60=0,"N.D.",K65/K$60)</f>
        <v>7.1028359438989774E-2</v>
      </c>
      <c r="M65" s="45">
        <v>106.20192999999999</v>
      </c>
      <c r="N65" s="54">
        <f>IF(M$60=0,"N.D.",M65/M$60)</f>
        <v>0.15708030296127964</v>
      </c>
      <c r="O65" s="45">
        <v>146.923</v>
      </c>
      <c r="P65" s="54">
        <f>IF(O$60=0,"N.D.",O65/O$60)</f>
        <v>0.10649109862184836</v>
      </c>
      <c r="Q65" s="45">
        <v>133.429</v>
      </c>
      <c r="R65" s="54">
        <f>IF(Q$60=0,"N.D.",Q65/Q$60)</f>
        <v>6.1397986915039796E-2</v>
      </c>
      <c r="S65" s="45">
        <v>103.48699999999999</v>
      </c>
      <c r="T65" s="54">
        <f>IF(S$60=0,"N.D.",S65/S$60)</f>
        <v>5.2072127194725912E-2</v>
      </c>
      <c r="U65" s="45">
        <v>141.22399999999999</v>
      </c>
      <c r="V65" s="54">
        <f>IF(U$60=0,"N.D.",U65/U$60)</f>
        <v>0.16713374107666962</v>
      </c>
      <c r="W65" s="45">
        <v>116.292</v>
      </c>
      <c r="X65" s="54">
        <f>IF(W$60=0,"N.D.",W65/W$60)</f>
        <v>5.5925344387724431E-2</v>
      </c>
      <c r="Y65" s="45">
        <v>150.011</v>
      </c>
      <c r="Z65" s="54">
        <f>IF(Y$60=0,"N.D.",Y65/Y$60)</f>
        <v>0.13606390543707778</v>
      </c>
      <c r="AA65" s="45">
        <f t="shared" si="292"/>
        <v>1392.3199599999998</v>
      </c>
      <c r="AB65" s="54">
        <f>IF(AA$60=0,"N.D.",AA65/AA$60)</f>
        <v>8.3381895419656002E-2</v>
      </c>
    </row>
    <row r="66" spans="2:28" x14ac:dyDescent="0.25">
      <c r="B66" s="41" t="s">
        <v>22</v>
      </c>
      <c r="C66" s="52">
        <v>24.168290000000002</v>
      </c>
      <c r="D66" s="59">
        <f>IF(C$60=0,"N.D.",C360/C$60)</f>
        <v>0</v>
      </c>
      <c r="E66" s="52">
        <v>24.168290000000002</v>
      </c>
      <c r="F66" s="59">
        <f>IF(E$60=0,"N.D.",E360/E$60)</f>
        <v>0</v>
      </c>
      <c r="G66" s="344">
        <v>24.168290000000002</v>
      </c>
      <c r="H66" s="59">
        <f>IF(G$60=0,"N.D.",G360/G$60)</f>
        <v>0</v>
      </c>
      <c r="I66" s="52">
        <v>24.08915</v>
      </c>
      <c r="J66" s="59">
        <f>IF(I$60=0,"N.D.",I360/I$60)</f>
        <v>0</v>
      </c>
      <c r="K66" s="52">
        <v>24.08915</v>
      </c>
      <c r="L66" s="59">
        <f>IF(K$60=0,"N.D.",K360/K$60)</f>
        <v>0</v>
      </c>
      <c r="M66" s="52">
        <v>24.08915</v>
      </c>
      <c r="N66" s="59">
        <f>IF(M$60=0,"N.D.",M360/M$60)</f>
        <v>0</v>
      </c>
      <c r="O66" s="52">
        <v>24.088999999999999</v>
      </c>
      <c r="P66" s="59">
        <f>IF(O$60=0,"N.D.",O360/O$60)</f>
        <v>0</v>
      </c>
      <c r="Q66" s="52">
        <v>24.088999999999999</v>
      </c>
      <c r="R66" s="59">
        <f>IF(Q$60=0,"N.D.",Q360/Q$60)</f>
        <v>0</v>
      </c>
      <c r="S66" s="52">
        <v>0</v>
      </c>
      <c r="T66" s="59">
        <f>IF(S$60=0,"N.D.",S360/S$60)</f>
        <v>0</v>
      </c>
      <c r="U66" s="52">
        <v>24.088999999999999</v>
      </c>
      <c r="V66" s="59">
        <f>IF(U$60=0,"N.D.",U360/U$60)</f>
        <v>0</v>
      </c>
      <c r="W66" s="52">
        <v>24.088999999999999</v>
      </c>
      <c r="X66" s="59">
        <f>IF(W$60=0,"N.D.",W360/W$60)</f>
        <v>0</v>
      </c>
      <c r="Y66" s="52">
        <v>24.088999999999999</v>
      </c>
      <c r="Z66" s="59">
        <f>IF(Y$60=0,"N.D.",Y360/Y$60)</f>
        <v>0</v>
      </c>
      <c r="AA66" s="52">
        <f t="shared" si="292"/>
        <v>265.21731999999997</v>
      </c>
      <c r="AB66" s="59">
        <f>IF(AA$60=0,"N.D.",AA360/AA$60)</f>
        <v>0</v>
      </c>
    </row>
    <row r="67" spans="2:28" ht="13" x14ac:dyDescent="0.3">
      <c r="B67" s="47" t="s">
        <v>23</v>
      </c>
      <c r="C67" s="48">
        <v>114.13484</v>
      </c>
      <c r="D67" s="55">
        <f>IF(C$60=0,"N.D.",C67/C$60)</f>
        <v>0.11957128226815794</v>
      </c>
      <c r="E67" s="48">
        <v>108.97875999999999</v>
      </c>
      <c r="F67" s="55">
        <f>IF(E$60=0,"N.D.",E67/E$60)</f>
        <v>0.11351015934255851</v>
      </c>
      <c r="G67" s="342">
        <v>126.5894</v>
      </c>
      <c r="H67" s="55">
        <f>IF(G$60=0,"N.D.",G67/G$60)</f>
        <v>8.5686750134580422E-2</v>
      </c>
      <c r="I67" s="48">
        <v>132.86610000000002</v>
      </c>
      <c r="J67" s="55">
        <f>IF(I$60=0,"N.D.",I67/I$60)</f>
        <v>8.6757912481061114E-2</v>
      </c>
      <c r="K67" s="48">
        <v>132.86610000000002</v>
      </c>
      <c r="L67" s="55">
        <f>IF(K$60=0,"N.D.",K67/K$60)</f>
        <v>8.6757912481061114E-2</v>
      </c>
      <c r="M67" s="48">
        <v>130.29107999999999</v>
      </c>
      <c r="N67" s="55">
        <f>IF(M$60=0,"N.D.",M67/M$60)</f>
        <v>0.19270989067291266</v>
      </c>
      <c r="O67" s="48">
        <v>171.012</v>
      </c>
      <c r="P67" s="55">
        <f>IF(O$60=0,"N.D.",O67/O$60)</f>
        <v>0.12395102031349435</v>
      </c>
      <c r="Q67" s="48">
        <v>157.518</v>
      </c>
      <c r="R67" s="55">
        <f>IF(Q$60=0,"N.D.",Q67/Q$60)</f>
        <v>7.2482654467044189E-2</v>
      </c>
      <c r="S67" s="48">
        <v>103.48699999999999</v>
      </c>
      <c r="T67" s="55">
        <f>IF(S$60=0,"N.D.",S67/S$60)</f>
        <v>5.2072127194725912E-2</v>
      </c>
      <c r="U67" s="48">
        <v>165.31299999999999</v>
      </c>
      <c r="V67" s="55">
        <f>IF(U$60=0,"N.D.",U67/U$60)</f>
        <v>0.19564224309329495</v>
      </c>
      <c r="W67" s="48">
        <v>140.381</v>
      </c>
      <c r="X67" s="55">
        <f>IF(W$60=0,"N.D.",W67/W$60)</f>
        <v>6.7509852530639625E-2</v>
      </c>
      <c r="Y67" s="48">
        <v>174.1</v>
      </c>
      <c r="Z67" s="55">
        <f>IF(Y$60=0,"N.D.",Y67/Y$60)</f>
        <v>0.1579132592716217</v>
      </c>
      <c r="AA67" s="48">
        <f t="shared" si="292"/>
        <v>1657.5372799999998</v>
      </c>
      <c r="AB67" s="55">
        <f>IF(AA$60=0,"N.D.",AA67/AA$60)</f>
        <v>9.9264970772336744E-2</v>
      </c>
    </row>
    <row r="68" spans="2:28" ht="13" x14ac:dyDescent="0.3">
      <c r="B68" s="47" t="s">
        <v>24</v>
      </c>
      <c r="C68" s="48">
        <v>93.103419999999971</v>
      </c>
      <c r="D68" s="55">
        <f>IF(C$60=0,"N.D.",C68/C$60)</f>
        <v>9.7538098909595514E-2</v>
      </c>
      <c r="E68" s="48">
        <v>129.02869999999993</v>
      </c>
      <c r="F68" s="55">
        <f>IF(E$60=0,"N.D.",E68/E$60)</f>
        <v>0.13439378734684787</v>
      </c>
      <c r="G68" s="342">
        <v>336.04307999999986</v>
      </c>
      <c r="H68" s="55">
        <f>IF(G$60=0,"N.D.",G68/G$60)</f>
        <v>0.22746327441645831</v>
      </c>
      <c r="I68" s="48">
        <v>184.31825000000021</v>
      </c>
      <c r="J68" s="55">
        <f>IF(I$60=0,"N.D.",I68/I$60)</f>
        <v>0.12035475265822025</v>
      </c>
      <c r="K68" s="48">
        <v>184.31825000000021</v>
      </c>
      <c r="L68" s="55">
        <f>IF(K$60=0,"N.D.",K68/K$60)</f>
        <v>0.12035475265822025</v>
      </c>
      <c r="M68" s="48">
        <v>216.34061000000005</v>
      </c>
      <c r="N68" s="55">
        <f>IF(M$60=0,"N.D.",M68/M$60)</f>
        <v>0.31998334269092904</v>
      </c>
      <c r="O68" s="48">
        <v>79.918000000000063</v>
      </c>
      <c r="P68" s="55">
        <f>IF(O$60=0,"N.D.",O68/O$60)</f>
        <v>5.792527800045523E-2</v>
      </c>
      <c r="Q68" s="48">
        <v>431.09199999999987</v>
      </c>
      <c r="R68" s="55">
        <f>IF(Q$60=0,"N.D.",Q68/Q$60)</f>
        <v>0.19836902753657995</v>
      </c>
      <c r="S68" s="48">
        <v>420.37700000000007</v>
      </c>
      <c r="T68" s="55">
        <f>IF(S$60=0,"N.D.",S68/S$60)</f>
        <v>0.21152342433095267</v>
      </c>
      <c r="U68" s="48">
        <v>283.99200000000002</v>
      </c>
      <c r="V68" s="55">
        <f>IF(U$60=0,"N.D.",U68/U$60)</f>
        <v>0.33609475298706709</v>
      </c>
      <c r="W68" s="48">
        <v>248.73699999999994</v>
      </c>
      <c r="X68" s="55">
        <f>IF(W$60=0,"N.D.",W68/W$60)</f>
        <v>0.11961873892416855</v>
      </c>
      <c r="Y68" s="48">
        <v>66.915999999999855</v>
      </c>
      <c r="Z68" s="55">
        <f>IF(Y$60=0,"N.D.",Y68/Y$60)</f>
        <v>6.0694564373462462E-2</v>
      </c>
      <c r="AA68" s="48">
        <f t="shared" si="292"/>
        <v>2674.1843099999996</v>
      </c>
      <c r="AB68" s="55">
        <f>IF(AA$60=0,"N.D.",AA68/AA$60)</f>
        <v>0.16014893334525274</v>
      </c>
    </row>
    <row r="69" spans="2:28" x14ac:dyDescent="0.25">
      <c r="B69" s="41"/>
      <c r="C69" s="50"/>
      <c r="D69" s="60"/>
      <c r="E69" s="50"/>
      <c r="F69" s="60"/>
      <c r="G69" s="343"/>
      <c r="H69" s="60"/>
      <c r="I69" s="50"/>
      <c r="J69" s="60"/>
      <c r="K69" s="50"/>
      <c r="L69" s="60"/>
      <c r="M69" s="50"/>
      <c r="N69" s="60"/>
      <c r="O69" s="50"/>
      <c r="P69" s="60"/>
      <c r="Q69" s="50"/>
      <c r="R69" s="60"/>
      <c r="S69" s="50"/>
      <c r="T69" s="60"/>
      <c r="U69" s="50"/>
      <c r="V69" s="60"/>
      <c r="W69" s="50"/>
      <c r="X69" s="60"/>
      <c r="Y69" s="50"/>
      <c r="Z69" s="60"/>
      <c r="AA69" s="50"/>
      <c r="AB69" s="60"/>
    </row>
    <row r="70" spans="2:28" x14ac:dyDescent="0.25">
      <c r="B70" s="41" t="s">
        <v>25</v>
      </c>
      <c r="C70" s="42">
        <v>-376.13182</v>
      </c>
      <c r="D70" s="53">
        <f t="shared" ref="D70:AB75" si="293">IF(C$60=0,"N.D.",C70/C$60)</f>
        <v>-0.39404763715668217</v>
      </c>
      <c r="E70" s="42">
        <v>32.220019999999998</v>
      </c>
      <c r="F70" s="53">
        <f t="shared" si="293"/>
        <v>3.3559746910502758E-2</v>
      </c>
      <c r="G70" s="340">
        <v>-150.47182999999998</v>
      </c>
      <c r="H70" s="53">
        <f t="shared" si="293"/>
        <v>-0.10185246236654144</v>
      </c>
      <c r="I70" s="42">
        <v>345.86553999999995</v>
      </c>
      <c r="J70" s="53">
        <f t="shared" si="293"/>
        <v>0.22584069412389565</v>
      </c>
      <c r="K70" s="42">
        <v>345.86553999999995</v>
      </c>
      <c r="L70" s="53">
        <f t="shared" si="293"/>
        <v>0.22584069412389565</v>
      </c>
      <c r="M70" s="42">
        <v>112.75416</v>
      </c>
      <c r="N70" s="53">
        <f t="shared" si="293"/>
        <v>0.1667715230122899</v>
      </c>
      <c r="O70" s="42">
        <v>-409.52600000000001</v>
      </c>
      <c r="P70" s="53">
        <f t="shared" si="293"/>
        <v>-0.29682809127373572</v>
      </c>
      <c r="Q70" s="42">
        <v>176.35599999999999</v>
      </c>
      <c r="R70" s="53">
        <f t="shared" si="293"/>
        <v>8.1151049474917428E-2</v>
      </c>
      <c r="S70" s="42">
        <v>-92.364000000000004</v>
      </c>
      <c r="T70" s="53">
        <f t="shared" si="293"/>
        <v>-4.6475305653982286E-2</v>
      </c>
      <c r="U70" s="42">
        <v>345.43599999999998</v>
      </c>
      <c r="V70" s="53">
        <f t="shared" si="293"/>
        <v>0.40881161121735998</v>
      </c>
      <c r="W70" s="42">
        <v>54.613</v>
      </c>
      <c r="X70" s="53">
        <f t="shared" si="293"/>
        <v>2.6263636647807197E-2</v>
      </c>
      <c r="Y70" s="42">
        <v>-144.86099999999999</v>
      </c>
      <c r="Z70" s="53">
        <f t="shared" si="293"/>
        <v>-0.13139272057062831</v>
      </c>
      <c r="AA70" s="42">
        <f t="shared" ref="AA70:AA76" si="294">+Y70+W70+U70+S70+Q70+O70+M70+K70+I70+G70+E70+C70</f>
        <v>239.75560999999988</v>
      </c>
      <c r="AB70" s="53">
        <f t="shared" si="293"/>
        <v>1.4358249377747786E-2</v>
      </c>
    </row>
    <row r="71" spans="2:28" x14ac:dyDescent="0.25">
      <c r="B71" s="41" t="s">
        <v>26</v>
      </c>
      <c r="C71" s="45">
        <v>0</v>
      </c>
      <c r="D71" s="54">
        <f t="shared" si="293"/>
        <v>0</v>
      </c>
      <c r="E71" s="45">
        <v>0</v>
      </c>
      <c r="F71" s="54">
        <f t="shared" si="293"/>
        <v>0</v>
      </c>
      <c r="G71" s="341">
        <v>0</v>
      </c>
      <c r="H71" s="54">
        <f t="shared" si="293"/>
        <v>0</v>
      </c>
      <c r="I71" s="45">
        <v>0</v>
      </c>
      <c r="J71" s="54">
        <f t="shared" si="293"/>
        <v>0</v>
      </c>
      <c r="K71" s="45">
        <v>0</v>
      </c>
      <c r="L71" s="54">
        <f t="shared" si="293"/>
        <v>0</v>
      </c>
      <c r="M71" s="45">
        <v>0</v>
      </c>
      <c r="N71" s="54">
        <f t="shared" si="293"/>
        <v>0</v>
      </c>
      <c r="O71" s="45">
        <v>0</v>
      </c>
      <c r="P71" s="54">
        <f t="shared" si="293"/>
        <v>0</v>
      </c>
      <c r="Q71" s="45">
        <v>0</v>
      </c>
      <c r="R71" s="54">
        <f t="shared" si="293"/>
        <v>0</v>
      </c>
      <c r="S71" s="45">
        <v>0</v>
      </c>
      <c r="T71" s="54">
        <f t="shared" si="293"/>
        <v>0</v>
      </c>
      <c r="U71" s="45">
        <v>0</v>
      </c>
      <c r="V71" s="54">
        <f t="shared" si="293"/>
        <v>0</v>
      </c>
      <c r="W71" s="45">
        <v>0</v>
      </c>
      <c r="X71" s="54">
        <f t="shared" si="293"/>
        <v>0</v>
      </c>
      <c r="Y71" s="45">
        <v>0</v>
      </c>
      <c r="Z71" s="54">
        <f t="shared" si="293"/>
        <v>0</v>
      </c>
      <c r="AA71" s="45">
        <f t="shared" si="294"/>
        <v>0</v>
      </c>
      <c r="AB71" s="54">
        <f t="shared" si="293"/>
        <v>0</v>
      </c>
    </row>
    <row r="72" spans="2:28" x14ac:dyDescent="0.25">
      <c r="B72" s="41" t="s">
        <v>27</v>
      </c>
      <c r="C72" s="45">
        <v>37.839379999999998</v>
      </c>
      <c r="D72" s="54">
        <f t="shared" si="293"/>
        <v>3.9641735922458822E-2</v>
      </c>
      <c r="E72" s="45">
        <v>35.656529999999997</v>
      </c>
      <c r="F72" s="54">
        <f t="shared" si="293"/>
        <v>3.7139148967218177E-2</v>
      </c>
      <c r="G72" s="341">
        <v>33.397790000000001</v>
      </c>
      <c r="H72" s="54">
        <f t="shared" si="293"/>
        <v>2.2606538041709565E-2</v>
      </c>
      <c r="I72" s="45">
        <v>35.417819999999999</v>
      </c>
      <c r="J72" s="54">
        <f t="shared" si="293"/>
        <v>2.3126863269336388E-2</v>
      </c>
      <c r="K72" s="45">
        <v>35.417819999999999</v>
      </c>
      <c r="L72" s="54">
        <f t="shared" si="293"/>
        <v>2.3126863269336388E-2</v>
      </c>
      <c r="M72" s="45">
        <v>33.967309999999998</v>
      </c>
      <c r="N72" s="54">
        <f t="shared" si="293"/>
        <v>5.0240097760744125E-2</v>
      </c>
      <c r="O72" s="45">
        <v>40.576000000000001</v>
      </c>
      <c r="P72" s="54">
        <f t="shared" si="293"/>
        <v>2.9409846094077298E-2</v>
      </c>
      <c r="Q72" s="45">
        <v>34.540999999999997</v>
      </c>
      <c r="R72" s="54">
        <f t="shared" si="293"/>
        <v>1.5894204903224858E-2</v>
      </c>
      <c r="S72" s="45">
        <v>34.564</v>
      </c>
      <c r="T72" s="54">
        <f t="shared" si="293"/>
        <v>1.7391759393532585E-2</v>
      </c>
      <c r="U72" s="45">
        <v>33.051000000000002</v>
      </c>
      <c r="V72" s="54">
        <f t="shared" si="293"/>
        <v>3.9114720418094717E-2</v>
      </c>
      <c r="W72" s="45">
        <v>35.255000000000003</v>
      </c>
      <c r="X72" s="54">
        <f t="shared" si="293"/>
        <v>1.6954287624163528E-2</v>
      </c>
      <c r="Y72" s="45">
        <v>33.996000000000002</v>
      </c>
      <c r="Z72" s="54">
        <f t="shared" si="293"/>
        <v>3.0835262275692429E-2</v>
      </c>
      <c r="AA72" s="45">
        <f t="shared" si="294"/>
        <v>423.67964999999998</v>
      </c>
      <c r="AB72" s="54">
        <f t="shared" si="293"/>
        <v>2.5372912320912544E-2</v>
      </c>
    </row>
    <row r="73" spans="2:28" x14ac:dyDescent="0.25">
      <c r="B73" s="41" t="s">
        <v>28</v>
      </c>
      <c r="C73" s="45">
        <v>0</v>
      </c>
      <c r="D73" s="54">
        <f t="shared" si="293"/>
        <v>0</v>
      </c>
      <c r="E73" s="45">
        <v>0</v>
      </c>
      <c r="F73" s="54">
        <f t="shared" si="293"/>
        <v>0</v>
      </c>
      <c r="G73" s="341">
        <v>0</v>
      </c>
      <c r="H73" s="54">
        <f t="shared" si="293"/>
        <v>0</v>
      </c>
      <c r="I73" s="45">
        <v>0</v>
      </c>
      <c r="J73" s="54">
        <f t="shared" si="293"/>
        <v>0</v>
      </c>
      <c r="K73" s="45">
        <v>0</v>
      </c>
      <c r="L73" s="54">
        <f t="shared" si="293"/>
        <v>0</v>
      </c>
      <c r="M73" s="45">
        <v>0</v>
      </c>
      <c r="N73" s="54">
        <f t="shared" si="293"/>
        <v>0</v>
      </c>
      <c r="O73" s="45">
        <v>0</v>
      </c>
      <c r="P73" s="54">
        <f t="shared" si="293"/>
        <v>0</v>
      </c>
      <c r="Q73" s="45">
        <v>0</v>
      </c>
      <c r="R73" s="54">
        <f t="shared" si="293"/>
        <v>0</v>
      </c>
      <c r="S73" s="45">
        <v>0</v>
      </c>
      <c r="T73" s="54">
        <f t="shared" si="293"/>
        <v>0</v>
      </c>
      <c r="U73" s="45">
        <v>0</v>
      </c>
      <c r="V73" s="54">
        <f t="shared" si="293"/>
        <v>0</v>
      </c>
      <c r="W73" s="45">
        <v>0</v>
      </c>
      <c r="X73" s="54">
        <f t="shared" si="293"/>
        <v>0</v>
      </c>
      <c r="Y73" s="45">
        <v>0</v>
      </c>
      <c r="Z73" s="54">
        <f t="shared" si="293"/>
        <v>0</v>
      </c>
      <c r="AA73" s="45">
        <f t="shared" si="294"/>
        <v>0</v>
      </c>
      <c r="AB73" s="54">
        <f t="shared" si="293"/>
        <v>0</v>
      </c>
    </row>
    <row r="74" spans="2:28" x14ac:dyDescent="0.25">
      <c r="B74" s="41" t="s">
        <v>399</v>
      </c>
      <c r="C74" s="52">
        <v>0</v>
      </c>
      <c r="D74" s="59">
        <f t="shared" si="293"/>
        <v>0</v>
      </c>
      <c r="E74" s="52">
        <v>0</v>
      </c>
      <c r="F74" s="59">
        <f t="shared" si="293"/>
        <v>0</v>
      </c>
      <c r="G74" s="344">
        <v>0</v>
      </c>
      <c r="H74" s="59">
        <f t="shared" si="293"/>
        <v>0</v>
      </c>
      <c r="I74" s="52">
        <v>0</v>
      </c>
      <c r="J74" s="59">
        <f t="shared" si="293"/>
        <v>0</v>
      </c>
      <c r="K74" s="52">
        <v>0</v>
      </c>
      <c r="L74" s="59">
        <f t="shared" si="293"/>
        <v>0</v>
      </c>
      <c r="M74" s="52">
        <v>0</v>
      </c>
      <c r="N74" s="59">
        <f t="shared" si="293"/>
        <v>0</v>
      </c>
      <c r="O74" s="52">
        <v>0</v>
      </c>
      <c r="P74" s="59">
        <f t="shared" si="293"/>
        <v>0</v>
      </c>
      <c r="Q74" s="52">
        <v>0</v>
      </c>
      <c r="R74" s="59">
        <f t="shared" si="293"/>
        <v>0</v>
      </c>
      <c r="S74" s="52">
        <v>0</v>
      </c>
      <c r="T74" s="59">
        <f t="shared" si="293"/>
        <v>0</v>
      </c>
      <c r="U74" s="52">
        <v>0</v>
      </c>
      <c r="V74" s="59">
        <f t="shared" si="293"/>
        <v>0</v>
      </c>
      <c r="W74" s="52">
        <v>0</v>
      </c>
      <c r="X74" s="59">
        <f t="shared" si="293"/>
        <v>0</v>
      </c>
      <c r="Y74" s="52">
        <v>0</v>
      </c>
      <c r="Z74" s="59">
        <f t="shared" si="293"/>
        <v>0</v>
      </c>
      <c r="AA74" s="52">
        <f t="shared" si="294"/>
        <v>0</v>
      </c>
      <c r="AB74" s="59">
        <f t="shared" si="293"/>
        <v>0</v>
      </c>
    </row>
    <row r="75" spans="2:28" ht="13" x14ac:dyDescent="0.3">
      <c r="B75" s="47" t="s">
        <v>394</v>
      </c>
      <c r="C75" s="48">
        <v>-338.29244</v>
      </c>
      <c r="D75" s="55">
        <f t="shared" si="293"/>
        <v>-0.35440590123422339</v>
      </c>
      <c r="E75" s="48">
        <v>67.876549999999995</v>
      </c>
      <c r="F75" s="55">
        <f t="shared" si="293"/>
        <v>7.0698895877720935E-2</v>
      </c>
      <c r="G75" s="342">
        <v>-117.07403999999998</v>
      </c>
      <c r="H75" s="55">
        <f t="shared" si="293"/>
        <v>-7.9245924324831879E-2</v>
      </c>
      <c r="I75" s="48">
        <v>381.28335999999996</v>
      </c>
      <c r="J75" s="55">
        <f t="shared" si="293"/>
        <v>0.24896755739323206</v>
      </c>
      <c r="K75" s="48">
        <v>381.28335999999996</v>
      </c>
      <c r="L75" s="55">
        <f t="shared" si="293"/>
        <v>0.24896755739323206</v>
      </c>
      <c r="M75" s="48">
        <v>146.72147000000001</v>
      </c>
      <c r="N75" s="55">
        <f t="shared" si="293"/>
        <v>0.21701162077303404</v>
      </c>
      <c r="O75" s="48">
        <v>-368.95</v>
      </c>
      <c r="P75" s="55">
        <f t="shared" si="293"/>
        <v>-0.2674182451796584</v>
      </c>
      <c r="Q75" s="48">
        <v>210.89699999999999</v>
      </c>
      <c r="R75" s="55">
        <f t="shared" si="293"/>
        <v>9.7045254378142293E-2</v>
      </c>
      <c r="S75" s="48">
        <v>-57.800000000000004</v>
      </c>
      <c r="T75" s="55">
        <f t="shared" si="293"/>
        <v>-2.9083546260449702E-2</v>
      </c>
      <c r="U75" s="48">
        <v>378.48699999999997</v>
      </c>
      <c r="V75" s="55">
        <f t="shared" si="293"/>
        <v>0.4479263316354547</v>
      </c>
      <c r="W75" s="48">
        <v>89.867999999999995</v>
      </c>
      <c r="X75" s="55">
        <f t="shared" si="293"/>
        <v>4.3217924271970722E-2</v>
      </c>
      <c r="Y75" s="48">
        <v>-110.86499999999998</v>
      </c>
      <c r="Z75" s="55">
        <f t="shared" si="293"/>
        <v>-0.10055745829493588</v>
      </c>
      <c r="AA75" s="48">
        <f t="shared" si="294"/>
        <v>663.43525999999997</v>
      </c>
      <c r="AB75" s="55">
        <f t="shared" si="293"/>
        <v>3.9731161698660339E-2</v>
      </c>
    </row>
    <row r="76" spans="2:28" ht="13" x14ac:dyDescent="0.3">
      <c r="B76" s="47" t="s">
        <v>29</v>
      </c>
      <c r="C76" s="48">
        <v>431.39585999999997</v>
      </c>
      <c r="D76" s="55">
        <f>IF(C$60=0,"N.D.",C460/C$60)</f>
        <v>0</v>
      </c>
      <c r="E76" s="48">
        <v>61.152149999999935</v>
      </c>
      <c r="F76" s="55">
        <f>IF(E$60=0,"N.D.",E460/E$60)</f>
        <v>0</v>
      </c>
      <c r="G76" s="342">
        <v>453.11711999999983</v>
      </c>
      <c r="H76" s="55">
        <f>IF(G$60=0,"N.D.",G460/G$60)</f>
        <v>0</v>
      </c>
      <c r="I76" s="48">
        <v>-196.96510999999975</v>
      </c>
      <c r="J76" s="55">
        <f>IF(I$60=0,"N.D.",I460/I$60)</f>
        <v>0</v>
      </c>
      <c r="K76" s="48">
        <v>-196.96510999999975</v>
      </c>
      <c r="L76" s="55">
        <f>IF(K$60=0,"N.D.",K460/K$60)</f>
        <v>0</v>
      </c>
      <c r="M76" s="48">
        <v>69.619140000000044</v>
      </c>
      <c r="N76" s="55">
        <f>IF(M$60=0,"N.D.",M460/M$60)</f>
        <v>0</v>
      </c>
      <c r="O76" s="48">
        <v>448.86800000000005</v>
      </c>
      <c r="P76" s="55">
        <f>IF(O$60=0,"N.D.",O460/O$60)</f>
        <v>0</v>
      </c>
      <c r="Q76" s="48">
        <v>220.19499999999988</v>
      </c>
      <c r="R76" s="55">
        <f>IF(Q$60=0,"N.D.",Q460/Q$60)</f>
        <v>0</v>
      </c>
      <c r="S76" s="48">
        <v>478.17700000000008</v>
      </c>
      <c r="T76" s="55">
        <f>IF(S$60=0,"N.D.",S460/S$60)</f>
        <v>0</v>
      </c>
      <c r="U76" s="48">
        <v>-94.494999999999948</v>
      </c>
      <c r="V76" s="55">
        <f>IF(U$60=0,"N.D.",U460/U$60)</f>
        <v>0</v>
      </c>
      <c r="W76" s="48">
        <v>158.86899999999994</v>
      </c>
      <c r="X76" s="55">
        <f>IF(W$60=0,"N.D.",W460/W$60)</f>
        <v>0</v>
      </c>
      <c r="Y76" s="48">
        <v>177.78099999999984</v>
      </c>
      <c r="Z76" s="55">
        <f>IF(Y$60=0,"N.D.",Y460/Y$60)</f>
        <v>0</v>
      </c>
      <c r="AA76" s="48">
        <f t="shared" si="294"/>
        <v>2010.7490500000004</v>
      </c>
      <c r="AB76" s="55">
        <f>IF(AA$60=0,"N.D.",AA460/AA$60)</f>
        <v>0</v>
      </c>
    </row>
    <row r="77" spans="2:28" x14ac:dyDescent="0.25">
      <c r="B77" s="41"/>
      <c r="C77" s="50"/>
      <c r="D77" s="60"/>
      <c r="E77" s="50"/>
      <c r="F77" s="60"/>
      <c r="G77" s="343"/>
      <c r="H77" s="60"/>
      <c r="I77" s="50"/>
      <c r="J77" s="60"/>
      <c r="K77" s="50"/>
      <c r="L77" s="60"/>
      <c r="M77" s="50"/>
      <c r="N77" s="60"/>
      <c r="O77" s="50"/>
      <c r="P77" s="60"/>
      <c r="Q77" s="50"/>
      <c r="R77" s="60"/>
      <c r="S77" s="50"/>
      <c r="T77" s="60"/>
      <c r="U77" s="50"/>
      <c r="V77" s="60"/>
      <c r="W77" s="50"/>
      <c r="X77" s="60"/>
      <c r="Y77" s="50"/>
      <c r="Z77" s="60"/>
      <c r="AA77" s="50"/>
      <c r="AB77" s="60"/>
    </row>
    <row r="78" spans="2:28" x14ac:dyDescent="0.25">
      <c r="B78" s="41" t="s">
        <v>398</v>
      </c>
      <c r="C78" s="42">
        <v>0</v>
      </c>
      <c r="D78" s="53">
        <f>IF(C$60=0,"N.D.",C78/C$60)</f>
        <v>0</v>
      </c>
      <c r="E78" s="42">
        <v>0</v>
      </c>
      <c r="F78" s="53">
        <f>IF(E$60=0,"N.D.",E78/E$60)</f>
        <v>0</v>
      </c>
      <c r="G78" s="340">
        <v>0</v>
      </c>
      <c r="H78" s="53">
        <f>IF(G$60=0,"N.D.",G78/G$60)</f>
        <v>0</v>
      </c>
      <c r="I78" s="42">
        <v>0</v>
      </c>
      <c r="J78" s="53">
        <f>IF(I$60=0,"N.D.",I78/I$60)</f>
        <v>0</v>
      </c>
      <c r="K78" s="42">
        <v>0</v>
      </c>
      <c r="L78" s="53">
        <f>IF(K$60=0,"N.D.",K78/K$60)</f>
        <v>0</v>
      </c>
      <c r="M78" s="42">
        <v>0</v>
      </c>
      <c r="N78" s="53">
        <f>IF(M$60=0,"N.D.",M78/M$60)</f>
        <v>0</v>
      </c>
      <c r="O78" s="42">
        <v>0</v>
      </c>
      <c r="P78" s="53">
        <f>IF(O$60=0,"N.D.",O78/O$60)</f>
        <v>0</v>
      </c>
      <c r="Q78" s="42">
        <v>0</v>
      </c>
      <c r="R78" s="53">
        <f>IF(Q$60=0,"N.D.",Q78/Q$60)</f>
        <v>0</v>
      </c>
      <c r="S78" s="42">
        <v>0</v>
      </c>
      <c r="T78" s="53">
        <f>IF(S$60=0,"N.D.",S78/S$60)</f>
        <v>0</v>
      </c>
      <c r="U78" s="42">
        <v>0</v>
      </c>
      <c r="V78" s="53">
        <f>IF(U$60=0,"N.D.",U78/U$60)</f>
        <v>0</v>
      </c>
      <c r="W78" s="42">
        <v>0</v>
      </c>
      <c r="X78" s="53">
        <f>IF(W$60=0,"N.D.",W78/W$60)</f>
        <v>0</v>
      </c>
      <c r="Y78" s="42">
        <v>0</v>
      </c>
      <c r="Z78" s="53">
        <f>IF(Y$60=0,"N.D.",Y78/Y$60)</f>
        <v>0</v>
      </c>
      <c r="AA78" s="42">
        <f t="shared" ref="AA78:AA81" si="295">+Y78+W78+U78+S78+Q78+O78+M78+K78+I78+G78+E78+C78</f>
        <v>0</v>
      </c>
      <c r="AB78" s="53">
        <f>IF(AA$60=0,"N.D.",AA78/AA$60)</f>
        <v>0</v>
      </c>
    </row>
    <row r="79" spans="2:28" x14ac:dyDescent="0.25">
      <c r="B79" s="41" t="s">
        <v>396</v>
      </c>
      <c r="C79" s="52">
        <v>0</v>
      </c>
      <c r="D79" s="59">
        <f>IF(C$60=0,"N.D.",C79/C$60)</f>
        <v>0</v>
      </c>
      <c r="E79" s="52">
        <v>0</v>
      </c>
      <c r="F79" s="59">
        <f>IF(E$60=0,"N.D.",E79/E$60)</f>
        <v>0</v>
      </c>
      <c r="G79" s="344">
        <v>0</v>
      </c>
      <c r="H79" s="59">
        <f>IF(G$60=0,"N.D.",G79/G$60)</f>
        <v>0</v>
      </c>
      <c r="I79" s="52">
        <v>0</v>
      </c>
      <c r="J79" s="59">
        <f>IF(I$60=0,"N.D.",I79/I$60)</f>
        <v>0</v>
      </c>
      <c r="K79" s="52">
        <v>0</v>
      </c>
      <c r="L79" s="59">
        <f>IF(K$60=0,"N.D.",K79/K$60)</f>
        <v>0</v>
      </c>
      <c r="M79" s="52">
        <v>0</v>
      </c>
      <c r="N79" s="59">
        <f>IF(M$60=0,"N.D.",M79/M$60)</f>
        <v>0</v>
      </c>
      <c r="O79" s="52">
        <v>0</v>
      </c>
      <c r="P79" s="59">
        <f>IF(O$60=0,"N.D.",O79/O$60)</f>
        <v>0</v>
      </c>
      <c r="Q79" s="52">
        <v>0</v>
      </c>
      <c r="R79" s="59">
        <f>IF(Q$60=0,"N.D.",Q79/Q$60)</f>
        <v>0</v>
      </c>
      <c r="S79" s="52">
        <v>0</v>
      </c>
      <c r="T79" s="59">
        <f>IF(S$60=0,"N.D.",S79/S$60)</f>
        <v>0</v>
      </c>
      <c r="U79" s="52">
        <v>0</v>
      </c>
      <c r="V79" s="59">
        <f>IF(U$60=0,"N.D.",U79/U$60)</f>
        <v>0</v>
      </c>
      <c r="W79" s="52">
        <v>0</v>
      </c>
      <c r="X79" s="59">
        <f>IF(W$60=0,"N.D.",W79/W$60)</f>
        <v>0</v>
      </c>
      <c r="Y79" s="52">
        <v>0</v>
      </c>
      <c r="Z79" s="59">
        <f>IF(Y$60=0,"N.D.",Y79/Y$60)</f>
        <v>0</v>
      </c>
      <c r="AA79" s="52">
        <f t="shared" si="295"/>
        <v>0</v>
      </c>
      <c r="AB79" s="59">
        <f>IF(AA$60=0,"N.D.",AA79/AA$60)</f>
        <v>0</v>
      </c>
    </row>
    <row r="80" spans="2:28" ht="13" x14ac:dyDescent="0.3">
      <c r="B80" s="47" t="s">
        <v>30</v>
      </c>
      <c r="C80" s="48">
        <v>431.39585999999997</v>
      </c>
      <c r="D80" s="55">
        <f>IF(C$60=0,"N.D.",C80/C$60)</f>
        <v>0.45194400014381886</v>
      </c>
      <c r="E80" s="48">
        <v>61.152149999999935</v>
      </c>
      <c r="F80" s="55">
        <f>IF(E$60=0,"N.D.",E80/E$60)</f>
        <v>6.3694891469126935E-2</v>
      </c>
      <c r="G80" s="342">
        <v>453.11711999999983</v>
      </c>
      <c r="H80" s="55">
        <f>IF(G$60=0,"N.D.",G80/G$60)</f>
        <v>0.30670919874129016</v>
      </c>
      <c r="I80" s="48">
        <v>-196.96510999999975</v>
      </c>
      <c r="J80" s="55">
        <f>IF(I$60=0,"N.D.",I80/I$60)</f>
        <v>-0.1286128047350118</v>
      </c>
      <c r="K80" s="48">
        <v>-196.96510999999975</v>
      </c>
      <c r="L80" s="55">
        <f>IF(K$60=0,"N.D.",K80/K$60)</f>
        <v>-0.1286128047350118</v>
      </c>
      <c r="M80" s="48">
        <v>69.619140000000044</v>
      </c>
      <c r="N80" s="55">
        <f>IF(M$60=0,"N.D.",M80/M$60)</f>
        <v>0.102971721917895</v>
      </c>
      <c r="O80" s="48">
        <v>448.86800000000005</v>
      </c>
      <c r="P80" s="55">
        <f>IF(O$60=0,"N.D.",O80/O$60)</f>
        <v>0.32534352318011361</v>
      </c>
      <c r="Q80" s="48">
        <v>220.19499999999988</v>
      </c>
      <c r="R80" s="55">
        <f>IF(Q$60=0,"N.D.",Q80/Q$60)</f>
        <v>0.10132377315843767</v>
      </c>
      <c r="S80" s="48">
        <v>478.17700000000008</v>
      </c>
      <c r="T80" s="55">
        <f>IF(S$60=0,"N.D.",S80/S$60)</f>
        <v>0.24060697059140237</v>
      </c>
      <c r="U80" s="48">
        <v>-94.494999999999948</v>
      </c>
      <c r="V80" s="55">
        <f>IF(U$60=0,"N.D.",U80/U$60)</f>
        <v>-0.11183157864838758</v>
      </c>
      <c r="W80" s="48">
        <v>158.86899999999994</v>
      </c>
      <c r="X80" s="55">
        <f>IF(W$60=0,"N.D.",W80/W$60)</f>
        <v>7.6400814652197821E-2</v>
      </c>
      <c r="Y80" s="48">
        <v>177.78099999999984</v>
      </c>
      <c r="Z80" s="55">
        <f>IF(Y$60=0,"N.D.",Y80/Y$60)</f>
        <v>0.16125202266839836</v>
      </c>
      <c r="AA80" s="48">
        <f t="shared" si="295"/>
        <v>2010.7490500000004</v>
      </c>
      <c r="AB80" s="55">
        <f>IF(AA$60=0,"N.D.",AA80/AA$60)</f>
        <v>0.12041777164659243</v>
      </c>
    </row>
    <row r="81" spans="2:28" ht="13" x14ac:dyDescent="0.3">
      <c r="B81" s="47" t="s">
        <v>31</v>
      </c>
      <c r="C81" s="48">
        <v>117.27170999999997</v>
      </c>
      <c r="D81" s="55">
        <f>IF(C$60=0,"N.D.",C81/C$60)</f>
        <v>0.12285756687861092</v>
      </c>
      <c r="E81" s="48">
        <v>153.19698999999994</v>
      </c>
      <c r="F81" s="55">
        <f>IF(E$60=0,"N.D.",E81/E$60)</f>
        <v>0.15956700870610324</v>
      </c>
      <c r="G81" s="342">
        <v>360.21136999999987</v>
      </c>
      <c r="H81" s="55">
        <f>IF(G$60=0,"N.D.",G81/G$60)</f>
        <v>0.24382248163609976</v>
      </c>
      <c r="I81" s="48">
        <v>208.40740000000019</v>
      </c>
      <c r="J81" s="55">
        <f>IF(I$60=0,"N.D.",I81/I$60)</f>
        <v>0.13608430570029156</v>
      </c>
      <c r="K81" s="48">
        <v>208.40740000000019</v>
      </c>
      <c r="L81" s="55">
        <f>IF(K$60=0,"N.D.",K81/K$60)</f>
        <v>0.13608430570029156</v>
      </c>
      <c r="M81" s="48">
        <v>240.42976000000004</v>
      </c>
      <c r="N81" s="55">
        <f>IF(M$60=0,"N.D.",M81/M$60)</f>
        <v>0.35561293040256203</v>
      </c>
      <c r="O81" s="48">
        <v>104.00700000000006</v>
      </c>
      <c r="P81" s="55">
        <f>IF(O$60=0,"N.D.",O81/O$60)</f>
        <v>7.5385199692101224E-2</v>
      </c>
      <c r="Q81" s="48">
        <v>455.18099999999987</v>
      </c>
      <c r="R81" s="55">
        <f>IF(Q$60=0,"N.D.",Q81/Q$60)</f>
        <v>0.20945369508858436</v>
      </c>
      <c r="S81" s="48">
        <v>420.37700000000007</v>
      </c>
      <c r="T81" s="55">
        <f>IF(S$60=0,"N.D.",S81/S$60)</f>
        <v>0.21152342433095267</v>
      </c>
      <c r="U81" s="48">
        <v>308.08100000000002</v>
      </c>
      <c r="V81" s="55">
        <f>IF(U$60=0,"N.D.",U81/U$60)</f>
        <v>0.36460325500369245</v>
      </c>
      <c r="W81" s="48">
        <v>272.82599999999991</v>
      </c>
      <c r="X81" s="55">
        <f>IF(W$60=0,"N.D.",W81/W$60)</f>
        <v>0.13120324706708372</v>
      </c>
      <c r="Y81" s="48">
        <v>91.004999999999853</v>
      </c>
      <c r="Z81" s="55">
        <f>IF(Y$60=0,"N.D.",Y81/Y$60)</f>
        <v>8.254391820800637E-2</v>
      </c>
      <c r="AA81" s="48">
        <f t="shared" si="295"/>
        <v>2939.4016299999998</v>
      </c>
      <c r="AB81" s="55">
        <f>IF(AA$60=0,"N.D.",AA81/AA$60)</f>
        <v>0.17603200869793348</v>
      </c>
    </row>
    <row r="82" spans="2:28" x14ac:dyDescent="0.25"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</row>
    <row r="83" spans="2:28" x14ac:dyDescent="0.25">
      <c r="C83" s="61"/>
      <c r="E83" s="61"/>
      <c r="G83" s="61"/>
      <c r="I83" s="61"/>
      <c r="K83" s="61"/>
      <c r="M83" s="61"/>
      <c r="O83" s="61"/>
      <c r="Q83" s="61"/>
      <c r="S83" s="61"/>
      <c r="U83" s="61"/>
      <c r="W83" s="61"/>
      <c r="Y83" s="61"/>
      <c r="AA83" s="61"/>
    </row>
    <row r="85" spans="2:28" x14ac:dyDescent="0.25">
      <c r="B85" s="41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</row>
    <row r="86" spans="2:28" ht="13" x14ac:dyDescent="0.3">
      <c r="B86" s="41"/>
      <c r="C86" s="50"/>
      <c r="D86" s="62"/>
      <c r="E86" s="50"/>
      <c r="F86" s="62"/>
      <c r="G86" s="50"/>
      <c r="H86" s="62"/>
      <c r="I86" s="50"/>
      <c r="J86" s="62"/>
      <c r="K86" s="50"/>
      <c r="L86" s="62"/>
      <c r="M86" s="50"/>
      <c r="N86" s="62"/>
      <c r="O86" s="50"/>
      <c r="P86" s="62"/>
      <c r="Q86" s="50"/>
      <c r="R86" s="62"/>
      <c r="S86" s="50"/>
      <c r="T86" s="62"/>
      <c r="U86" s="50"/>
      <c r="V86" s="62"/>
      <c r="W86" s="50"/>
      <c r="X86" s="62"/>
      <c r="Y86" s="50"/>
      <c r="Z86" s="62"/>
      <c r="AA86" s="50"/>
      <c r="AB86" s="62"/>
    </row>
    <row r="87" spans="2:28" ht="13" x14ac:dyDescent="0.3">
      <c r="B87" s="47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</row>
    <row r="88" spans="2:28" x14ac:dyDescent="0.25">
      <c r="B88" s="41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</row>
    <row r="89" spans="2:28" x14ac:dyDescent="0.25">
      <c r="B89" s="41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</row>
    <row r="90" spans="2:28" x14ac:dyDescent="0.25">
      <c r="B90" s="41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</row>
    <row r="91" spans="2:28" x14ac:dyDescent="0.25">
      <c r="B91" s="41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</row>
    <row r="92" spans="2:28" ht="13" x14ac:dyDescent="0.3">
      <c r="B92" s="47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</row>
    <row r="93" spans="2:28" ht="13" x14ac:dyDescent="0.3">
      <c r="B93" s="47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</row>
    <row r="94" spans="2:28" x14ac:dyDescent="0.25">
      <c r="B94" s="41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</row>
    <row r="95" spans="2:28" x14ac:dyDescent="0.25">
      <c r="B95" s="41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</row>
    <row r="96" spans="2:28" x14ac:dyDescent="0.25">
      <c r="B96" s="41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</row>
    <row r="97" spans="2:28" x14ac:dyDescent="0.25">
      <c r="B97" s="41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</row>
    <row r="98" spans="2:28" x14ac:dyDescent="0.25">
      <c r="B98" s="41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</row>
    <row r="99" spans="2:28" x14ac:dyDescent="0.25">
      <c r="B99" s="41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</row>
    <row r="100" spans="2:28" ht="13" x14ac:dyDescent="0.3">
      <c r="B100" s="47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</row>
    <row r="101" spans="2:28" ht="13" x14ac:dyDescent="0.3">
      <c r="B101" s="47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</row>
    <row r="102" spans="2:28" x14ac:dyDescent="0.25">
      <c r="B102" s="41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</row>
    <row r="103" spans="2:28" x14ac:dyDescent="0.25">
      <c r="B103" s="41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</row>
    <row r="104" spans="2:28" x14ac:dyDescent="0.25">
      <c r="B104" s="41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</row>
    <row r="105" spans="2:28" ht="13" x14ac:dyDescent="0.3">
      <c r="B105" s="47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</row>
    <row r="106" spans="2:28" ht="13" x14ac:dyDescent="0.3">
      <c r="B106" s="47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</row>
  </sheetData>
  <pageMargins left="0.70866141732283472" right="0.70866141732283472" top="0.74803149606299213" bottom="0.74803149606299213" header="0.31496062992125984" footer="0.31496062992125984"/>
  <pageSetup scale="83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_Ppto_Empresas">
    <tabColor rgb="FF00B0F0"/>
    <pageSetUpPr fitToPage="1"/>
  </sheetPr>
  <dimension ref="B1:AC105"/>
  <sheetViews>
    <sheetView showGridLines="0" zoomScale="69" zoomScaleNormal="69" workbookViewId="0">
      <selection activeCell="C11" sqref="C11"/>
    </sheetView>
  </sheetViews>
  <sheetFormatPr baseColWidth="10" defaultColWidth="9.1796875" defaultRowHeight="12.5" x14ac:dyDescent="0.25"/>
  <cols>
    <col min="1" max="1" width="11.7265625" bestFit="1" customWidth="1"/>
    <col min="2" max="2" width="36.54296875" style="37" bestFit="1" customWidth="1"/>
    <col min="3" max="3" width="8.26953125" style="37" customWidth="1"/>
    <col min="4" max="4" width="9.1796875" style="38" bestFit="1" customWidth="1"/>
    <col min="5" max="5" width="8.26953125" style="37" customWidth="1"/>
    <col min="6" max="6" width="9.1796875" style="38" bestFit="1" customWidth="1"/>
    <col min="7" max="7" width="8.26953125" style="37" customWidth="1"/>
    <col min="8" max="8" width="9.1796875" style="38" customWidth="1"/>
    <col min="9" max="9" width="8.26953125" style="37" customWidth="1"/>
    <col min="10" max="10" width="9.1796875" style="38" customWidth="1"/>
    <col min="11" max="11" width="8.26953125" style="37" customWidth="1"/>
    <col min="12" max="12" width="9.1796875" style="38" customWidth="1"/>
    <col min="13" max="13" width="8.26953125" style="37" customWidth="1"/>
    <col min="14" max="14" width="9.1796875" style="38" customWidth="1"/>
    <col min="15" max="15" width="8.26953125" style="37" customWidth="1"/>
    <col min="16" max="16" width="9.1796875" style="38" customWidth="1"/>
    <col min="17" max="17" width="8.26953125" style="37" customWidth="1"/>
    <col min="18" max="18" width="9.1796875" style="38" customWidth="1"/>
    <col min="19" max="19" width="8.26953125" style="37" customWidth="1"/>
    <col min="20" max="20" width="9.1796875" style="38" customWidth="1"/>
    <col min="21" max="21" width="8.26953125" style="37" customWidth="1"/>
    <col min="22" max="22" width="9.1796875" style="38" customWidth="1"/>
    <col min="23" max="23" width="8.26953125" style="37" customWidth="1"/>
    <col min="24" max="24" width="9.1796875" style="38" customWidth="1"/>
    <col min="25" max="25" width="8.26953125" style="37" customWidth="1"/>
    <col min="26" max="26" width="9.1796875" style="38" customWidth="1"/>
    <col min="27" max="27" width="8.26953125" style="37" customWidth="1"/>
    <col min="28" max="28" width="9.1796875" style="38" bestFit="1" customWidth="1"/>
  </cols>
  <sheetData>
    <row r="1" spans="2:28" x14ac:dyDescent="0.25">
      <c r="B1"/>
    </row>
    <row r="2" spans="2:28" ht="18" x14ac:dyDescent="0.4">
      <c r="B2" s="348" t="str">
        <f>"Estado de Resultados Mes por Mes Ppto "&amp;YEAR(MES_CIERRE)</f>
        <v>Estado de Resultados Mes por Mes Ppto 2019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2:28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</row>
    <row r="4" spans="2:28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</row>
    <row r="7" spans="2:28" x14ac:dyDescent="0.25">
      <c r="D7" s="77"/>
      <c r="E7" s="76"/>
      <c r="F7" s="77"/>
      <c r="G7" s="76"/>
      <c r="H7" s="77"/>
      <c r="I7" s="76"/>
      <c r="J7" s="77"/>
    </row>
    <row r="8" spans="2:28" x14ac:dyDescent="0.25">
      <c r="D8" s="77"/>
      <c r="E8" s="76"/>
      <c r="F8" s="77"/>
      <c r="G8" s="76"/>
      <c r="H8" s="77"/>
      <c r="I8" s="76"/>
      <c r="J8" s="77"/>
    </row>
    <row r="10" spans="2:28" ht="13" x14ac:dyDescent="0.3">
      <c r="B10" s="193" t="s">
        <v>249</v>
      </c>
      <c r="C10" s="104" t="s">
        <v>171</v>
      </c>
      <c r="D10" s="77"/>
      <c r="E10" s="104" t="s">
        <v>172</v>
      </c>
      <c r="F10" s="77"/>
      <c r="G10" s="104" t="s">
        <v>173</v>
      </c>
      <c r="H10" s="77"/>
      <c r="I10" s="104" t="s">
        <v>174</v>
      </c>
      <c r="J10" s="77"/>
      <c r="K10" s="39" t="s">
        <v>175</v>
      </c>
      <c r="M10" s="39" t="s">
        <v>176</v>
      </c>
      <c r="O10" s="39" t="s">
        <v>177</v>
      </c>
      <c r="Q10" s="39" t="s">
        <v>178</v>
      </c>
      <c r="S10" s="39" t="s">
        <v>179</v>
      </c>
      <c r="U10" s="39" t="s">
        <v>180</v>
      </c>
      <c r="W10" s="39" t="s">
        <v>181</v>
      </c>
      <c r="Y10" s="39" t="s">
        <v>182</v>
      </c>
      <c r="AA10" s="39" t="str">
        <f>+"Acum "&amp;YEAR(MES_CIERRE)</f>
        <v>Acum 2019</v>
      </c>
    </row>
    <row r="11" spans="2:28" x14ac:dyDescent="0.25">
      <c r="B11" s="41" t="s">
        <v>17</v>
      </c>
      <c r="C11" s="79">
        <f>+C37+C62</f>
        <v>4148.6540000000005</v>
      </c>
      <c r="D11" s="80">
        <f>IF(C$11=0,"N.D.",C11/C$11)</f>
        <v>1</v>
      </c>
      <c r="E11" s="79">
        <f>+E37+E62</f>
        <v>4570.2520000000004</v>
      </c>
      <c r="F11" s="80">
        <f>IF(E$11=0,"N.D.",E11/E$11)</f>
        <v>1</v>
      </c>
      <c r="G11" s="79">
        <f>+G37+G62</f>
        <v>3954.029</v>
      </c>
      <c r="H11" s="80">
        <f>IF(G$11=0,"N.D.",G11/G$11)</f>
        <v>1</v>
      </c>
      <c r="I11" s="79">
        <f>+I37+I62</f>
        <v>5488.0300000000007</v>
      </c>
      <c r="J11" s="80">
        <f>IF(I$11=0,"N.D.",I11/I$11)</f>
        <v>1</v>
      </c>
      <c r="K11" s="79">
        <f>+K37+K62</f>
        <v>5488.0300000000007</v>
      </c>
      <c r="L11" s="53">
        <f>IF(K$11=0,"N.D.",K11/K$11)</f>
        <v>1</v>
      </c>
      <c r="M11" s="79">
        <f>+M37+M62</f>
        <v>5682.6630000000005</v>
      </c>
      <c r="N11" s="53">
        <f>IF(M$11=0,"N.D.",M11/M$11)</f>
        <v>1</v>
      </c>
      <c r="O11" s="79">
        <f>+O37+O62</f>
        <v>0</v>
      </c>
      <c r="P11" s="53" t="str">
        <f>IF(O$11=0,"N.D.",O11/O$11)</f>
        <v>N.D.</v>
      </c>
      <c r="Q11" s="79">
        <f>+Q37+Q62</f>
        <v>0</v>
      </c>
      <c r="R11" s="53" t="str">
        <f>IF(Q$11=0,"N.D.",Q11/Q$11)</f>
        <v>N.D.</v>
      </c>
      <c r="S11" s="79">
        <f>+S37+S62</f>
        <v>0</v>
      </c>
      <c r="T11" s="53" t="str">
        <f>IF(S$11=0,"N.D.",S11/S$11)</f>
        <v>N.D.</v>
      </c>
      <c r="U11" s="79">
        <f>+U37+U62</f>
        <v>0</v>
      </c>
      <c r="V11" s="53" t="str">
        <f>IF(U$11=0,"N.D.",U11/U$11)</f>
        <v>N.D.</v>
      </c>
      <c r="W11" s="79">
        <f>+W37+W62</f>
        <v>0</v>
      </c>
      <c r="X11" s="53" t="str">
        <f>IF(W$11=0,"N.D.",W11/W$11)</f>
        <v>N.D.</v>
      </c>
      <c r="Y11" s="79">
        <f>+Y37+Y62</f>
        <v>0</v>
      </c>
      <c r="Z11" s="53" t="str">
        <f>IF(Y$11=0,"N.D.",Y11/Y$11)</f>
        <v>N.D.</v>
      </c>
      <c r="AA11" s="42">
        <f>+Y11+W11+U11+S11+Q11+O11+M11+K11+I11+G11+E11+C11</f>
        <v>29331.658000000003</v>
      </c>
      <c r="AB11" s="53">
        <f>IF(AA$11=0,"N.D.",AA11/AA$11)</f>
        <v>1</v>
      </c>
    </row>
    <row r="12" spans="2:28" x14ac:dyDescent="0.25">
      <c r="B12" s="41" t="s">
        <v>18</v>
      </c>
      <c r="C12" s="81">
        <f t="shared" ref="C12:E13" si="0">+C38+C63</f>
        <v>2599.5010000000002</v>
      </c>
      <c r="D12" s="82">
        <f>IF(C$11=0,"N.D.",C12/C$11)</f>
        <v>0.62658900935098472</v>
      </c>
      <c r="E12" s="81">
        <f t="shared" si="0"/>
        <v>2971.9850000000001</v>
      </c>
      <c r="F12" s="82">
        <f>IF(E$11=0,"N.D.",E12/E$11)</f>
        <v>0.65028908690374188</v>
      </c>
      <c r="G12" s="81">
        <f t="shared" ref="G12" si="1">+G38+G63</f>
        <v>2399.5479999999998</v>
      </c>
      <c r="H12" s="82">
        <f>IF(G$11=0,"N.D.",G12/G$11)</f>
        <v>0.6068615075913707</v>
      </c>
      <c r="I12" s="81">
        <f t="shared" ref="I12" si="2">+I38+I63</f>
        <v>3317.875</v>
      </c>
      <c r="J12" s="82">
        <f>IF(I$11=0,"N.D.",I12/I$11)</f>
        <v>0.60456575492480902</v>
      </c>
      <c r="K12" s="81">
        <f t="shared" ref="K12" si="3">+K38+K63</f>
        <v>3317.875</v>
      </c>
      <c r="L12" s="59">
        <f>IF(K$11=0,"N.D.",K12/K$11)</f>
        <v>0.60456575492480902</v>
      </c>
      <c r="M12" s="81">
        <f t="shared" ref="M12" si="4">+M38+M63</f>
        <v>3502.0749999999998</v>
      </c>
      <c r="N12" s="59">
        <f>IF(M$11=0,"N.D.",M12/M$11)</f>
        <v>0.6162735675157931</v>
      </c>
      <c r="O12" s="81">
        <f t="shared" ref="O12" si="5">+O38+O63</f>
        <v>0</v>
      </c>
      <c r="P12" s="59" t="str">
        <f>IF(O$11=0,"N.D.",O12/O$11)</f>
        <v>N.D.</v>
      </c>
      <c r="Q12" s="81">
        <f t="shared" ref="Q12" si="6">+Q38+Q63</f>
        <v>0</v>
      </c>
      <c r="R12" s="59" t="str">
        <f>IF(Q$11=0,"N.D.",Q12/Q$11)</f>
        <v>N.D.</v>
      </c>
      <c r="S12" s="81">
        <f t="shared" ref="S12" si="7">+S38+S63</f>
        <v>0</v>
      </c>
      <c r="T12" s="59" t="str">
        <f>IF(S$11=0,"N.D.",S12/S$11)</f>
        <v>N.D.</v>
      </c>
      <c r="U12" s="81">
        <f t="shared" ref="U12" si="8">+U38+U63</f>
        <v>0</v>
      </c>
      <c r="V12" s="59" t="str">
        <f>IF(U$11=0,"N.D.",U12/U$11)</f>
        <v>N.D.</v>
      </c>
      <c r="W12" s="81">
        <f t="shared" ref="W12" si="9">+W38+W63</f>
        <v>0</v>
      </c>
      <c r="X12" s="59" t="str">
        <f>IF(W$11=0,"N.D.",W12/W$11)</f>
        <v>N.D.</v>
      </c>
      <c r="Y12" s="81">
        <f t="shared" ref="Y12" si="10">+Y38+Y63</f>
        <v>0</v>
      </c>
      <c r="Z12" s="59" t="str">
        <f>IF(Y$11=0,"N.D.",Y12/Y$11)</f>
        <v>N.D.</v>
      </c>
      <c r="AA12" s="45">
        <f t="shared" ref="AA12:AA32" si="11">+Y12+W12+U12+S12+Q12+O12+M12+K12+I12+G12+E12+C12</f>
        <v>18108.859</v>
      </c>
      <c r="AB12" s="59">
        <f>IF(AA$11=0,"N.D.",AA12/AA$11)</f>
        <v>0.61738272688165119</v>
      </c>
    </row>
    <row r="13" spans="2:28" ht="13" x14ac:dyDescent="0.3">
      <c r="B13" s="47" t="s">
        <v>19</v>
      </c>
      <c r="C13" s="83">
        <f t="shared" si="0"/>
        <v>1549.153</v>
      </c>
      <c r="D13" s="84">
        <f>IF(C$11=0,"N.D.",C13/C$11)</f>
        <v>0.37341099064901528</v>
      </c>
      <c r="E13" s="83">
        <f t="shared" si="0"/>
        <v>1598.2670000000001</v>
      </c>
      <c r="F13" s="84">
        <f>IF(E$11=0,"N.D.",E13/E$11)</f>
        <v>0.34971091309625812</v>
      </c>
      <c r="G13" s="83">
        <f t="shared" ref="G13" si="12">+G39+G64</f>
        <v>1554.481</v>
      </c>
      <c r="H13" s="84">
        <f>IF(G$11=0,"N.D.",G13/G$11)</f>
        <v>0.39313849240862925</v>
      </c>
      <c r="I13" s="83">
        <f t="shared" ref="I13" si="13">+I39+I64</f>
        <v>2170.1549999999997</v>
      </c>
      <c r="J13" s="84">
        <f>IF(I$11=0,"N.D.",I13/I$11)</f>
        <v>0.39543424507519082</v>
      </c>
      <c r="K13" s="83">
        <f t="shared" ref="K13" si="14">+K39+K64</f>
        <v>2170.1549999999997</v>
      </c>
      <c r="L13" s="55">
        <f>IF(K$11=0,"N.D.",K13/K$11)</f>
        <v>0.39543424507519082</v>
      </c>
      <c r="M13" s="83">
        <f t="shared" ref="M13" si="15">+M39+M64</f>
        <v>2180.5879999999997</v>
      </c>
      <c r="N13" s="55">
        <f>IF(M$11=0,"N.D.",M13/M$11)</f>
        <v>0.38372643248420674</v>
      </c>
      <c r="O13" s="83">
        <f t="shared" ref="O13" si="16">+O39+O64</f>
        <v>0</v>
      </c>
      <c r="P13" s="55" t="str">
        <f>IF(O$11=0,"N.D.",O13/O$11)</f>
        <v>N.D.</v>
      </c>
      <c r="Q13" s="83">
        <f t="shared" ref="Q13" si="17">+Q39+Q64</f>
        <v>0</v>
      </c>
      <c r="R13" s="55" t="str">
        <f>IF(Q$11=0,"N.D.",Q13/Q$11)</f>
        <v>N.D.</v>
      </c>
      <c r="S13" s="83">
        <f t="shared" ref="S13" si="18">+S39+S64</f>
        <v>0</v>
      </c>
      <c r="T13" s="55" t="str">
        <f>IF(S$11=0,"N.D.",S13/S$11)</f>
        <v>N.D.</v>
      </c>
      <c r="U13" s="83">
        <f t="shared" ref="U13" si="19">+U39+U64</f>
        <v>0</v>
      </c>
      <c r="V13" s="55" t="str">
        <f>IF(U$11=0,"N.D.",U13/U$11)</f>
        <v>N.D.</v>
      </c>
      <c r="W13" s="83">
        <f t="shared" ref="W13" si="20">+W39+W64</f>
        <v>0</v>
      </c>
      <c r="X13" s="55" t="str">
        <f>IF(W$11=0,"N.D.",W13/W$11)</f>
        <v>N.D.</v>
      </c>
      <c r="Y13" s="83">
        <f t="shared" ref="Y13" si="21">+Y39+Y64</f>
        <v>0</v>
      </c>
      <c r="Z13" s="55" t="str">
        <f>IF(Y$11=0,"N.D.",Y13/Y$11)</f>
        <v>N.D.</v>
      </c>
      <c r="AA13" s="48">
        <f t="shared" si="11"/>
        <v>11222.798999999999</v>
      </c>
      <c r="AB13" s="55">
        <f>IF(AA$11=0,"N.D.",AA13/AA$11)</f>
        <v>0.3826172731183487</v>
      </c>
    </row>
    <row r="14" spans="2:28" x14ac:dyDescent="0.25">
      <c r="B14" s="41"/>
      <c r="C14" s="85"/>
      <c r="D14" s="86"/>
      <c r="E14" s="85"/>
      <c r="F14" s="86"/>
      <c r="G14" s="85"/>
      <c r="H14" s="86"/>
      <c r="I14" s="85"/>
      <c r="J14" s="86"/>
      <c r="K14" s="85"/>
      <c r="L14" s="60"/>
      <c r="M14" s="85"/>
      <c r="N14" s="60"/>
      <c r="O14" s="85"/>
      <c r="P14" s="60"/>
      <c r="Q14" s="85"/>
      <c r="R14" s="60"/>
      <c r="S14" s="85"/>
      <c r="T14" s="60"/>
      <c r="U14" s="85"/>
      <c r="V14" s="60"/>
      <c r="W14" s="85"/>
      <c r="X14" s="60"/>
      <c r="Y14" s="85"/>
      <c r="Z14" s="60"/>
      <c r="AA14" s="50"/>
      <c r="AB14" s="60"/>
    </row>
    <row r="15" spans="2:28" x14ac:dyDescent="0.25">
      <c r="B15" s="41" t="s">
        <v>20</v>
      </c>
      <c r="C15" s="79">
        <f t="shared" ref="C15:E19" si="22">+C41+C66</f>
        <v>105.958</v>
      </c>
      <c r="D15" s="80">
        <f>IF(C$11=0,"N.D.",C15/C$11)</f>
        <v>2.5540331876314579E-2</v>
      </c>
      <c r="E15" s="79">
        <f t="shared" si="22"/>
        <v>101.801</v>
      </c>
      <c r="F15" s="80">
        <f>IF(E$11=0,"N.D.",E15/E$11)</f>
        <v>2.2274701701350385E-2</v>
      </c>
      <c r="G15" s="79">
        <f t="shared" ref="G15" si="23">+G41+G66</f>
        <v>109.521</v>
      </c>
      <c r="H15" s="80">
        <f>IF(G$11=0,"N.D.",G15/G$11)</f>
        <v>2.7698582888491714E-2</v>
      </c>
      <c r="I15" s="79">
        <f t="shared" ref="I15" si="24">+I41+I66</f>
        <v>369.02699999999999</v>
      </c>
      <c r="J15" s="80">
        <f>IF(I$11=0,"N.D.",I15/I$11)</f>
        <v>6.7242161577105067E-2</v>
      </c>
      <c r="K15" s="79">
        <f t="shared" ref="K15" si="25">+K41+K66</f>
        <v>369.02699999999999</v>
      </c>
      <c r="L15" s="53">
        <f>IF(K$11=0,"N.D.",K15/K$11)</f>
        <v>6.7242161577105067E-2</v>
      </c>
      <c r="M15" s="79">
        <f t="shared" ref="M15" si="26">+M41+M66</f>
        <v>357.81099999999998</v>
      </c>
      <c r="N15" s="53">
        <f>IF(M$11=0,"N.D.",M15/M$11)</f>
        <v>6.296537380449975E-2</v>
      </c>
      <c r="O15" s="79">
        <f t="shared" ref="O15" si="27">+O41+O66</f>
        <v>0</v>
      </c>
      <c r="P15" s="53" t="str">
        <f>IF(O$11=0,"N.D.",O15/O$11)</f>
        <v>N.D.</v>
      </c>
      <c r="Q15" s="79">
        <f t="shared" ref="Q15" si="28">+Q41+Q66</f>
        <v>0</v>
      </c>
      <c r="R15" s="53" t="str">
        <f>IF(Q$11=0,"N.D.",Q15/Q$11)</f>
        <v>N.D.</v>
      </c>
      <c r="S15" s="79">
        <f t="shared" ref="S15" si="29">+S41+S66</f>
        <v>0</v>
      </c>
      <c r="T15" s="53" t="str">
        <f>IF(S$11=0,"N.D.",S15/S$11)</f>
        <v>N.D.</v>
      </c>
      <c r="U15" s="79">
        <f t="shared" ref="U15" si="30">+U41+U66</f>
        <v>0</v>
      </c>
      <c r="V15" s="53" t="str">
        <f>IF(U$11=0,"N.D.",U15/U$11)</f>
        <v>N.D.</v>
      </c>
      <c r="W15" s="79">
        <f t="shared" ref="W15" si="31">+W41+W66</f>
        <v>0</v>
      </c>
      <c r="X15" s="53" t="str">
        <f>IF(W$11=0,"N.D.",W15/W$11)</f>
        <v>N.D.</v>
      </c>
      <c r="Y15" s="79">
        <f t="shared" ref="Y15" si="32">+Y41+Y66</f>
        <v>0</v>
      </c>
      <c r="Z15" s="53" t="str">
        <f>IF(Y$11=0,"N.D.",Y15/Y$11)</f>
        <v>N.D.</v>
      </c>
      <c r="AA15" s="42">
        <f t="shared" si="11"/>
        <v>1413.145</v>
      </c>
      <c r="AB15" s="53">
        <f>IF(AA$11=0,"N.D.",AA15/AA$11)</f>
        <v>4.8178149356575745E-2</v>
      </c>
    </row>
    <row r="16" spans="2:28" x14ac:dyDescent="0.25">
      <c r="B16" s="41" t="s">
        <v>21</v>
      </c>
      <c r="C16" s="81">
        <f t="shared" si="22"/>
        <v>279.05</v>
      </c>
      <c r="D16" s="87">
        <f>IF(C$11=0,"N.D.",C16/C$11)</f>
        <v>6.7262779687098512E-2</v>
      </c>
      <c r="E16" s="81">
        <f t="shared" si="22"/>
        <v>258.05</v>
      </c>
      <c r="F16" s="87">
        <f>IF(E$11=0,"N.D.",E16/E$11)</f>
        <v>5.6462969656815423E-2</v>
      </c>
      <c r="G16" s="81">
        <f t="shared" ref="G16" si="33">+G42+G67</f>
        <v>315.55</v>
      </c>
      <c r="H16" s="87">
        <f>IF(G$11=0,"N.D.",G16/G$11)</f>
        <v>7.9804675180682794E-2</v>
      </c>
      <c r="I16" s="81">
        <f t="shared" ref="I16" si="34">+I42+I67</f>
        <v>254.55</v>
      </c>
      <c r="J16" s="87">
        <f>IF(I$11=0,"N.D.",I16/I$11)</f>
        <v>4.6382763942616929E-2</v>
      </c>
      <c r="K16" s="81">
        <f t="shared" ref="K16" si="35">+K42+K67</f>
        <v>254.55</v>
      </c>
      <c r="L16" s="54">
        <f>IF(K$11=0,"N.D.",K16/K$11)</f>
        <v>4.6382763942616929E-2</v>
      </c>
      <c r="M16" s="81">
        <f t="shared" ref="M16" si="36">+M42+M67</f>
        <v>259.55</v>
      </c>
      <c r="N16" s="54">
        <f>IF(M$11=0,"N.D.",M16/M$11)</f>
        <v>4.5674008822976127E-2</v>
      </c>
      <c r="O16" s="81">
        <f t="shared" ref="O16" si="37">+O42+O67</f>
        <v>0</v>
      </c>
      <c r="P16" s="54" t="str">
        <f>IF(O$11=0,"N.D.",O16/O$11)</f>
        <v>N.D.</v>
      </c>
      <c r="Q16" s="81">
        <f t="shared" ref="Q16" si="38">+Q42+Q67</f>
        <v>0</v>
      </c>
      <c r="R16" s="54" t="str">
        <f>IF(Q$11=0,"N.D.",Q16/Q$11)</f>
        <v>N.D.</v>
      </c>
      <c r="S16" s="81">
        <f t="shared" ref="S16" si="39">+S42+S67</f>
        <v>0</v>
      </c>
      <c r="T16" s="54" t="str">
        <f>IF(S$11=0,"N.D.",S16/S$11)</f>
        <v>N.D.</v>
      </c>
      <c r="U16" s="81">
        <f t="shared" ref="U16" si="40">+U42+U67</f>
        <v>0</v>
      </c>
      <c r="V16" s="54" t="str">
        <f>IF(U$11=0,"N.D.",U16/U$11)</f>
        <v>N.D.</v>
      </c>
      <c r="W16" s="81">
        <f t="shared" ref="W16" si="41">+W42+W67</f>
        <v>0</v>
      </c>
      <c r="X16" s="54" t="str">
        <f>IF(W$11=0,"N.D.",W16/W$11)</f>
        <v>N.D.</v>
      </c>
      <c r="Y16" s="81">
        <f t="shared" ref="Y16" si="42">+Y42+Y67</f>
        <v>0</v>
      </c>
      <c r="Z16" s="54" t="str">
        <f>IF(Y$11=0,"N.D.",Y16/Y$11)</f>
        <v>N.D.</v>
      </c>
      <c r="AA16" s="45">
        <f t="shared" si="11"/>
        <v>1621.3</v>
      </c>
      <c r="AB16" s="54">
        <f>IF(AA$11=0,"N.D.",AA16/AA$11)</f>
        <v>5.5274747850939755E-2</v>
      </c>
    </row>
    <row r="17" spans="2:28" x14ac:dyDescent="0.25">
      <c r="B17" s="41" t="s">
        <v>22</v>
      </c>
      <c r="C17" s="88">
        <f t="shared" si="22"/>
        <v>27.925000000000001</v>
      </c>
      <c r="D17" s="82">
        <f>IF(C$11=0,"N.D.",C17/C$11)</f>
        <v>6.7310988093969753E-3</v>
      </c>
      <c r="E17" s="88">
        <f t="shared" si="22"/>
        <v>27.925000000000001</v>
      </c>
      <c r="F17" s="82">
        <f>IF(E$11=0,"N.D.",E17/E$11)</f>
        <v>6.1101663540653771E-3</v>
      </c>
      <c r="G17" s="88">
        <f t="shared" ref="G17" si="43">+G43+G68</f>
        <v>27.925000000000001</v>
      </c>
      <c r="H17" s="82">
        <f>IF(G$11=0,"N.D.",G17/G$11)</f>
        <v>7.0624165882445479E-3</v>
      </c>
      <c r="I17" s="88">
        <f t="shared" ref="I17" si="44">+I43+I68</f>
        <v>27.925000000000001</v>
      </c>
      <c r="J17" s="82">
        <f>IF(I$11=0,"N.D.",I17/I$11)</f>
        <v>5.0883468202615502E-3</v>
      </c>
      <c r="K17" s="88">
        <f t="shared" ref="K17" si="45">+K43+K68</f>
        <v>27.925000000000001</v>
      </c>
      <c r="L17" s="59">
        <f>IF(K$11=0,"N.D.",K17/K$11)</f>
        <v>5.0883468202615502E-3</v>
      </c>
      <c r="M17" s="88">
        <f t="shared" ref="M17" si="46">+M43+M68</f>
        <v>27.925000000000001</v>
      </c>
      <c r="N17" s="59">
        <f>IF(M$11=0,"N.D.",M17/M$11)</f>
        <v>4.9140693368584405E-3</v>
      </c>
      <c r="O17" s="88">
        <f t="shared" ref="O17" si="47">+O43+O68</f>
        <v>0</v>
      </c>
      <c r="P17" s="59" t="str">
        <f>IF(O$11=0,"N.D.",O17/O$11)</f>
        <v>N.D.</v>
      </c>
      <c r="Q17" s="88">
        <f t="shared" ref="Q17" si="48">+Q43+Q68</f>
        <v>0</v>
      </c>
      <c r="R17" s="59" t="str">
        <f>IF(Q$11=0,"N.D.",Q17/Q$11)</f>
        <v>N.D.</v>
      </c>
      <c r="S17" s="88">
        <f t="shared" ref="S17" si="49">+S43+S68</f>
        <v>0</v>
      </c>
      <c r="T17" s="59" t="str">
        <f>IF(S$11=0,"N.D.",S17/S$11)</f>
        <v>N.D.</v>
      </c>
      <c r="U17" s="88">
        <f t="shared" ref="U17" si="50">+U43+U68</f>
        <v>0</v>
      </c>
      <c r="V17" s="59" t="str">
        <f>IF(U$11=0,"N.D.",U17/U$11)</f>
        <v>N.D.</v>
      </c>
      <c r="W17" s="88">
        <f t="shared" ref="W17" si="51">+W43+W68</f>
        <v>0</v>
      </c>
      <c r="X17" s="59" t="str">
        <f>IF(W$11=0,"N.D.",W17/W$11)</f>
        <v>N.D.</v>
      </c>
      <c r="Y17" s="88">
        <f t="shared" ref="Y17" si="52">+Y43+Y68</f>
        <v>0</v>
      </c>
      <c r="Z17" s="59" t="str">
        <f>IF(Y$11=0,"N.D.",Y17/Y$11)</f>
        <v>N.D.</v>
      </c>
      <c r="AA17" s="52">
        <f t="shared" si="11"/>
        <v>167.55</v>
      </c>
      <c r="AB17" s="59">
        <f>IF(AA$11=0,"N.D.",AA17/AA$11)</f>
        <v>5.7122580660118154E-3</v>
      </c>
    </row>
    <row r="18" spans="2:28" ht="13" x14ac:dyDescent="0.3">
      <c r="B18" s="47" t="s">
        <v>23</v>
      </c>
      <c r="C18" s="83">
        <f t="shared" si="22"/>
        <v>412.93299999999999</v>
      </c>
      <c r="D18" s="84">
        <f>IF(C$11=0,"N.D.",C18/C$11)</f>
        <v>9.9534210372810059E-2</v>
      </c>
      <c r="E18" s="83">
        <f t="shared" si="22"/>
        <v>387.77599999999995</v>
      </c>
      <c r="F18" s="84">
        <f>IF(E$11=0,"N.D.",E18/E$11)</f>
        <v>8.4847837712231172E-2</v>
      </c>
      <c r="G18" s="83">
        <f t="shared" ref="G18" si="53">+G44+G69</f>
        <v>452.99599999999998</v>
      </c>
      <c r="H18" s="84">
        <f>IF(G$11=0,"N.D.",G18/G$11)</f>
        <v>0.11456567465741904</v>
      </c>
      <c r="I18" s="83">
        <f t="shared" ref="I18" si="54">+I44+I69</f>
        <v>651.50199999999995</v>
      </c>
      <c r="J18" s="84">
        <f>IF(I$11=0,"N.D.",I18/I$11)</f>
        <v>0.11871327233998354</v>
      </c>
      <c r="K18" s="83">
        <f t="shared" ref="K18" si="55">+K44+K69</f>
        <v>651.50199999999995</v>
      </c>
      <c r="L18" s="55">
        <f>IF(K$11=0,"N.D.",K18/K$11)</f>
        <v>0.11871327233998354</v>
      </c>
      <c r="M18" s="83">
        <f t="shared" ref="M18" si="56">+M44+M69</f>
        <v>645.28600000000006</v>
      </c>
      <c r="N18" s="55">
        <f>IF(M$11=0,"N.D.",M18/M$11)</f>
        <v>0.11355345196433433</v>
      </c>
      <c r="O18" s="83">
        <f t="shared" ref="O18" si="57">+O44+O69</f>
        <v>0</v>
      </c>
      <c r="P18" s="55" t="str">
        <f>IF(O$11=0,"N.D.",O18/O$11)</f>
        <v>N.D.</v>
      </c>
      <c r="Q18" s="83">
        <f t="shared" ref="Q18" si="58">+Q44+Q69</f>
        <v>0</v>
      </c>
      <c r="R18" s="55" t="str">
        <f>IF(Q$11=0,"N.D.",Q18/Q$11)</f>
        <v>N.D.</v>
      </c>
      <c r="S18" s="83">
        <f t="shared" ref="S18" si="59">+S44+S69</f>
        <v>0</v>
      </c>
      <c r="T18" s="55" t="str">
        <f>IF(S$11=0,"N.D.",S18/S$11)</f>
        <v>N.D.</v>
      </c>
      <c r="U18" s="83">
        <f t="shared" ref="U18" si="60">+U44+U69</f>
        <v>0</v>
      </c>
      <c r="V18" s="55" t="str">
        <f>IF(U$11=0,"N.D.",U18/U$11)</f>
        <v>N.D.</v>
      </c>
      <c r="W18" s="83">
        <f t="shared" ref="W18" si="61">+W44+W69</f>
        <v>0</v>
      </c>
      <c r="X18" s="55" t="str">
        <f>IF(W$11=0,"N.D.",W18/W$11)</f>
        <v>N.D.</v>
      </c>
      <c r="Y18" s="83">
        <f t="shared" ref="Y18" si="62">+Y44+Y69</f>
        <v>0</v>
      </c>
      <c r="Z18" s="55" t="str">
        <f>IF(Y$11=0,"N.D.",Y18/Y$11)</f>
        <v>N.D.</v>
      </c>
      <c r="AA18" s="48">
        <f t="shared" si="11"/>
        <v>3201.9949999999999</v>
      </c>
      <c r="AB18" s="55">
        <f>IF(AA$11=0,"N.D.",AA18/AA$11)</f>
        <v>0.10916515527352731</v>
      </c>
    </row>
    <row r="19" spans="2:28" ht="13" x14ac:dyDescent="0.3">
      <c r="B19" s="47" t="s">
        <v>24</v>
      </c>
      <c r="C19" s="83">
        <f t="shared" si="22"/>
        <v>1136.22</v>
      </c>
      <c r="D19" s="84">
        <f>IF(C$11=0,"N.D.",C19/C$11)</f>
        <v>0.27387678027620521</v>
      </c>
      <c r="E19" s="83">
        <f t="shared" si="22"/>
        <v>1210.491</v>
      </c>
      <c r="F19" s="84">
        <f>IF(E$11=0,"N.D.",E19/E$11)</f>
        <v>0.26486307538402692</v>
      </c>
      <c r="G19" s="83">
        <f t="shared" ref="G19" si="63">+G45+G70</f>
        <v>1101.4850000000001</v>
      </c>
      <c r="H19" s="84">
        <f>IF(G$11=0,"N.D.",G19/G$11)</f>
        <v>0.27857281775121023</v>
      </c>
      <c r="I19" s="83">
        <f t="shared" ref="I19" si="64">+I45+I70</f>
        <v>1518.6529999999998</v>
      </c>
      <c r="J19" s="84">
        <f>IF(I$11=0,"N.D.",I19/I$11)</f>
        <v>0.27672097273520729</v>
      </c>
      <c r="K19" s="83">
        <f t="shared" ref="K19" si="65">+K45+K70</f>
        <v>1518.6529999999998</v>
      </c>
      <c r="L19" s="55">
        <f>IF(K$11=0,"N.D.",K19/K$11)</f>
        <v>0.27672097273520729</v>
      </c>
      <c r="M19" s="83">
        <f t="shared" ref="M19" si="66">+M45+M70</f>
        <v>1535.3019999999999</v>
      </c>
      <c r="N19" s="55">
        <f>IF(M$11=0,"N.D.",M19/M$11)</f>
        <v>0.27017298051987243</v>
      </c>
      <c r="O19" s="83">
        <f t="shared" ref="O19" si="67">+O45+O70</f>
        <v>0</v>
      </c>
      <c r="P19" s="55" t="str">
        <f>IF(O$11=0,"N.D.",O19/O$11)</f>
        <v>N.D.</v>
      </c>
      <c r="Q19" s="83">
        <f t="shared" ref="Q19" si="68">+Q45+Q70</f>
        <v>0</v>
      </c>
      <c r="R19" s="55" t="str">
        <f>IF(Q$11=0,"N.D.",Q19/Q$11)</f>
        <v>N.D.</v>
      </c>
      <c r="S19" s="83">
        <f t="shared" ref="S19" si="69">+S45+S70</f>
        <v>0</v>
      </c>
      <c r="T19" s="55" t="str">
        <f>IF(S$11=0,"N.D.",S19/S$11)</f>
        <v>N.D.</v>
      </c>
      <c r="U19" s="83">
        <f t="shared" ref="U19" si="70">+U45+U70</f>
        <v>0</v>
      </c>
      <c r="V19" s="55" t="str">
        <f>IF(U$11=0,"N.D.",U19/U$11)</f>
        <v>N.D.</v>
      </c>
      <c r="W19" s="83">
        <f t="shared" ref="W19" si="71">+W45+W70</f>
        <v>0</v>
      </c>
      <c r="X19" s="55" t="str">
        <f>IF(W$11=0,"N.D.",W19/W$11)</f>
        <v>N.D.</v>
      </c>
      <c r="Y19" s="83">
        <f t="shared" ref="Y19" si="72">+Y45+Y70</f>
        <v>0</v>
      </c>
      <c r="Z19" s="55" t="str">
        <f>IF(Y$11=0,"N.D.",Y19/Y$11)</f>
        <v>N.D.</v>
      </c>
      <c r="AA19" s="48">
        <f t="shared" si="11"/>
        <v>8020.804000000001</v>
      </c>
      <c r="AB19" s="55">
        <f>IF(AA$11=0,"N.D.",AA19/AA$11)</f>
        <v>0.27345211784482149</v>
      </c>
    </row>
    <row r="20" spans="2:28" x14ac:dyDescent="0.25">
      <c r="B20" s="41"/>
      <c r="C20" s="85"/>
      <c r="D20" s="86"/>
      <c r="E20" s="85"/>
      <c r="F20" s="86"/>
      <c r="G20" s="85"/>
      <c r="H20" s="86"/>
      <c r="I20" s="85"/>
      <c r="J20" s="86"/>
      <c r="K20" s="85"/>
      <c r="L20" s="60"/>
      <c r="M20" s="85"/>
      <c r="N20" s="60"/>
      <c r="O20" s="85"/>
      <c r="P20" s="60"/>
      <c r="Q20" s="85"/>
      <c r="R20" s="60"/>
      <c r="S20" s="85"/>
      <c r="T20" s="60"/>
      <c r="U20" s="85"/>
      <c r="V20" s="60"/>
      <c r="W20" s="85"/>
      <c r="X20" s="60"/>
      <c r="Y20" s="85"/>
      <c r="Z20" s="60"/>
      <c r="AA20" s="50"/>
      <c r="AB20" s="60"/>
    </row>
    <row r="21" spans="2:28" x14ac:dyDescent="0.25">
      <c r="B21" s="41" t="s">
        <v>25</v>
      </c>
      <c r="C21" s="79">
        <f t="shared" ref="C21:E27" si="73">+C47+C72</f>
        <v>-366.75</v>
      </c>
      <c r="D21" s="80">
        <f t="shared" ref="D21:D27" si="74">IF(C$11=0,"N.D.",C21/C$11)</f>
        <v>-8.8402166100137528E-2</v>
      </c>
      <c r="E21" s="79">
        <f t="shared" si="73"/>
        <v>-76.12</v>
      </c>
      <c r="F21" s="80">
        <f t="shared" ref="F21:F27" si="75">IF(E$11=0,"N.D.",E21/E$11)</f>
        <v>-1.6655536718762992E-2</v>
      </c>
      <c r="G21" s="79">
        <f t="shared" ref="G21" si="76">+G47+G72</f>
        <v>-65.594999999999999</v>
      </c>
      <c r="H21" s="80">
        <f t="shared" ref="H21:H27" si="77">IF(G$11=0,"N.D.",G21/G$11)</f>
        <v>-1.6589407917847847E-2</v>
      </c>
      <c r="I21" s="79">
        <f t="shared" ref="I21" si="78">+I47+I72</f>
        <v>17.349000000000004</v>
      </c>
      <c r="J21" s="80">
        <f t="shared" ref="J21:J27" si="79">IF(I$11=0,"N.D.",I21/I$11)</f>
        <v>3.161243652093739E-3</v>
      </c>
      <c r="K21" s="79">
        <f t="shared" ref="K21" si="80">+K47+K72</f>
        <v>17.349000000000004</v>
      </c>
      <c r="L21" s="53">
        <f t="shared" ref="L21:L27" si="81">IF(K$11=0,"N.D.",K21/K$11)</f>
        <v>3.161243652093739E-3</v>
      </c>
      <c r="M21" s="79">
        <f t="shared" ref="M21" si="82">+M47+M72</f>
        <v>-163.22</v>
      </c>
      <c r="N21" s="53">
        <f t="shared" ref="N21:N27" si="83">IF(M$11=0,"N.D.",M21/M$11)</f>
        <v>-2.8722449316456032E-2</v>
      </c>
      <c r="O21" s="79">
        <f t="shared" ref="O21" si="84">+O47+O72</f>
        <v>0</v>
      </c>
      <c r="P21" s="53" t="str">
        <f t="shared" ref="P21:P27" si="85">IF(O$11=0,"N.D.",O21/O$11)</f>
        <v>N.D.</v>
      </c>
      <c r="Q21" s="79">
        <f t="shared" ref="Q21" si="86">+Q47+Q72</f>
        <v>0</v>
      </c>
      <c r="R21" s="53" t="str">
        <f t="shared" ref="R21:R27" si="87">IF(Q$11=0,"N.D.",Q21/Q$11)</f>
        <v>N.D.</v>
      </c>
      <c r="S21" s="79">
        <f t="shared" ref="S21" si="88">+S47+S72</f>
        <v>0</v>
      </c>
      <c r="T21" s="53" t="str">
        <f t="shared" ref="T21:T27" si="89">IF(S$11=0,"N.D.",S21/S$11)</f>
        <v>N.D.</v>
      </c>
      <c r="U21" s="79">
        <f t="shared" ref="U21" si="90">+U47+U72</f>
        <v>0</v>
      </c>
      <c r="V21" s="53" t="str">
        <f t="shared" ref="V21:V27" si="91">IF(U$11=0,"N.D.",U21/U$11)</f>
        <v>N.D.</v>
      </c>
      <c r="W21" s="79">
        <f t="shared" ref="W21" si="92">+W47+W72</f>
        <v>0</v>
      </c>
      <c r="X21" s="53" t="str">
        <f t="shared" ref="X21:X27" si="93">IF(W$11=0,"N.D.",W21/W$11)</f>
        <v>N.D.</v>
      </c>
      <c r="Y21" s="79">
        <f t="shared" ref="Y21" si="94">+Y47+Y72</f>
        <v>0</v>
      </c>
      <c r="Z21" s="53" t="str">
        <f t="shared" ref="Z21:Z27" si="95">IF(Y$11=0,"N.D.",Y21/Y$11)</f>
        <v>N.D.</v>
      </c>
      <c r="AA21" s="42">
        <f t="shared" si="11"/>
        <v>-636.98699999999997</v>
      </c>
      <c r="AB21" s="53">
        <f t="shared" ref="AB21:AB27" si="96">IF(AA$11=0,"N.D.",AA21/AA$11)</f>
        <v>-2.1716706229153494E-2</v>
      </c>
    </row>
    <row r="22" spans="2:28" x14ac:dyDescent="0.25">
      <c r="B22" s="41" t="s">
        <v>26</v>
      </c>
      <c r="C22" s="81">
        <f t="shared" si="73"/>
        <v>-319.22800000000001</v>
      </c>
      <c r="D22" s="87">
        <f t="shared" si="74"/>
        <v>-7.6947366543462042E-2</v>
      </c>
      <c r="E22" s="81">
        <f t="shared" si="73"/>
        <v>0</v>
      </c>
      <c r="F22" s="87">
        <f t="shared" si="75"/>
        <v>0</v>
      </c>
      <c r="G22" s="81">
        <f t="shared" ref="G22" si="97">+G48+G73</f>
        <v>0</v>
      </c>
      <c r="H22" s="87">
        <f t="shared" si="77"/>
        <v>0</v>
      </c>
      <c r="I22" s="81">
        <f t="shared" ref="I22" si="98">+I48+I73</f>
        <v>134.14599999999999</v>
      </c>
      <c r="J22" s="87">
        <f t="shared" si="79"/>
        <v>2.4443379500476488E-2</v>
      </c>
      <c r="K22" s="81">
        <f t="shared" ref="K22" si="99">+K48+K73</f>
        <v>134.14599999999999</v>
      </c>
      <c r="L22" s="54">
        <f t="shared" si="81"/>
        <v>2.4443379500476488E-2</v>
      </c>
      <c r="M22" s="81">
        <f t="shared" ref="M22" si="100">+M48+M73</f>
        <v>-47.44</v>
      </c>
      <c r="N22" s="54">
        <f t="shared" si="83"/>
        <v>-8.3481987230282686E-3</v>
      </c>
      <c r="O22" s="81">
        <f t="shared" ref="O22" si="101">+O48+O73</f>
        <v>0</v>
      </c>
      <c r="P22" s="54" t="str">
        <f t="shared" si="85"/>
        <v>N.D.</v>
      </c>
      <c r="Q22" s="81">
        <f t="shared" ref="Q22" si="102">+Q48+Q73</f>
        <v>0</v>
      </c>
      <c r="R22" s="54" t="str">
        <f t="shared" si="87"/>
        <v>N.D.</v>
      </c>
      <c r="S22" s="81">
        <f t="shared" ref="S22" si="103">+S48+S73</f>
        <v>0</v>
      </c>
      <c r="T22" s="54" t="str">
        <f t="shared" si="89"/>
        <v>N.D.</v>
      </c>
      <c r="U22" s="81">
        <f t="shared" ref="U22" si="104">+U48+U73</f>
        <v>0</v>
      </c>
      <c r="V22" s="54" t="str">
        <f t="shared" si="91"/>
        <v>N.D.</v>
      </c>
      <c r="W22" s="81">
        <f t="shared" ref="W22" si="105">+W48+W73</f>
        <v>0</v>
      </c>
      <c r="X22" s="54" t="str">
        <f t="shared" si="93"/>
        <v>N.D.</v>
      </c>
      <c r="Y22" s="81">
        <f t="shared" ref="Y22" si="106">+Y48+Y73</f>
        <v>0</v>
      </c>
      <c r="Z22" s="54" t="str">
        <f t="shared" si="95"/>
        <v>N.D.</v>
      </c>
      <c r="AA22" s="45">
        <f t="shared" si="11"/>
        <v>-98.376000000000033</v>
      </c>
      <c r="AB22" s="54">
        <f t="shared" si="96"/>
        <v>-3.3539188272275651E-3</v>
      </c>
    </row>
    <row r="23" spans="2:28" x14ac:dyDescent="0.25">
      <c r="B23" s="41" t="s">
        <v>27</v>
      </c>
      <c r="C23" s="81">
        <f t="shared" si="73"/>
        <v>3</v>
      </c>
      <c r="D23" s="87">
        <f t="shared" si="74"/>
        <v>7.2312610306860968E-4</v>
      </c>
      <c r="E23" s="81">
        <f t="shared" si="73"/>
        <v>37.648000000000003</v>
      </c>
      <c r="F23" s="87">
        <f t="shared" si="75"/>
        <v>8.2376201574880341E-3</v>
      </c>
      <c r="G23" s="81">
        <f t="shared" ref="G23" si="107">+G49+G74</f>
        <v>47.19</v>
      </c>
      <c r="H23" s="87">
        <f t="shared" si="77"/>
        <v>1.1934662087708511E-2</v>
      </c>
      <c r="I23" s="81">
        <f t="shared" ref="I23" si="108">+I49+I74</f>
        <v>137.14599999999999</v>
      </c>
      <c r="J23" s="87">
        <f t="shared" si="79"/>
        <v>2.4990023742581576E-2</v>
      </c>
      <c r="K23" s="81">
        <f t="shared" ref="K23" si="109">+K49+K74</f>
        <v>137.14599999999999</v>
      </c>
      <c r="L23" s="54">
        <f t="shared" si="81"/>
        <v>2.4990023742581576E-2</v>
      </c>
      <c r="M23" s="81">
        <f t="shared" ref="M23" si="110">+M49+M74</f>
        <v>-44.44</v>
      </c>
      <c r="N23" s="54">
        <f t="shared" si="83"/>
        <v>-7.820277218620917E-3</v>
      </c>
      <c r="O23" s="81">
        <f t="shared" ref="O23" si="111">+O49+O74</f>
        <v>0</v>
      </c>
      <c r="P23" s="54" t="str">
        <f t="shared" si="85"/>
        <v>N.D.</v>
      </c>
      <c r="Q23" s="81">
        <f t="shared" ref="Q23" si="112">+Q49+Q74</f>
        <v>0</v>
      </c>
      <c r="R23" s="54" t="str">
        <f t="shared" si="87"/>
        <v>N.D.</v>
      </c>
      <c r="S23" s="81">
        <f t="shared" ref="S23" si="113">+S49+S74</f>
        <v>0</v>
      </c>
      <c r="T23" s="54" t="str">
        <f t="shared" si="89"/>
        <v>N.D.</v>
      </c>
      <c r="U23" s="81">
        <f t="shared" ref="U23" si="114">+U49+U74</f>
        <v>0</v>
      </c>
      <c r="V23" s="54" t="str">
        <f t="shared" si="91"/>
        <v>N.D.</v>
      </c>
      <c r="W23" s="81">
        <f t="shared" ref="W23" si="115">+W49+W74</f>
        <v>0</v>
      </c>
      <c r="X23" s="54" t="str">
        <f t="shared" si="93"/>
        <v>N.D.</v>
      </c>
      <c r="Y23" s="81">
        <f t="shared" ref="Y23" si="116">+Y49+Y74</f>
        <v>0</v>
      </c>
      <c r="Z23" s="54" t="str">
        <f t="shared" si="95"/>
        <v>N.D.</v>
      </c>
      <c r="AA23" s="45">
        <f t="shared" si="11"/>
        <v>317.69</v>
      </c>
      <c r="AB23" s="54">
        <f t="shared" si="96"/>
        <v>1.0830959504573521E-2</v>
      </c>
    </row>
    <row r="24" spans="2:28" x14ac:dyDescent="0.25">
      <c r="B24" s="41" t="s">
        <v>28</v>
      </c>
      <c r="C24" s="81">
        <f t="shared" si="73"/>
        <v>250</v>
      </c>
      <c r="D24" s="87">
        <f t="shared" si="74"/>
        <v>6.0260508589050805E-2</v>
      </c>
      <c r="E24" s="81">
        <f t="shared" si="73"/>
        <v>250</v>
      </c>
      <c r="F24" s="87">
        <f t="shared" si="75"/>
        <v>5.4701578818848497E-2</v>
      </c>
      <c r="G24" s="81">
        <f t="shared" ref="G24" si="117">+G50+G75</f>
        <v>250.30199999999999</v>
      </c>
      <c r="H24" s="87">
        <f t="shared" si="77"/>
        <v>6.3303025850341504E-2</v>
      </c>
      <c r="I24" s="81">
        <f t="shared" ref="I24" si="118">+I50+I75</f>
        <v>258.43</v>
      </c>
      <c r="J24" s="87">
        <f t="shared" si="79"/>
        <v>4.7089757162406175E-2</v>
      </c>
      <c r="K24" s="81">
        <f t="shared" ref="K24" si="119">+K50+K75</f>
        <v>258.43</v>
      </c>
      <c r="L24" s="54">
        <f t="shared" si="81"/>
        <v>4.7089757162406175E-2</v>
      </c>
      <c r="M24" s="81">
        <f t="shared" ref="M24" si="120">+M50+M75</f>
        <v>254.38200000000001</v>
      </c>
      <c r="N24" s="54">
        <f t="shared" si="83"/>
        <v>4.4764576044717064E-2</v>
      </c>
      <c r="O24" s="81">
        <f t="shared" ref="O24" si="121">+O50+O75</f>
        <v>0</v>
      </c>
      <c r="P24" s="54" t="str">
        <f t="shared" si="85"/>
        <v>N.D.</v>
      </c>
      <c r="Q24" s="81">
        <f t="shared" ref="Q24" si="122">+Q50+Q75</f>
        <v>0</v>
      </c>
      <c r="R24" s="54" t="str">
        <f t="shared" si="87"/>
        <v>N.D.</v>
      </c>
      <c r="S24" s="81">
        <f t="shared" ref="S24" si="123">+S50+S75</f>
        <v>0</v>
      </c>
      <c r="T24" s="54" t="str">
        <f t="shared" si="89"/>
        <v>N.D.</v>
      </c>
      <c r="U24" s="81">
        <f t="shared" ref="U24" si="124">+U50+U75</f>
        <v>0</v>
      </c>
      <c r="V24" s="54" t="str">
        <f t="shared" si="91"/>
        <v>N.D.</v>
      </c>
      <c r="W24" s="81">
        <f t="shared" ref="W24" si="125">+W50+W75</f>
        <v>0</v>
      </c>
      <c r="X24" s="54" t="str">
        <f t="shared" si="93"/>
        <v>N.D.</v>
      </c>
      <c r="Y24" s="81">
        <f t="shared" ref="Y24" si="126">+Y50+Y75</f>
        <v>0</v>
      </c>
      <c r="Z24" s="54" t="str">
        <f t="shared" si="95"/>
        <v>N.D.</v>
      </c>
      <c r="AA24" s="45">
        <f t="shared" si="11"/>
        <v>1521.5439999999999</v>
      </c>
      <c r="AB24" s="54">
        <f t="shared" si="96"/>
        <v>5.1873780882076274E-2</v>
      </c>
    </row>
    <row r="25" spans="2:28" x14ac:dyDescent="0.25">
      <c r="B25" s="41" t="s">
        <v>399</v>
      </c>
      <c r="C25" s="88">
        <f t="shared" si="73"/>
        <v>0</v>
      </c>
      <c r="D25" s="82">
        <f t="shared" si="74"/>
        <v>0</v>
      </c>
      <c r="E25" s="88">
        <f t="shared" si="73"/>
        <v>0</v>
      </c>
      <c r="F25" s="82">
        <f t="shared" si="75"/>
        <v>0</v>
      </c>
      <c r="G25" s="88">
        <f t="shared" ref="G25" si="127">+G51+G76</f>
        <v>0</v>
      </c>
      <c r="H25" s="82">
        <f t="shared" si="77"/>
        <v>0</v>
      </c>
      <c r="I25" s="88">
        <f t="shared" ref="I25" si="128">+I51+I76</f>
        <v>0</v>
      </c>
      <c r="J25" s="82">
        <f t="shared" si="79"/>
        <v>0</v>
      </c>
      <c r="K25" s="88">
        <f t="shared" ref="K25" si="129">+K51+K76</f>
        <v>0</v>
      </c>
      <c r="L25" s="59">
        <f t="shared" si="81"/>
        <v>0</v>
      </c>
      <c r="M25" s="88">
        <f t="shared" ref="M25" si="130">+M51+M76</f>
        <v>0</v>
      </c>
      <c r="N25" s="59">
        <f t="shared" si="83"/>
        <v>0</v>
      </c>
      <c r="O25" s="88">
        <f t="shared" ref="O25" si="131">+O51+O76</f>
        <v>0</v>
      </c>
      <c r="P25" s="59" t="str">
        <f t="shared" si="85"/>
        <v>N.D.</v>
      </c>
      <c r="Q25" s="88">
        <f t="shared" ref="Q25" si="132">+Q51+Q76</f>
        <v>0</v>
      </c>
      <c r="R25" s="59" t="str">
        <f t="shared" si="87"/>
        <v>N.D.</v>
      </c>
      <c r="S25" s="88">
        <f t="shared" ref="S25" si="133">+S51+S76</f>
        <v>0</v>
      </c>
      <c r="T25" s="59" t="str">
        <f t="shared" si="89"/>
        <v>N.D.</v>
      </c>
      <c r="U25" s="88">
        <f t="shared" ref="U25" si="134">+U51+U76</f>
        <v>0</v>
      </c>
      <c r="V25" s="59" t="str">
        <f t="shared" si="91"/>
        <v>N.D.</v>
      </c>
      <c r="W25" s="88">
        <f t="shared" ref="W25" si="135">+W51+W76</f>
        <v>0</v>
      </c>
      <c r="X25" s="59" t="str">
        <f t="shared" si="93"/>
        <v>N.D.</v>
      </c>
      <c r="Y25" s="88">
        <f t="shared" ref="Y25" si="136">+Y51+Y76</f>
        <v>0</v>
      </c>
      <c r="Z25" s="59" t="str">
        <f t="shared" si="95"/>
        <v>N.D.</v>
      </c>
      <c r="AA25" s="52">
        <f t="shared" si="11"/>
        <v>0</v>
      </c>
      <c r="AB25" s="59">
        <f t="shared" si="96"/>
        <v>0</v>
      </c>
    </row>
    <row r="26" spans="2:28" ht="13" x14ac:dyDescent="0.3">
      <c r="B26" s="47" t="s">
        <v>143</v>
      </c>
      <c r="C26" s="83">
        <f t="shared" si="73"/>
        <v>-932.97800000000007</v>
      </c>
      <c r="D26" s="84">
        <f t="shared" si="74"/>
        <v>-0.22488691512958178</v>
      </c>
      <c r="E26" s="83">
        <f t="shared" si="73"/>
        <v>-288.47199999999998</v>
      </c>
      <c r="F26" s="84">
        <f t="shared" si="75"/>
        <v>-6.3119495380123444E-2</v>
      </c>
      <c r="G26" s="83">
        <f t="shared" ref="G26" si="137">+G52+G77</f>
        <v>-268.70699999999999</v>
      </c>
      <c r="H26" s="84">
        <f t="shared" si="77"/>
        <v>-6.7957771680480838E-2</v>
      </c>
      <c r="I26" s="83">
        <f t="shared" ref="I26" si="138">+I52+I77</f>
        <v>30.211000000000013</v>
      </c>
      <c r="J26" s="84">
        <f t="shared" si="79"/>
        <v>5.5048897327456313E-3</v>
      </c>
      <c r="K26" s="83">
        <f t="shared" ref="K26" si="139">+K52+K77</f>
        <v>30.211000000000013</v>
      </c>
      <c r="L26" s="55">
        <f t="shared" si="81"/>
        <v>5.5048897327456313E-3</v>
      </c>
      <c r="M26" s="83">
        <f t="shared" ref="M26" si="140">+M52+M77</f>
        <v>-509.48199999999997</v>
      </c>
      <c r="N26" s="55">
        <f t="shared" si="83"/>
        <v>-8.965550130282228E-2</v>
      </c>
      <c r="O26" s="83">
        <f t="shared" ref="O26" si="141">+O52+O77</f>
        <v>0</v>
      </c>
      <c r="P26" s="55" t="str">
        <f t="shared" si="85"/>
        <v>N.D.</v>
      </c>
      <c r="Q26" s="83">
        <f t="shared" ref="Q26" si="142">+Q52+Q77</f>
        <v>0</v>
      </c>
      <c r="R26" s="55" t="str">
        <f t="shared" si="87"/>
        <v>N.D.</v>
      </c>
      <c r="S26" s="83">
        <f t="shared" ref="S26" si="143">+S52+S77</f>
        <v>0</v>
      </c>
      <c r="T26" s="55" t="str">
        <f t="shared" si="89"/>
        <v>N.D.</v>
      </c>
      <c r="U26" s="83">
        <f t="shared" ref="U26" si="144">+U52+U77</f>
        <v>0</v>
      </c>
      <c r="V26" s="55" t="str">
        <f t="shared" si="91"/>
        <v>N.D.</v>
      </c>
      <c r="W26" s="83">
        <f t="shared" ref="W26" si="145">+W52+W77</f>
        <v>0</v>
      </c>
      <c r="X26" s="55" t="str">
        <f t="shared" si="93"/>
        <v>N.D.</v>
      </c>
      <c r="Y26" s="83">
        <f t="shared" ref="Y26" si="146">+Y52+Y77</f>
        <v>0</v>
      </c>
      <c r="Z26" s="55" t="str">
        <f t="shared" si="95"/>
        <v>N.D.</v>
      </c>
      <c r="AA26" s="48">
        <f t="shared" si="11"/>
        <v>-1939.2170000000001</v>
      </c>
      <c r="AB26" s="55">
        <f t="shared" si="96"/>
        <v>-6.6113446433883824E-2</v>
      </c>
    </row>
    <row r="27" spans="2:28" ht="13" x14ac:dyDescent="0.3">
      <c r="B27" s="47" t="s">
        <v>29</v>
      </c>
      <c r="C27" s="83">
        <f t="shared" si="73"/>
        <v>2069.1979999999999</v>
      </c>
      <c r="D27" s="84">
        <f t="shared" si="74"/>
        <v>0.49876369540578697</v>
      </c>
      <c r="E27" s="83">
        <f t="shared" si="73"/>
        <v>1498.963</v>
      </c>
      <c r="F27" s="84">
        <f t="shared" si="75"/>
        <v>0.32798257076415038</v>
      </c>
      <c r="G27" s="83">
        <f t="shared" ref="G27" si="147">+G53+G78</f>
        <v>1370.192</v>
      </c>
      <c r="H27" s="84">
        <f t="shared" si="77"/>
        <v>0.34653058943169107</v>
      </c>
      <c r="I27" s="83">
        <f t="shared" ref="I27" si="148">+I53+I78</f>
        <v>1488.442</v>
      </c>
      <c r="J27" s="84">
        <f t="shared" si="79"/>
        <v>0.27121608300246169</v>
      </c>
      <c r="K27" s="83">
        <f t="shared" ref="K27" si="149">+K53+K78</f>
        <v>1488.442</v>
      </c>
      <c r="L27" s="55">
        <f t="shared" si="81"/>
        <v>0.27121608300246169</v>
      </c>
      <c r="M27" s="83">
        <f t="shared" ref="M27" si="150">+M53+M78</f>
        <v>2044.7839999999999</v>
      </c>
      <c r="N27" s="55">
        <f t="shared" si="83"/>
        <v>0.35982848182269472</v>
      </c>
      <c r="O27" s="83">
        <f t="shared" ref="O27" si="151">+O53+O78</f>
        <v>0</v>
      </c>
      <c r="P27" s="55" t="str">
        <f t="shared" si="85"/>
        <v>N.D.</v>
      </c>
      <c r="Q27" s="83">
        <f t="shared" ref="Q27" si="152">+Q53+Q78</f>
        <v>0</v>
      </c>
      <c r="R27" s="55" t="str">
        <f t="shared" si="87"/>
        <v>N.D.</v>
      </c>
      <c r="S27" s="83">
        <f t="shared" ref="S27" si="153">+S53+S78</f>
        <v>0</v>
      </c>
      <c r="T27" s="55" t="str">
        <f t="shared" si="89"/>
        <v>N.D.</v>
      </c>
      <c r="U27" s="83">
        <f t="shared" ref="U27" si="154">+U53+U78</f>
        <v>0</v>
      </c>
      <c r="V27" s="55" t="str">
        <f t="shared" si="91"/>
        <v>N.D.</v>
      </c>
      <c r="W27" s="83">
        <f t="shared" ref="W27" si="155">+W53+W78</f>
        <v>0</v>
      </c>
      <c r="X27" s="55" t="str">
        <f t="shared" si="93"/>
        <v>N.D.</v>
      </c>
      <c r="Y27" s="83">
        <f t="shared" ref="Y27" si="156">+Y53+Y78</f>
        <v>0</v>
      </c>
      <c r="Z27" s="55" t="str">
        <f t="shared" si="95"/>
        <v>N.D.</v>
      </c>
      <c r="AA27" s="48">
        <f t="shared" si="11"/>
        <v>9960.0209999999988</v>
      </c>
      <c r="AB27" s="55">
        <f t="shared" si="96"/>
        <v>0.33956556427870521</v>
      </c>
    </row>
    <row r="28" spans="2:28" x14ac:dyDescent="0.25">
      <c r="B28" s="41"/>
      <c r="C28" s="85"/>
      <c r="D28" s="86"/>
      <c r="E28" s="85"/>
      <c r="F28" s="86"/>
      <c r="G28" s="85"/>
      <c r="H28" s="86"/>
      <c r="I28" s="85"/>
      <c r="J28" s="86"/>
      <c r="K28" s="85"/>
      <c r="L28" s="60"/>
      <c r="M28" s="85"/>
      <c r="N28" s="60"/>
      <c r="O28" s="85"/>
      <c r="P28" s="60"/>
      <c r="Q28" s="85"/>
      <c r="R28" s="60"/>
      <c r="S28" s="85"/>
      <c r="T28" s="60"/>
      <c r="U28" s="85"/>
      <c r="V28" s="60"/>
      <c r="W28" s="85"/>
      <c r="X28" s="60"/>
      <c r="Y28" s="85"/>
      <c r="Z28" s="60"/>
      <c r="AA28" s="50"/>
      <c r="AB28" s="60"/>
    </row>
    <row r="29" spans="2:28" x14ac:dyDescent="0.25">
      <c r="B29" s="41" t="s">
        <v>398</v>
      </c>
      <c r="C29" s="79">
        <f t="shared" ref="C29:E32" si="157">+C55+C80</f>
        <v>65.185000000000002</v>
      </c>
      <c r="D29" s="80">
        <f>IF(C$11=0,"N.D.",C29/C$11)</f>
        <v>1.5712325009509108E-2</v>
      </c>
      <c r="E29" s="79">
        <f t="shared" si="157"/>
        <v>62.948</v>
      </c>
      <c r="F29" s="80">
        <f>IF(E$11=0,"N.D.",E29/E$11)</f>
        <v>1.37734199339555E-2</v>
      </c>
      <c r="G29" s="79">
        <f t="shared" ref="G29" si="158">+G55+G80</f>
        <v>67.435000000000002</v>
      </c>
      <c r="H29" s="80">
        <f>IF(G$11=0,"N.D.",G29/G$11)</f>
        <v>1.7054756047565661E-2</v>
      </c>
      <c r="I29" s="79">
        <f t="shared" ref="I29" si="159">+I55+I80</f>
        <v>102.792</v>
      </c>
      <c r="J29" s="80">
        <f>IF(I$11=0,"N.D.",I29/I$11)</f>
        <v>1.8730218311488821E-2</v>
      </c>
      <c r="K29" s="79">
        <f t="shared" ref="K29" si="160">+K55+K80</f>
        <v>102.792</v>
      </c>
      <c r="L29" s="53">
        <f>IF(K$11=0,"N.D.",K29/K$11)</f>
        <v>1.8730218311488821E-2</v>
      </c>
      <c r="M29" s="79">
        <f t="shared" ref="M29" si="161">+M55+M80</f>
        <v>103.181</v>
      </c>
      <c r="N29" s="53">
        <f>IF(M$11=0,"N.D.",M29/M$11)</f>
        <v>1.8157156248751683E-2</v>
      </c>
      <c r="O29" s="79">
        <f t="shared" ref="O29" si="162">+O55+O80</f>
        <v>0</v>
      </c>
      <c r="P29" s="53" t="str">
        <f>IF(O$11=0,"N.D.",O29/O$11)</f>
        <v>N.D.</v>
      </c>
      <c r="Q29" s="79">
        <f t="shared" ref="Q29" si="163">+Q55+Q80</f>
        <v>0</v>
      </c>
      <c r="R29" s="53" t="str">
        <f>IF(Q$11=0,"N.D.",Q29/Q$11)</f>
        <v>N.D.</v>
      </c>
      <c r="S29" s="79">
        <f t="shared" ref="S29" si="164">+S55+S80</f>
        <v>0</v>
      </c>
      <c r="T29" s="53" t="str">
        <f>IF(S$11=0,"N.D.",S29/S$11)</f>
        <v>N.D.</v>
      </c>
      <c r="U29" s="79">
        <f t="shared" ref="U29" si="165">+U55+U80</f>
        <v>0</v>
      </c>
      <c r="V29" s="53" t="str">
        <f>IF(U$11=0,"N.D.",U29/U$11)</f>
        <v>N.D.</v>
      </c>
      <c r="W29" s="79">
        <f t="shared" ref="W29" si="166">+W55+W80</f>
        <v>0</v>
      </c>
      <c r="X29" s="53" t="str">
        <f>IF(W$11=0,"N.D.",W29/W$11)</f>
        <v>N.D.</v>
      </c>
      <c r="Y29" s="79">
        <f t="shared" ref="Y29" si="167">+Y55+Y80</f>
        <v>0</v>
      </c>
      <c r="Z29" s="53" t="str">
        <f>IF(Y$11=0,"N.D.",Y29/Y$11)</f>
        <v>N.D.</v>
      </c>
      <c r="AA29" s="42">
        <f t="shared" si="11"/>
        <v>504.33299999999997</v>
      </c>
      <c r="AB29" s="53">
        <f>IF(AA$11=0,"N.D.",AA29/AA$11)</f>
        <v>1.7194152475117498E-2</v>
      </c>
    </row>
    <row r="30" spans="2:28" x14ac:dyDescent="0.25">
      <c r="B30" s="41" t="s">
        <v>396</v>
      </c>
      <c r="C30" s="88">
        <f t="shared" si="157"/>
        <v>0</v>
      </c>
      <c r="D30" s="82">
        <f>IF(C$11=0,"N.D.",C30/C$11)</f>
        <v>0</v>
      </c>
      <c r="E30" s="88">
        <f t="shared" si="157"/>
        <v>0</v>
      </c>
      <c r="F30" s="82">
        <f>IF(E$11=0,"N.D.",E30/E$11)</f>
        <v>0</v>
      </c>
      <c r="G30" s="88">
        <f t="shared" ref="G30" si="168">+G56+G81</f>
        <v>0</v>
      </c>
      <c r="H30" s="82">
        <f>IF(G$11=0,"N.D.",G30/G$11)</f>
        <v>0</v>
      </c>
      <c r="I30" s="88">
        <f t="shared" ref="I30" si="169">+I56+I81</f>
        <v>0</v>
      </c>
      <c r="J30" s="82">
        <f>IF(I$11=0,"N.D.",I30/I$11)</f>
        <v>0</v>
      </c>
      <c r="K30" s="88">
        <f t="shared" ref="K30" si="170">+K56+K81</f>
        <v>0</v>
      </c>
      <c r="L30" s="59">
        <f>IF(K$11=0,"N.D.",K30/K$11)</f>
        <v>0</v>
      </c>
      <c r="M30" s="88">
        <f t="shared" ref="M30" si="171">+M56+M81</f>
        <v>0</v>
      </c>
      <c r="N30" s="59">
        <f>IF(M$11=0,"N.D.",M30/M$11)</f>
        <v>0</v>
      </c>
      <c r="O30" s="88">
        <f t="shared" ref="O30" si="172">+O56+O81</f>
        <v>0</v>
      </c>
      <c r="P30" s="59" t="str">
        <f>IF(O$11=0,"N.D.",O30/O$11)</f>
        <v>N.D.</v>
      </c>
      <c r="Q30" s="88">
        <f t="shared" ref="Q30" si="173">+Q56+Q81</f>
        <v>0</v>
      </c>
      <c r="R30" s="59" t="str">
        <f>IF(Q$11=0,"N.D.",Q30/Q$11)</f>
        <v>N.D.</v>
      </c>
      <c r="S30" s="88">
        <f t="shared" ref="S30" si="174">+S56+S81</f>
        <v>0</v>
      </c>
      <c r="T30" s="59" t="str">
        <f>IF(S$11=0,"N.D.",S30/S$11)</f>
        <v>N.D.</v>
      </c>
      <c r="U30" s="88">
        <f t="shared" ref="U30" si="175">+U56+U81</f>
        <v>0</v>
      </c>
      <c r="V30" s="59" t="str">
        <f>IF(U$11=0,"N.D.",U30/U$11)</f>
        <v>N.D.</v>
      </c>
      <c r="W30" s="88">
        <f t="shared" ref="W30" si="176">+W56+W81</f>
        <v>0</v>
      </c>
      <c r="X30" s="59" t="str">
        <f>IF(W$11=0,"N.D.",W30/W$11)</f>
        <v>N.D.</v>
      </c>
      <c r="Y30" s="88">
        <f t="shared" ref="Y30" si="177">+Y56+Y81</f>
        <v>0</v>
      </c>
      <c r="Z30" s="59" t="str">
        <f>IF(Y$11=0,"N.D.",Y30/Y$11)</f>
        <v>N.D.</v>
      </c>
      <c r="AA30" s="52">
        <f t="shared" si="11"/>
        <v>0</v>
      </c>
      <c r="AB30" s="59">
        <f>IF(AA$11=0,"N.D.",AA30/AA$11)</f>
        <v>0</v>
      </c>
    </row>
    <row r="31" spans="2:28" ht="13" x14ac:dyDescent="0.3">
      <c r="B31" s="47" t="s">
        <v>30</v>
      </c>
      <c r="C31" s="83">
        <f t="shared" si="157"/>
        <v>2004.0129999999999</v>
      </c>
      <c r="D31" s="84">
        <f>IF(C$11=0,"N.D.",C31/C$11)</f>
        <v>0.48305137039627788</v>
      </c>
      <c r="E31" s="83">
        <f t="shared" si="157"/>
        <v>1436.0150000000001</v>
      </c>
      <c r="F31" s="84">
        <f>IF(E$11=0,"N.D.",E31/E$11)</f>
        <v>0.31420915083019491</v>
      </c>
      <c r="G31" s="83">
        <f t="shared" ref="G31" si="178">+G57+G82</f>
        <v>1302.7570000000001</v>
      </c>
      <c r="H31" s="84">
        <f>IF(G$11=0,"N.D.",G31/G$11)</f>
        <v>0.32947583338412545</v>
      </c>
      <c r="I31" s="83">
        <f t="shared" ref="I31" si="179">+I57+I82</f>
        <v>1385.65</v>
      </c>
      <c r="J31" s="84">
        <f>IF(I$11=0,"N.D.",I31/I$11)</f>
        <v>0.25248586469097289</v>
      </c>
      <c r="K31" s="83">
        <f t="shared" ref="K31" si="180">+K57+K82</f>
        <v>1385.65</v>
      </c>
      <c r="L31" s="55">
        <f>IF(K$11=0,"N.D.",K31/K$11)</f>
        <v>0.25248586469097289</v>
      </c>
      <c r="M31" s="83">
        <f t="shared" ref="M31" si="181">+M57+M82</f>
        <v>1941.6030000000001</v>
      </c>
      <c r="N31" s="55">
        <f>IF(M$11=0,"N.D.",M31/M$11)</f>
        <v>0.34167132557394303</v>
      </c>
      <c r="O31" s="83">
        <f t="shared" ref="O31" si="182">+O57+O82</f>
        <v>0</v>
      </c>
      <c r="P31" s="55" t="str">
        <f>IF(O$11=0,"N.D.",O31/O$11)</f>
        <v>N.D.</v>
      </c>
      <c r="Q31" s="83">
        <f t="shared" ref="Q31" si="183">+Q57+Q82</f>
        <v>0</v>
      </c>
      <c r="R31" s="55" t="str">
        <f>IF(Q$11=0,"N.D.",Q31/Q$11)</f>
        <v>N.D.</v>
      </c>
      <c r="S31" s="83">
        <f t="shared" ref="S31" si="184">+S57+S82</f>
        <v>0</v>
      </c>
      <c r="T31" s="55" t="str">
        <f>IF(S$11=0,"N.D.",S31/S$11)</f>
        <v>N.D.</v>
      </c>
      <c r="U31" s="83">
        <f t="shared" ref="U31" si="185">+U57+U82</f>
        <v>0</v>
      </c>
      <c r="V31" s="55" t="str">
        <f>IF(U$11=0,"N.D.",U31/U$11)</f>
        <v>N.D.</v>
      </c>
      <c r="W31" s="83">
        <f t="shared" ref="W31" si="186">+W57+W82</f>
        <v>0</v>
      </c>
      <c r="X31" s="55" t="str">
        <f>IF(W$11=0,"N.D.",W31/W$11)</f>
        <v>N.D.</v>
      </c>
      <c r="Y31" s="83">
        <f t="shared" ref="Y31" si="187">+Y57+Y82</f>
        <v>0</v>
      </c>
      <c r="Z31" s="55" t="str">
        <f>IF(Y$11=0,"N.D.",Y31/Y$11)</f>
        <v>N.D.</v>
      </c>
      <c r="AA31" s="48">
        <f t="shared" si="11"/>
        <v>9455.6880000000001</v>
      </c>
      <c r="AB31" s="55">
        <f>IF(AA$11=0,"N.D.",AA31/AA$11)</f>
        <v>0.32237141180358775</v>
      </c>
    </row>
    <row r="32" spans="2:28" ht="13" x14ac:dyDescent="0.3">
      <c r="B32" s="47" t="s">
        <v>31</v>
      </c>
      <c r="C32" s="83">
        <f t="shared" si="157"/>
        <v>1164.145</v>
      </c>
      <c r="D32" s="84">
        <f>IF(C$11=0,"N.D.",C32/C$11)</f>
        <v>0.2806078790856022</v>
      </c>
      <c r="E32" s="83">
        <f t="shared" si="157"/>
        <v>1238.4159999999999</v>
      </c>
      <c r="F32" s="84">
        <f>IF(E$11=0,"N.D.",E32/E$11)</f>
        <v>0.27097324173809229</v>
      </c>
      <c r="G32" s="83">
        <f t="shared" ref="G32" si="188">+G58+G83</f>
        <v>1129.4100000000001</v>
      </c>
      <c r="H32" s="84">
        <f>IF(G$11=0,"N.D.",G32/G$11)</f>
        <v>0.28563523433945481</v>
      </c>
      <c r="I32" s="83">
        <f t="shared" ref="I32" si="189">+I58+I83</f>
        <v>1546.578</v>
      </c>
      <c r="J32" s="84">
        <f>IF(I$11=0,"N.D.",I32/I$11)</f>
        <v>0.28180931955546884</v>
      </c>
      <c r="K32" s="83">
        <f t="shared" ref="K32" si="190">+K58+K83</f>
        <v>1546.578</v>
      </c>
      <c r="L32" s="55">
        <f>IF(K$11=0,"N.D.",K32/K$11)</f>
        <v>0.28180931955546884</v>
      </c>
      <c r="M32" s="83">
        <f t="shared" ref="M32" si="191">+M58+M83</f>
        <v>1563.2269999999999</v>
      </c>
      <c r="N32" s="55">
        <f>IF(M$11=0,"N.D.",M32/M$11)</f>
        <v>0.27508704985673088</v>
      </c>
      <c r="O32" s="83">
        <f t="shared" ref="O32" si="192">+O58+O83</f>
        <v>0</v>
      </c>
      <c r="P32" s="55" t="str">
        <f>IF(O$11=0,"N.D.",O32/O$11)</f>
        <v>N.D.</v>
      </c>
      <c r="Q32" s="83">
        <f t="shared" ref="Q32" si="193">+Q58+Q83</f>
        <v>0</v>
      </c>
      <c r="R32" s="55" t="str">
        <f>IF(Q$11=0,"N.D.",Q32/Q$11)</f>
        <v>N.D.</v>
      </c>
      <c r="S32" s="83">
        <f t="shared" ref="S32" si="194">+S58+S83</f>
        <v>0</v>
      </c>
      <c r="T32" s="55" t="str">
        <f>IF(S$11=0,"N.D.",S32/S$11)</f>
        <v>N.D.</v>
      </c>
      <c r="U32" s="83">
        <f t="shared" ref="U32" si="195">+U58+U83</f>
        <v>0</v>
      </c>
      <c r="V32" s="55" t="str">
        <f>IF(U$11=0,"N.D.",U32/U$11)</f>
        <v>N.D.</v>
      </c>
      <c r="W32" s="83">
        <f t="shared" ref="W32" si="196">+W58+W83</f>
        <v>0</v>
      </c>
      <c r="X32" s="55" t="str">
        <f>IF(W$11=0,"N.D.",W32/W$11)</f>
        <v>N.D.</v>
      </c>
      <c r="Y32" s="83">
        <f t="shared" ref="Y32" si="197">+Y58+Y83</f>
        <v>0</v>
      </c>
      <c r="Z32" s="55" t="str">
        <f>IF(Y$11=0,"N.D.",Y32/Y$11)</f>
        <v>N.D.</v>
      </c>
      <c r="AA32" s="48">
        <f t="shared" si="11"/>
        <v>8188.3539999999994</v>
      </c>
      <c r="AB32" s="55">
        <f>IF(AA$11=0,"N.D.",AA32/AA$11)</f>
        <v>0.27916437591083321</v>
      </c>
    </row>
    <row r="33" spans="2:29" x14ac:dyDescent="0.25">
      <c r="C33" s="106"/>
      <c r="D33" s="85"/>
      <c r="E33" s="106"/>
      <c r="F33" s="85"/>
      <c r="G33" s="106"/>
      <c r="H33" s="85"/>
      <c r="I33" s="106"/>
      <c r="J33" s="85"/>
      <c r="K33" s="89"/>
      <c r="L33" s="50"/>
      <c r="M33" s="89"/>
      <c r="N33" s="50"/>
      <c r="O33" s="89"/>
      <c r="P33" s="50"/>
      <c r="Q33" s="89"/>
      <c r="R33" s="50"/>
      <c r="S33" s="89"/>
      <c r="T33" s="50"/>
      <c r="U33" s="89"/>
      <c r="V33" s="50"/>
      <c r="W33" s="89"/>
      <c r="X33" s="50"/>
      <c r="Y33" s="89"/>
      <c r="Z33" s="50"/>
      <c r="AA33" s="89"/>
      <c r="AB33" s="50"/>
    </row>
    <row r="34" spans="2:29" x14ac:dyDescent="0.25">
      <c r="C34" s="76"/>
      <c r="D34" s="77"/>
      <c r="E34" s="76"/>
      <c r="F34" s="77"/>
      <c r="G34" s="76"/>
      <c r="H34" s="77"/>
      <c r="I34" s="76"/>
      <c r="J34" s="77"/>
    </row>
    <row r="35" spans="2:29" x14ac:dyDescent="0.25">
      <c r="B35" s="41"/>
      <c r="C35" s="85"/>
      <c r="D35" s="85"/>
      <c r="E35" s="85"/>
      <c r="F35" s="85"/>
      <c r="G35" s="85"/>
      <c r="H35" s="85"/>
      <c r="I35" s="85"/>
      <c r="J35" s="85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</row>
    <row r="36" spans="2:29" ht="13" x14ac:dyDescent="0.3">
      <c r="B36" s="194" t="s">
        <v>169</v>
      </c>
      <c r="C36" s="75" t="s">
        <v>171</v>
      </c>
      <c r="D36" s="90"/>
      <c r="E36" s="75" t="s">
        <v>172</v>
      </c>
      <c r="F36" s="90"/>
      <c r="G36" s="75" t="s">
        <v>173</v>
      </c>
      <c r="H36" s="90"/>
      <c r="I36" s="75" t="s">
        <v>174</v>
      </c>
      <c r="J36" s="90"/>
      <c r="K36" s="75" t="s">
        <v>175</v>
      </c>
      <c r="L36" s="90"/>
      <c r="M36" s="75" t="s">
        <v>176</v>
      </c>
      <c r="N36" s="90"/>
      <c r="O36" s="75" t="s">
        <v>177</v>
      </c>
      <c r="P36" s="90"/>
      <c r="Q36" s="75" t="s">
        <v>178</v>
      </c>
      <c r="R36" s="90"/>
      <c r="S36" s="75" t="s">
        <v>179</v>
      </c>
      <c r="T36" s="90"/>
      <c r="U36" s="75" t="s">
        <v>180</v>
      </c>
      <c r="V36" s="90"/>
      <c r="W36" s="75" t="s">
        <v>181</v>
      </c>
      <c r="X36" s="90"/>
      <c r="Y36" s="75" t="s">
        <v>182</v>
      </c>
      <c r="Z36" s="90"/>
      <c r="AA36" s="75" t="str">
        <f>+AA10</f>
        <v>Acum 2019</v>
      </c>
    </row>
    <row r="37" spans="2:29" x14ac:dyDescent="0.25">
      <c r="B37" s="41" t="str">
        <f>BDER!C9</f>
        <v xml:space="preserve">Ventas netas                            </v>
      </c>
      <c r="C37" s="79">
        <v>2031.692</v>
      </c>
      <c r="D37" s="96">
        <f>IF(C37=0,"N.D.",C37/C37)</f>
        <v>1</v>
      </c>
      <c r="E37" s="79">
        <v>1921.712</v>
      </c>
      <c r="F37" s="96">
        <f>IF(E37=0,"N.D.",E37/E37)</f>
        <v>1</v>
      </c>
      <c r="G37" s="79">
        <v>2125.9639999999999</v>
      </c>
      <c r="H37" s="96">
        <f>IF(G37=0,"N.D.",G37/G37)</f>
        <v>1</v>
      </c>
      <c r="I37" s="79">
        <v>3279.125</v>
      </c>
      <c r="J37" s="96">
        <f>IF(I37=0,"N.D.",I37/I37)</f>
        <v>1</v>
      </c>
      <c r="K37" s="79">
        <v>3279.125</v>
      </c>
      <c r="L37" s="43">
        <f>IF(K37=0,"N.D.",K37/K37)</f>
        <v>1</v>
      </c>
      <c r="M37" s="79">
        <v>3279.125</v>
      </c>
      <c r="N37" s="43">
        <f>IF(M37=0,"N.D.",M37/M37)</f>
        <v>1</v>
      </c>
      <c r="O37" s="79"/>
      <c r="P37" s="43" t="str">
        <f>IF(O37=0,"N.D.",O37/O37)</f>
        <v>N.D.</v>
      </c>
      <c r="Q37" s="79"/>
      <c r="R37" s="43" t="str">
        <f>IF(Q37=0,"N.D.",Q37/Q37)</f>
        <v>N.D.</v>
      </c>
      <c r="S37" s="79"/>
      <c r="T37" s="43" t="str">
        <f>IF(S37=0,"N.D.",S37/S37)</f>
        <v>N.D.</v>
      </c>
      <c r="U37" s="79"/>
      <c r="V37" s="43" t="str">
        <f>IF(U37=0,"N.D.",U37/U37)</f>
        <v>N.D.</v>
      </c>
      <c r="W37" s="79"/>
      <c r="X37" s="43" t="str">
        <f>IF(W37=0,"N.D.",W37/W37)</f>
        <v>N.D.</v>
      </c>
      <c r="Y37" s="79"/>
      <c r="Z37" s="43" t="str">
        <f>IF(Y37=0,"N.D.",Y37/Y37)</f>
        <v>N.D.</v>
      </c>
      <c r="AA37" s="42">
        <f>+Y37+W37+U37+S37+Q37+O37+M37+K37+I37+G37+E37+C37</f>
        <v>15916.742999999999</v>
      </c>
      <c r="AB37" s="43">
        <f>IF(AA37=0,"N.D.",AA37/AA37)</f>
        <v>1</v>
      </c>
    </row>
    <row r="38" spans="2:29" x14ac:dyDescent="0.25">
      <c r="B38" s="41" t="str">
        <f>BDER!C10</f>
        <v xml:space="preserve">Costo Directo                           </v>
      </c>
      <c r="C38" s="81">
        <v>881.45100000000002</v>
      </c>
      <c r="D38" s="97">
        <f>IF(C37=0,"N.D.",C38/C37)</f>
        <v>0.43385070177960045</v>
      </c>
      <c r="E38" s="81">
        <v>873.505</v>
      </c>
      <c r="F38" s="97">
        <f>IF(E37=0,"N.D.",E38/E37)</f>
        <v>0.45454521801393755</v>
      </c>
      <c r="G38" s="81">
        <v>1021.848</v>
      </c>
      <c r="H38" s="97">
        <f>IF(G37=0,"N.D.",G38/G37)</f>
        <v>0.48065160087376829</v>
      </c>
      <c r="I38" s="81">
        <v>1641.875</v>
      </c>
      <c r="J38" s="97">
        <f>IF(I37=0,"N.D.",I38/I37)</f>
        <v>0.50070521861777151</v>
      </c>
      <c r="K38" s="81">
        <v>1641.875</v>
      </c>
      <c r="L38" s="46">
        <f>IF(K37=0,"N.D.",K38/K37)</f>
        <v>0.50070521861777151</v>
      </c>
      <c r="M38" s="81">
        <v>1641.875</v>
      </c>
      <c r="N38" s="46">
        <f>IF(M37=0,"N.D.",M38/M37)</f>
        <v>0.50070521861777151</v>
      </c>
      <c r="O38" s="81"/>
      <c r="P38" s="46" t="str">
        <f>IF(O37=0,"N.D.",O38/O37)</f>
        <v>N.D.</v>
      </c>
      <c r="Q38" s="81"/>
      <c r="R38" s="46" t="str">
        <f>IF(Q37=0,"N.D.",Q38/Q37)</f>
        <v>N.D.</v>
      </c>
      <c r="S38" s="81"/>
      <c r="T38" s="46" t="str">
        <f>IF(S37=0,"N.D.",S38/S37)</f>
        <v>N.D.</v>
      </c>
      <c r="U38" s="81"/>
      <c r="V38" s="46" t="str">
        <f>IF(U37=0,"N.D.",U38/U37)</f>
        <v>N.D.</v>
      </c>
      <c r="W38" s="81"/>
      <c r="X38" s="46" t="str">
        <f>IF(W37=0,"N.D.",W38/W37)</f>
        <v>N.D.</v>
      </c>
      <c r="Y38" s="81"/>
      <c r="Z38" s="46" t="str">
        <f>IF(Y37=0,"N.D.",Y38/Y37)</f>
        <v>N.D.</v>
      </c>
      <c r="AA38" s="45">
        <f t="shared" ref="AA38:AA58" si="198">+Y38+W38+U38+S38+Q38+O38+M38+K38+I38+G38+E38+C38</f>
        <v>7702.4290000000001</v>
      </c>
      <c r="AB38" s="46">
        <f>IF(AA37=0,"N.D.",AA38/AA37)</f>
        <v>0.48391992004896989</v>
      </c>
    </row>
    <row r="39" spans="2:29" ht="13" x14ac:dyDescent="0.3">
      <c r="B39" s="47" t="str">
        <f>BDER!C11</f>
        <v xml:space="preserve">Contribucion Marginal                   </v>
      </c>
      <c r="C39" s="83">
        <v>1150.241</v>
      </c>
      <c r="D39" s="98">
        <f>IF(C37=0,"N.D.",C39/C37)</f>
        <v>0.5661492982203995</v>
      </c>
      <c r="E39" s="83">
        <v>1048.2070000000001</v>
      </c>
      <c r="F39" s="98">
        <f>IF(E37=0,"N.D.",E39/E37)</f>
        <v>0.54545478198606245</v>
      </c>
      <c r="G39" s="83">
        <v>1104.116</v>
      </c>
      <c r="H39" s="98">
        <f>IF(G37=0,"N.D.",G39/G37)</f>
        <v>0.51934839912623165</v>
      </c>
      <c r="I39" s="83">
        <v>1637.25</v>
      </c>
      <c r="J39" s="98">
        <f>IF(I37=0,"N.D.",I39/I37)</f>
        <v>0.49929478138222849</v>
      </c>
      <c r="K39" s="83">
        <v>1637.25</v>
      </c>
      <c r="L39" s="49">
        <f>IF(K37=0,"N.D.",K39/K37)</f>
        <v>0.49929478138222849</v>
      </c>
      <c r="M39" s="83">
        <v>1637.25</v>
      </c>
      <c r="N39" s="49">
        <f>IF(M37=0,"N.D.",M39/M37)</f>
        <v>0.49929478138222849</v>
      </c>
      <c r="O39" s="83"/>
      <c r="P39" s="49" t="str">
        <f>IF(O37=0,"N.D.",O39/O37)</f>
        <v>N.D.</v>
      </c>
      <c r="Q39" s="83"/>
      <c r="R39" s="49" t="str">
        <f>IF(Q37=0,"N.D.",Q39/Q37)</f>
        <v>N.D.</v>
      </c>
      <c r="S39" s="83"/>
      <c r="T39" s="49" t="str">
        <f>IF(S37=0,"N.D.",S39/S37)</f>
        <v>N.D.</v>
      </c>
      <c r="U39" s="83"/>
      <c r="V39" s="49" t="str">
        <f>IF(U37=0,"N.D.",U39/U37)</f>
        <v>N.D.</v>
      </c>
      <c r="W39" s="83"/>
      <c r="X39" s="49" t="str">
        <f>IF(W37=0,"N.D.",W39/W37)</f>
        <v>N.D.</v>
      </c>
      <c r="Y39" s="83"/>
      <c r="Z39" s="49" t="str">
        <f>IF(Y37=0,"N.D.",Y39/Y37)</f>
        <v>N.D.</v>
      </c>
      <c r="AA39" s="48">
        <f t="shared" si="198"/>
        <v>8214.3140000000003</v>
      </c>
      <c r="AB39" s="49">
        <f>IF(AA37=0,"N.D.",AA39/AA37)</f>
        <v>0.51608007995103022</v>
      </c>
    </row>
    <row r="40" spans="2:29" x14ac:dyDescent="0.25">
      <c r="B40" s="41"/>
      <c r="C40" s="85"/>
      <c r="D40" s="78"/>
      <c r="E40" s="85"/>
      <c r="F40" s="78"/>
      <c r="G40" s="85"/>
      <c r="H40" s="78"/>
      <c r="I40" s="85"/>
      <c r="J40" s="78"/>
      <c r="K40" s="85"/>
      <c r="L40" s="44"/>
      <c r="M40" s="85"/>
      <c r="N40" s="44"/>
      <c r="O40" s="85"/>
      <c r="P40" s="44"/>
      <c r="Q40" s="85"/>
      <c r="R40" s="44"/>
      <c r="S40" s="85"/>
      <c r="T40" s="44"/>
      <c r="U40" s="85"/>
      <c r="V40" s="44"/>
      <c r="W40" s="85"/>
      <c r="X40" s="44"/>
      <c r="Y40" s="85"/>
      <c r="Z40" s="44"/>
      <c r="AA40" s="50"/>
      <c r="AB40" s="44"/>
    </row>
    <row r="41" spans="2:29" x14ac:dyDescent="0.25">
      <c r="B41" s="41" t="str">
        <f>BDER!C12</f>
        <v xml:space="preserve">Gastos de Venta                         </v>
      </c>
      <c r="C41" s="79">
        <v>105.958</v>
      </c>
      <c r="D41" s="96">
        <f>IF(C37=0,"N.D.",C41/C37)</f>
        <v>5.2152590057941851E-2</v>
      </c>
      <c r="E41" s="79">
        <v>101.801</v>
      </c>
      <c r="F41" s="96">
        <f>IF(E37=0,"N.D.",E41/E37)</f>
        <v>5.2974118910638017E-2</v>
      </c>
      <c r="G41" s="79">
        <v>109.521</v>
      </c>
      <c r="H41" s="96">
        <f>IF(G37=0,"N.D.",G41/G37)</f>
        <v>5.1515924070210037E-2</v>
      </c>
      <c r="I41" s="79">
        <v>153.11099999999999</v>
      </c>
      <c r="J41" s="96">
        <f>IF(I37=0,"N.D.",I41/I37)</f>
        <v>4.6692639042427472E-2</v>
      </c>
      <c r="K41" s="79">
        <v>153.11099999999999</v>
      </c>
      <c r="L41" s="43">
        <f>IF(K37=0,"N.D.",K41/K37)</f>
        <v>4.6692639042427472E-2</v>
      </c>
      <c r="M41" s="79">
        <v>153.11099999999999</v>
      </c>
      <c r="N41" s="43">
        <f>IF(M37=0,"N.D.",M41/M37)</f>
        <v>4.6692639042427472E-2</v>
      </c>
      <c r="O41" s="79"/>
      <c r="P41" s="43" t="str">
        <f>IF(O37=0,"N.D.",O41/O37)</f>
        <v>N.D.</v>
      </c>
      <c r="Q41" s="79"/>
      <c r="R41" s="43" t="str">
        <f>IF(Q37=0,"N.D.",Q41/Q37)</f>
        <v>N.D.</v>
      </c>
      <c r="S41" s="79"/>
      <c r="T41" s="43" t="str">
        <f>IF(S37=0,"N.D.",S41/S37)</f>
        <v>N.D.</v>
      </c>
      <c r="U41" s="79"/>
      <c r="V41" s="43" t="str">
        <f>IF(U37=0,"N.D.",U41/U37)</f>
        <v>N.D.</v>
      </c>
      <c r="W41" s="79"/>
      <c r="X41" s="43" t="str">
        <f>IF(W37=0,"N.D.",W41/W37)</f>
        <v>N.D.</v>
      </c>
      <c r="Y41" s="79"/>
      <c r="Z41" s="43" t="str">
        <f>IF(Y37=0,"N.D.",Y41/Y37)</f>
        <v>N.D.</v>
      </c>
      <c r="AA41" s="42">
        <f t="shared" si="198"/>
        <v>776.61299999999994</v>
      </c>
      <c r="AB41" s="43">
        <f>IF(AA37=0,"N.D.",AA41/AA37)</f>
        <v>4.8792205792353376E-2</v>
      </c>
    </row>
    <row r="42" spans="2:29" x14ac:dyDescent="0.25">
      <c r="B42" s="41" t="str">
        <f>BDER!C13</f>
        <v xml:space="preserve">Gastos de Administracion                </v>
      </c>
      <c r="C42" s="81">
        <v>165</v>
      </c>
      <c r="D42" s="99">
        <f>IF(C37=0,"N.D.",C42/C37)</f>
        <v>8.1213097260805278E-2</v>
      </c>
      <c r="E42" s="81">
        <v>140</v>
      </c>
      <c r="F42" s="99">
        <f>IF(E37=0,"N.D.",E42/E37)</f>
        <v>7.2851707227721954E-2</v>
      </c>
      <c r="G42" s="81">
        <v>184</v>
      </c>
      <c r="H42" s="99">
        <f>IF(G37=0,"N.D.",G42/G37)</f>
        <v>8.6548972607250169E-2</v>
      </c>
      <c r="I42" s="81">
        <v>140</v>
      </c>
      <c r="J42" s="99">
        <f>IF(I37=0,"N.D.",I42/I37)</f>
        <v>4.2694316319140016E-2</v>
      </c>
      <c r="K42" s="81">
        <v>140</v>
      </c>
      <c r="L42" s="51">
        <f>IF(K37=0,"N.D.",K42/K37)</f>
        <v>4.2694316319140016E-2</v>
      </c>
      <c r="M42" s="81">
        <v>140</v>
      </c>
      <c r="N42" s="51">
        <f>IF(M37=0,"N.D.",M42/M37)</f>
        <v>4.2694316319140016E-2</v>
      </c>
      <c r="O42" s="81"/>
      <c r="P42" s="51" t="str">
        <f>IF(O37=0,"N.D.",O42/O37)</f>
        <v>N.D.</v>
      </c>
      <c r="Q42" s="81"/>
      <c r="R42" s="51" t="str">
        <f>IF(Q37=0,"N.D.",Q42/Q37)</f>
        <v>N.D.</v>
      </c>
      <c r="S42" s="81"/>
      <c r="T42" s="51" t="str">
        <f>IF(S37=0,"N.D.",S42/S37)</f>
        <v>N.D.</v>
      </c>
      <c r="U42" s="81"/>
      <c r="V42" s="51" t="str">
        <f>IF(U37=0,"N.D.",U42/U37)</f>
        <v>N.D.</v>
      </c>
      <c r="W42" s="81"/>
      <c r="X42" s="51" t="str">
        <f>IF(W37=0,"N.D.",W42/W37)</f>
        <v>N.D.</v>
      </c>
      <c r="Y42" s="81"/>
      <c r="Z42" s="51" t="str">
        <f>IF(Y37=0,"N.D.",Y42/Y37)</f>
        <v>N.D.</v>
      </c>
      <c r="AA42" s="45">
        <f t="shared" si="198"/>
        <v>909</v>
      </c>
      <c r="AB42" s="51">
        <f>IF(AA37=0,"N.D.",AA42/AA37)</f>
        <v>5.7109673756747852E-2</v>
      </c>
    </row>
    <row r="43" spans="2:29" x14ac:dyDescent="0.25">
      <c r="B43" s="41" t="str">
        <f>BDER!C14</f>
        <v xml:space="preserve">Depreciaciones y amortizacion           </v>
      </c>
      <c r="C43" s="88">
        <v>3.625</v>
      </c>
      <c r="D43" s="97">
        <f>IF(C37=0,"N.D.",C43/C37)</f>
        <v>1.784227136790419E-3</v>
      </c>
      <c r="E43" s="88">
        <v>3.625</v>
      </c>
      <c r="F43" s="97">
        <f>IF(E37=0,"N.D.",E43/E37)</f>
        <v>1.8863388478606575E-3</v>
      </c>
      <c r="G43" s="88">
        <v>3.625</v>
      </c>
      <c r="H43" s="97">
        <f>IF(G37=0,"N.D.",G43/G37)</f>
        <v>1.7051088353330537E-3</v>
      </c>
      <c r="I43" s="88">
        <v>3.625</v>
      </c>
      <c r="J43" s="97">
        <f>IF(I37=0,"N.D.",I43/I37)</f>
        <v>1.1054778332634468E-3</v>
      </c>
      <c r="K43" s="88">
        <v>3.625</v>
      </c>
      <c r="L43" s="46">
        <f>IF(K37=0,"N.D.",K43/K37)</f>
        <v>1.1054778332634468E-3</v>
      </c>
      <c r="M43" s="88">
        <v>3.625</v>
      </c>
      <c r="N43" s="46">
        <f>IF(M37=0,"N.D.",M43/M37)</f>
        <v>1.1054778332634468E-3</v>
      </c>
      <c r="O43" s="88"/>
      <c r="P43" s="46" t="str">
        <f>IF(O37=0,"N.D.",O43/O37)</f>
        <v>N.D.</v>
      </c>
      <c r="Q43" s="88"/>
      <c r="R43" s="46" t="str">
        <f>IF(Q37=0,"N.D.",Q43/Q37)</f>
        <v>N.D.</v>
      </c>
      <c r="S43" s="88"/>
      <c r="T43" s="46" t="str">
        <f>IF(S37=0,"N.D.",S43/S37)</f>
        <v>N.D.</v>
      </c>
      <c r="U43" s="88"/>
      <c r="V43" s="46" t="str">
        <f>IF(U37=0,"N.D.",U43/U37)</f>
        <v>N.D.</v>
      </c>
      <c r="W43" s="88"/>
      <c r="X43" s="46" t="str">
        <f>IF(W37=0,"N.D.",W43/W37)</f>
        <v>N.D.</v>
      </c>
      <c r="Y43" s="88"/>
      <c r="Z43" s="46" t="str">
        <f>IF(Y37=0,"N.D.",Y43/Y37)</f>
        <v>N.D.</v>
      </c>
      <c r="AA43" s="52">
        <f t="shared" si="198"/>
        <v>21.75</v>
      </c>
      <c r="AB43" s="46">
        <f>IF(AA37=0,"N.D.",AA43/AA37)</f>
        <v>1.3664855931895114E-3</v>
      </c>
    </row>
    <row r="44" spans="2:29" ht="13" x14ac:dyDescent="0.3">
      <c r="B44" s="47" t="str">
        <f>BDER!C15</f>
        <v xml:space="preserve">Gastos Totales                          </v>
      </c>
      <c r="C44" s="83">
        <v>274.58299999999997</v>
      </c>
      <c r="D44" s="98">
        <f>IF(C37=0,"N.D.",C44/C37)</f>
        <v>0.13514991445553753</v>
      </c>
      <c r="E44" s="83">
        <v>245.42599999999999</v>
      </c>
      <c r="F44" s="98">
        <f>IF(E37=0,"N.D.",E44/E37)</f>
        <v>0.12771216498622062</v>
      </c>
      <c r="G44" s="83">
        <v>297.14600000000002</v>
      </c>
      <c r="H44" s="98">
        <f>IF(G37=0,"N.D.",G44/G37)</f>
        <v>0.13977000551279326</v>
      </c>
      <c r="I44" s="83">
        <v>296.73599999999999</v>
      </c>
      <c r="J44" s="98">
        <f>IF(I37=0,"N.D.",I44/I37)</f>
        <v>9.049243319483094E-2</v>
      </c>
      <c r="K44" s="83">
        <v>296.73599999999999</v>
      </c>
      <c r="L44" s="49">
        <f>IF(K37=0,"N.D.",K44/K37)</f>
        <v>9.049243319483094E-2</v>
      </c>
      <c r="M44" s="83">
        <v>296.73599999999999</v>
      </c>
      <c r="N44" s="49">
        <f>IF(M37=0,"N.D.",M44/M37)</f>
        <v>9.049243319483094E-2</v>
      </c>
      <c r="O44" s="83"/>
      <c r="P44" s="49" t="str">
        <f>IF(O37=0,"N.D.",O44/O37)</f>
        <v>N.D.</v>
      </c>
      <c r="Q44" s="83"/>
      <c r="R44" s="49" t="str">
        <f>IF(Q37=0,"N.D.",Q44/Q37)</f>
        <v>N.D.</v>
      </c>
      <c r="S44" s="83"/>
      <c r="T44" s="49" t="str">
        <f>IF(S37=0,"N.D.",S44/S37)</f>
        <v>N.D.</v>
      </c>
      <c r="U44" s="83"/>
      <c r="V44" s="49" t="str">
        <f>IF(U37=0,"N.D.",U44/U37)</f>
        <v>N.D.</v>
      </c>
      <c r="W44" s="83"/>
      <c r="X44" s="49" t="str">
        <f>IF(W37=0,"N.D.",W44/W37)</f>
        <v>N.D.</v>
      </c>
      <c r="Y44" s="83"/>
      <c r="Z44" s="49" t="str">
        <f>IF(Y37=0,"N.D.",Y44/Y37)</f>
        <v>N.D.</v>
      </c>
      <c r="AA44" s="48">
        <f t="shared" si="198"/>
        <v>1707.3629999999998</v>
      </c>
      <c r="AB44" s="49">
        <f>IF(AA37=0,"N.D.",AA44/AA37)</f>
        <v>0.10726836514229073</v>
      </c>
    </row>
    <row r="45" spans="2:29" ht="13" x14ac:dyDescent="0.3">
      <c r="B45" s="47" t="str">
        <f>BDER!C16</f>
        <v xml:space="preserve">U.A.F.I.R.                              </v>
      </c>
      <c r="C45" s="83">
        <v>875.65800000000002</v>
      </c>
      <c r="D45" s="98">
        <f>IF(C37=0,"N.D.",C45/C37)</f>
        <v>0.43099938376486202</v>
      </c>
      <c r="E45" s="83">
        <v>802.78099999999995</v>
      </c>
      <c r="F45" s="98">
        <f>IF(E37=0,"N.D.",E45/E37)</f>
        <v>0.41774261699984178</v>
      </c>
      <c r="G45" s="83">
        <v>806.97</v>
      </c>
      <c r="H45" s="98">
        <f>IF(G37=0,"N.D.",G45/G37)</f>
        <v>0.37957839361343843</v>
      </c>
      <c r="I45" s="83">
        <v>1340.5139999999999</v>
      </c>
      <c r="J45" s="98">
        <f>IF(I37=0,"N.D.",I45/I37)</f>
        <v>0.40880234818739752</v>
      </c>
      <c r="K45" s="83">
        <v>1340.5139999999999</v>
      </c>
      <c r="L45" s="49">
        <f>IF(K37=0,"N.D.",K45/K37)</f>
        <v>0.40880234818739752</v>
      </c>
      <c r="M45" s="83">
        <v>1340.5139999999999</v>
      </c>
      <c r="N45" s="49">
        <f>IF(M37=0,"N.D.",M45/M37)</f>
        <v>0.40880234818739752</v>
      </c>
      <c r="O45" s="83"/>
      <c r="P45" s="49" t="str">
        <f>IF(O37=0,"N.D.",O45/O37)</f>
        <v>N.D.</v>
      </c>
      <c r="Q45" s="83"/>
      <c r="R45" s="49" t="str">
        <f>IF(Q37=0,"N.D.",Q45/Q37)</f>
        <v>N.D.</v>
      </c>
      <c r="S45" s="83"/>
      <c r="T45" s="49" t="str">
        <f>IF(S37=0,"N.D.",S45/S37)</f>
        <v>N.D.</v>
      </c>
      <c r="U45" s="83"/>
      <c r="V45" s="49" t="str">
        <f>IF(U37=0,"N.D.",U45/U37)</f>
        <v>N.D.</v>
      </c>
      <c r="W45" s="83"/>
      <c r="X45" s="49" t="str">
        <f>IF(W37=0,"N.D.",W45/W37)</f>
        <v>N.D.</v>
      </c>
      <c r="Y45" s="83"/>
      <c r="Z45" s="49" t="str">
        <f>IF(Y37=0,"N.D.",Y45/Y37)</f>
        <v>N.D.</v>
      </c>
      <c r="AA45" s="48">
        <f t="shared" si="198"/>
        <v>6506.951</v>
      </c>
      <c r="AB45" s="49">
        <f>IF(AA37=0,"N.D.",AA45/AA37)</f>
        <v>0.40881171480873951</v>
      </c>
    </row>
    <row r="46" spans="2:29" x14ac:dyDescent="0.25">
      <c r="B46" s="41"/>
      <c r="C46" s="85"/>
      <c r="D46" s="78"/>
      <c r="E46" s="85"/>
      <c r="F46" s="78"/>
      <c r="G46" s="85"/>
      <c r="H46" s="78"/>
      <c r="I46" s="85"/>
      <c r="J46" s="78"/>
      <c r="K46" s="85"/>
      <c r="L46" s="44"/>
      <c r="M46" s="85"/>
      <c r="N46" s="44"/>
      <c r="O46" s="85"/>
      <c r="P46" s="44"/>
      <c r="Q46" s="85"/>
      <c r="R46" s="44"/>
      <c r="S46" s="85"/>
      <c r="T46" s="44"/>
      <c r="U46" s="85"/>
      <c r="V46" s="44"/>
      <c r="W46" s="85"/>
      <c r="X46" s="44"/>
      <c r="Y46" s="85"/>
      <c r="Z46" s="44"/>
      <c r="AA46" s="50"/>
      <c r="AB46" s="44"/>
    </row>
    <row r="47" spans="2:29" x14ac:dyDescent="0.25">
      <c r="B47" s="41" t="str">
        <f>BDER!C17</f>
        <v xml:space="preserve">Perdida o Utilidad Cambiaria            </v>
      </c>
      <c r="C47" s="79">
        <v>-93</v>
      </c>
      <c r="D47" s="100">
        <f>IF(C37=0,"N.D.",C47/C37)</f>
        <v>-4.5774654819726611E-2</v>
      </c>
      <c r="E47" s="79">
        <v>-93</v>
      </c>
      <c r="F47" s="100">
        <f>IF(E37=0,"N.D.",E47/E37)</f>
        <v>-4.8394348372701006E-2</v>
      </c>
      <c r="G47" s="79">
        <v>-93</v>
      </c>
      <c r="H47" s="100">
        <f>IF(G37=0,"N.D.",G47/G37)</f>
        <v>-4.3744861154751444E-2</v>
      </c>
      <c r="I47" s="79">
        <v>-93</v>
      </c>
      <c r="J47" s="100">
        <f>IF(I37=0,"N.D.",I47/I37)</f>
        <v>-2.8361224412000154E-2</v>
      </c>
      <c r="K47" s="79">
        <v>-93</v>
      </c>
      <c r="L47" s="56">
        <f>IF(K37=0,"N.D.",K47/K37)</f>
        <v>-2.8361224412000154E-2</v>
      </c>
      <c r="M47" s="79">
        <v>-93</v>
      </c>
      <c r="N47" s="56">
        <f>IF(M37=0,"N.D.",M47/M37)</f>
        <v>-2.8361224412000154E-2</v>
      </c>
      <c r="O47" s="79"/>
      <c r="P47" s="56" t="str">
        <f>IF(O37=0,"N.D.",O47/O37)</f>
        <v>N.D.</v>
      </c>
      <c r="Q47" s="79"/>
      <c r="R47" s="56" t="str">
        <f>IF(Q37=0,"N.D.",Q47/Q37)</f>
        <v>N.D.</v>
      </c>
      <c r="S47" s="79"/>
      <c r="T47" s="56" t="str">
        <f>IF(S37=0,"N.D.",S47/S37)</f>
        <v>N.D.</v>
      </c>
      <c r="U47" s="79"/>
      <c r="V47" s="56" t="str">
        <f>IF(U37=0,"N.D.",U47/U37)</f>
        <v>N.D.</v>
      </c>
      <c r="W47" s="79"/>
      <c r="X47" s="56" t="str">
        <f>IF(W37=0,"N.D.",W47/W37)</f>
        <v>N.D.</v>
      </c>
      <c r="Y47" s="79"/>
      <c r="Z47" s="56" t="str">
        <f>IF(Y37=0,"N.D.",Y47/Y37)</f>
        <v>N.D.</v>
      </c>
      <c r="AA47" s="42">
        <f t="shared" si="198"/>
        <v>-558</v>
      </c>
      <c r="AB47" s="56">
        <f>IF(AA37=0,"N.D.",AA47/AA37)</f>
        <v>-3.5057423494241256E-2</v>
      </c>
      <c r="AC47" s="91"/>
    </row>
    <row r="48" spans="2:29" x14ac:dyDescent="0.25">
      <c r="B48" s="41" t="str">
        <f>BDER!C18</f>
        <v xml:space="preserve">Otros Gastos y Otros ingresos           </v>
      </c>
      <c r="C48" s="81">
        <v>0</v>
      </c>
      <c r="D48" s="101">
        <f>IF(C37=0,"N.D.",C48/C37)</f>
        <v>0</v>
      </c>
      <c r="E48" s="81">
        <v>0</v>
      </c>
      <c r="F48" s="101">
        <f>IF(E37=0,"N.D.",E48/E37)</f>
        <v>0</v>
      </c>
      <c r="G48" s="81">
        <v>0</v>
      </c>
      <c r="H48" s="101">
        <f>IF(G37=0,"N.D.",G48/G37)</f>
        <v>0</v>
      </c>
      <c r="I48" s="81">
        <v>0</v>
      </c>
      <c r="J48" s="101">
        <f>IF(I37=0,"N.D.",I48/I37)</f>
        <v>0</v>
      </c>
      <c r="K48" s="81">
        <v>0</v>
      </c>
      <c r="L48" s="57">
        <f>IF(K37=0,"N.D.",K48/K37)</f>
        <v>0</v>
      </c>
      <c r="M48" s="81">
        <v>0</v>
      </c>
      <c r="N48" s="57">
        <f>IF(M37=0,"N.D.",M48/M37)</f>
        <v>0</v>
      </c>
      <c r="O48" s="81"/>
      <c r="P48" s="57" t="str">
        <f>IF(O37=0,"N.D.",O48/O37)</f>
        <v>N.D.</v>
      </c>
      <c r="Q48" s="81"/>
      <c r="R48" s="57" t="str">
        <f>IF(Q37=0,"N.D.",Q48/Q37)</f>
        <v>N.D.</v>
      </c>
      <c r="S48" s="81"/>
      <c r="T48" s="57" t="str">
        <f>IF(S37=0,"N.D.",S48/S37)</f>
        <v>N.D.</v>
      </c>
      <c r="U48" s="81"/>
      <c r="V48" s="57" t="str">
        <f>IF(U37=0,"N.D.",U48/U37)</f>
        <v>N.D.</v>
      </c>
      <c r="W48" s="81"/>
      <c r="X48" s="57" t="str">
        <f>IF(W37=0,"N.D.",W48/W37)</f>
        <v>N.D.</v>
      </c>
      <c r="Y48" s="81"/>
      <c r="Z48" s="57" t="str">
        <f>IF(Y37=0,"N.D.",Y48/Y37)</f>
        <v>N.D.</v>
      </c>
      <c r="AA48" s="45">
        <f t="shared" si="198"/>
        <v>0</v>
      </c>
      <c r="AB48" s="57">
        <f>IF(AA37=0,"N.D.",AA48/AA37)</f>
        <v>0</v>
      </c>
      <c r="AC48" s="91"/>
    </row>
    <row r="49" spans="2:29" x14ac:dyDescent="0.25">
      <c r="B49" s="41" t="str">
        <f>BDER!C19</f>
        <v xml:space="preserve">Gastos financieros                      </v>
      </c>
      <c r="C49" s="81">
        <v>3</v>
      </c>
      <c r="D49" s="101">
        <f>IF(C37=0,"N.D.",C49/C37)</f>
        <v>1.4766017683782778E-3</v>
      </c>
      <c r="E49" s="81">
        <v>3</v>
      </c>
      <c r="F49" s="101">
        <f>IF(E37=0,"N.D.",E49/E37)</f>
        <v>1.5611080120226132E-3</v>
      </c>
      <c r="G49" s="81">
        <v>3</v>
      </c>
      <c r="H49" s="101">
        <f>IF(G37=0,"N.D.",G49/G37)</f>
        <v>1.4111245533790788E-3</v>
      </c>
      <c r="I49" s="81">
        <v>3</v>
      </c>
      <c r="J49" s="101">
        <f>IF(I37=0,"N.D.",I49/I37)</f>
        <v>9.148782068387146E-4</v>
      </c>
      <c r="K49" s="81">
        <v>3</v>
      </c>
      <c r="L49" s="57">
        <f>IF(K37=0,"N.D.",K49/K37)</f>
        <v>9.148782068387146E-4</v>
      </c>
      <c r="M49" s="81">
        <v>3</v>
      </c>
      <c r="N49" s="57">
        <f>IF(M37=0,"N.D.",M49/M37)</f>
        <v>9.148782068387146E-4</v>
      </c>
      <c r="O49" s="81"/>
      <c r="P49" s="57" t="str">
        <f>IF(O37=0,"N.D.",O49/O37)</f>
        <v>N.D.</v>
      </c>
      <c r="Q49" s="81"/>
      <c r="R49" s="57" t="str">
        <f>IF(Q37=0,"N.D.",Q49/Q37)</f>
        <v>N.D.</v>
      </c>
      <c r="S49" s="81"/>
      <c r="T49" s="57" t="str">
        <f>IF(S37=0,"N.D.",S49/S37)</f>
        <v>N.D.</v>
      </c>
      <c r="U49" s="81"/>
      <c r="V49" s="57" t="str">
        <f>IF(U37=0,"N.D.",U49/U37)</f>
        <v>N.D.</v>
      </c>
      <c r="W49" s="81"/>
      <c r="X49" s="57" t="str">
        <f>IF(W37=0,"N.D.",W49/W37)</f>
        <v>N.D.</v>
      </c>
      <c r="Y49" s="81"/>
      <c r="Z49" s="57" t="str">
        <f>IF(Y37=0,"N.D.",Y49/Y37)</f>
        <v>N.D.</v>
      </c>
      <c r="AA49" s="45">
        <f t="shared" si="198"/>
        <v>18</v>
      </c>
      <c r="AB49" s="57">
        <f>IF(AA37=0,"N.D.",AA49/AA37)</f>
        <v>1.1308846288464922E-3</v>
      </c>
      <c r="AC49" s="91"/>
    </row>
    <row r="50" spans="2:29" x14ac:dyDescent="0.25">
      <c r="B50" s="41" t="str">
        <f>BDER!C20</f>
        <v xml:space="preserve">Productos financieros                   </v>
      </c>
      <c r="C50" s="81">
        <v>250</v>
      </c>
      <c r="D50" s="101">
        <f>IF(C37=0,"N.D.",C50/C37)</f>
        <v>0.12305014736485648</v>
      </c>
      <c r="E50" s="81">
        <v>250</v>
      </c>
      <c r="F50" s="101">
        <f>IF(E37=0,"N.D.",E50/E37)</f>
        <v>0.13009233433521777</v>
      </c>
      <c r="G50" s="81">
        <v>250</v>
      </c>
      <c r="H50" s="101">
        <f>IF(G37=0,"N.D.",G50/G37)</f>
        <v>0.11759371278158991</v>
      </c>
      <c r="I50" s="81">
        <v>250</v>
      </c>
      <c r="J50" s="101">
        <f>IF(I37=0,"N.D.",I50/I37)</f>
        <v>7.6239850569892881E-2</v>
      </c>
      <c r="K50" s="81">
        <v>250</v>
      </c>
      <c r="L50" s="57">
        <f>IF(K37=0,"N.D.",K50/K37)</f>
        <v>7.6239850569892881E-2</v>
      </c>
      <c r="M50" s="81">
        <v>250</v>
      </c>
      <c r="N50" s="57">
        <f>IF(M37=0,"N.D.",M50/M37)</f>
        <v>7.6239850569892881E-2</v>
      </c>
      <c r="O50" s="81"/>
      <c r="P50" s="57" t="str">
        <f>IF(O37=0,"N.D.",O50/O37)</f>
        <v>N.D.</v>
      </c>
      <c r="Q50" s="81"/>
      <c r="R50" s="57" t="str">
        <f>IF(Q37=0,"N.D.",Q50/Q37)</f>
        <v>N.D.</v>
      </c>
      <c r="S50" s="81"/>
      <c r="T50" s="57" t="str">
        <f>IF(S37=0,"N.D.",S50/S37)</f>
        <v>N.D.</v>
      </c>
      <c r="U50" s="81"/>
      <c r="V50" s="57" t="str">
        <f>IF(U37=0,"N.D.",U50/U37)</f>
        <v>N.D.</v>
      </c>
      <c r="W50" s="81"/>
      <c r="X50" s="57" t="str">
        <f>IF(W37=0,"N.D.",W50/W37)</f>
        <v>N.D.</v>
      </c>
      <c r="Y50" s="81"/>
      <c r="Z50" s="57" t="str">
        <f>IF(Y37=0,"N.D.",Y50/Y37)</f>
        <v>N.D.</v>
      </c>
      <c r="AA50" s="45">
        <f t="shared" si="198"/>
        <v>1500</v>
      </c>
      <c r="AB50" s="57">
        <f>IF(AA37=0,"N.D.",AA50/AA37)</f>
        <v>9.424038573720768E-2</v>
      </c>
      <c r="AC50" s="91"/>
    </row>
    <row r="51" spans="2:29" x14ac:dyDescent="0.25">
      <c r="B51" s="41" t="str">
        <f>BDER!C21</f>
        <v xml:space="preserve">REPOMO                                  </v>
      </c>
      <c r="C51" s="88">
        <v>0</v>
      </c>
      <c r="D51" s="102">
        <f>IF(C37=0,"N.D.",C51/C37)</f>
        <v>0</v>
      </c>
      <c r="E51" s="88">
        <v>0</v>
      </c>
      <c r="F51" s="102">
        <f>IF(E37=0,"N.D.",E51/E37)</f>
        <v>0</v>
      </c>
      <c r="G51" s="88">
        <v>0</v>
      </c>
      <c r="H51" s="102">
        <f>IF(G37=0,"N.D.",G51/G37)</f>
        <v>0</v>
      </c>
      <c r="I51" s="88">
        <v>0</v>
      </c>
      <c r="J51" s="102">
        <f>IF(I37=0,"N.D.",I51/I37)</f>
        <v>0</v>
      </c>
      <c r="K51" s="88">
        <v>0</v>
      </c>
      <c r="L51" s="58">
        <f>IF(K37=0,"N.D.",K51/K37)</f>
        <v>0</v>
      </c>
      <c r="M51" s="88">
        <v>0</v>
      </c>
      <c r="N51" s="58">
        <f>IF(M37=0,"N.D.",M51/M37)</f>
        <v>0</v>
      </c>
      <c r="O51" s="88"/>
      <c r="P51" s="58" t="str">
        <f>IF(O37=0,"N.D.",O51/O37)</f>
        <v>N.D.</v>
      </c>
      <c r="Q51" s="88"/>
      <c r="R51" s="58" t="str">
        <f>IF(Q37=0,"N.D.",Q51/Q37)</f>
        <v>N.D.</v>
      </c>
      <c r="S51" s="88"/>
      <c r="T51" s="58" t="str">
        <f>IF(S37=0,"N.D.",S51/S37)</f>
        <v>N.D.</v>
      </c>
      <c r="U51" s="88"/>
      <c r="V51" s="58" t="str">
        <f>IF(U37=0,"N.D.",U51/U37)</f>
        <v>N.D.</v>
      </c>
      <c r="W51" s="88"/>
      <c r="X51" s="58" t="str">
        <f>IF(W37=0,"N.D.",W51/W37)</f>
        <v>N.D.</v>
      </c>
      <c r="Y51" s="88"/>
      <c r="Z51" s="58" t="str">
        <f>IF(Y37=0,"N.D.",Y51/Y37)</f>
        <v>N.D.</v>
      </c>
      <c r="AA51" s="52">
        <f t="shared" si="198"/>
        <v>0</v>
      </c>
      <c r="AB51" s="58">
        <f>IF(AA37=0,"N.D.",AA51/AA37)</f>
        <v>0</v>
      </c>
      <c r="AC51" s="91"/>
    </row>
    <row r="52" spans="2:29" ht="13" x14ac:dyDescent="0.3">
      <c r="B52" s="47" t="str">
        <f>BDER!C22</f>
        <v xml:space="preserve">Costo Integral de Financiamiento        </v>
      </c>
      <c r="C52" s="83">
        <v>-340</v>
      </c>
      <c r="D52" s="98">
        <f>IF(C37=0,"N.D.",C52/C37)</f>
        <v>-0.16734820041620482</v>
      </c>
      <c r="E52" s="83">
        <v>-340</v>
      </c>
      <c r="F52" s="98">
        <f>IF(E37=0,"N.D.",E52/E37)</f>
        <v>-0.17692557469589615</v>
      </c>
      <c r="G52" s="83">
        <v>-340</v>
      </c>
      <c r="H52" s="98">
        <f>IF(G37=0,"N.D.",G52/G37)</f>
        <v>-0.15992744938296227</v>
      </c>
      <c r="I52" s="83">
        <v>-340</v>
      </c>
      <c r="J52" s="98">
        <f>IF(I37=0,"N.D.",I52/I37)</f>
        <v>-0.10368619677505432</v>
      </c>
      <c r="K52" s="83">
        <v>-340</v>
      </c>
      <c r="L52" s="49">
        <f>IF(K37=0,"N.D.",K52/K37)</f>
        <v>-0.10368619677505432</v>
      </c>
      <c r="M52" s="83">
        <v>-340</v>
      </c>
      <c r="N52" s="49">
        <f>IF(M37=0,"N.D.",M52/M37)</f>
        <v>-0.10368619677505432</v>
      </c>
      <c r="O52" s="83"/>
      <c r="P52" s="49" t="str">
        <f>IF(O37=0,"N.D.",O52/O37)</f>
        <v>N.D.</v>
      </c>
      <c r="Q52" s="83"/>
      <c r="R52" s="49" t="str">
        <f>IF(Q37=0,"N.D.",Q52/Q37)</f>
        <v>N.D.</v>
      </c>
      <c r="S52" s="83"/>
      <c r="T52" s="49" t="str">
        <f>IF(S37=0,"N.D.",S52/S37)</f>
        <v>N.D.</v>
      </c>
      <c r="U52" s="83"/>
      <c r="V52" s="49" t="str">
        <f>IF(U37=0,"N.D.",U52/U37)</f>
        <v>N.D.</v>
      </c>
      <c r="W52" s="83"/>
      <c r="X52" s="49" t="str">
        <f>IF(W37=0,"N.D.",W52/W37)</f>
        <v>N.D.</v>
      </c>
      <c r="Y52" s="83"/>
      <c r="Z52" s="49" t="str">
        <f>IF(Y37=0,"N.D.",Y52/Y37)</f>
        <v>N.D.</v>
      </c>
      <c r="AA52" s="48">
        <f t="shared" si="198"/>
        <v>-2040</v>
      </c>
      <c r="AB52" s="49">
        <f>IF(AA37=0,"N.D.",AA52/AA37)</f>
        <v>-0.12816692460260243</v>
      </c>
    </row>
    <row r="53" spans="2:29" ht="13" x14ac:dyDescent="0.3">
      <c r="B53" s="47" t="str">
        <f>BDER!C23</f>
        <v xml:space="preserve">U.A.I.R.                                </v>
      </c>
      <c r="C53" s="83">
        <v>1215.6579999999999</v>
      </c>
      <c r="D53" s="98">
        <f>IF(C37=0,"N.D.",C53/C37)</f>
        <v>0.59834758418106682</v>
      </c>
      <c r="E53" s="83">
        <v>1142.7809999999999</v>
      </c>
      <c r="F53" s="98">
        <f>IF(E37=0,"N.D.",E53/E37)</f>
        <v>0.59466819169573792</v>
      </c>
      <c r="G53" s="83">
        <v>1146.97</v>
      </c>
      <c r="H53" s="98">
        <f>IF(G37=0,"N.D.",G53/G37)</f>
        <v>0.5395058429964007</v>
      </c>
      <c r="I53" s="83">
        <v>1680.5139999999999</v>
      </c>
      <c r="J53" s="98">
        <f>IF(I37=0,"N.D.",I53/I37)</f>
        <v>0.51248854496245189</v>
      </c>
      <c r="K53" s="83">
        <v>1680.5139999999999</v>
      </c>
      <c r="L53" s="49">
        <f>IF(K37=0,"N.D.",K53/K37)</f>
        <v>0.51248854496245189</v>
      </c>
      <c r="M53" s="83">
        <v>1680.5139999999999</v>
      </c>
      <c r="N53" s="49">
        <f>IF(M37=0,"N.D.",M53/M37)</f>
        <v>0.51248854496245189</v>
      </c>
      <c r="O53" s="83"/>
      <c r="P53" s="49" t="str">
        <f>IF(O37=0,"N.D.",O53/O37)</f>
        <v>N.D.</v>
      </c>
      <c r="Q53" s="83"/>
      <c r="R53" s="49" t="str">
        <f>IF(Q37=0,"N.D.",Q53/Q37)</f>
        <v>N.D.</v>
      </c>
      <c r="S53" s="83"/>
      <c r="T53" s="49" t="str">
        <f>IF(S37=0,"N.D.",S53/S37)</f>
        <v>N.D.</v>
      </c>
      <c r="U53" s="83"/>
      <c r="V53" s="49" t="str">
        <f>IF(U37=0,"N.D.",U53/U37)</f>
        <v>N.D.</v>
      </c>
      <c r="W53" s="83"/>
      <c r="X53" s="49" t="str">
        <f>IF(W37=0,"N.D.",W53/W37)</f>
        <v>N.D.</v>
      </c>
      <c r="Y53" s="83"/>
      <c r="Z53" s="49" t="str">
        <f>IF(Y37=0,"N.D.",Y53/Y37)</f>
        <v>N.D.</v>
      </c>
      <c r="AA53" s="48">
        <f t="shared" si="198"/>
        <v>8546.9509999999991</v>
      </c>
      <c r="AB53" s="49">
        <f>IF(AA37=0,"N.D.",AA53/AA37)</f>
        <v>0.53697863941134183</v>
      </c>
    </row>
    <row r="54" spans="2:29" x14ac:dyDescent="0.25">
      <c r="B54" s="41"/>
      <c r="C54" s="85"/>
      <c r="D54" s="78"/>
      <c r="E54" s="85"/>
      <c r="F54" s="78"/>
      <c r="G54" s="85"/>
      <c r="H54" s="78"/>
      <c r="I54" s="85"/>
      <c r="J54" s="78"/>
      <c r="K54" s="85"/>
      <c r="L54" s="44"/>
      <c r="M54" s="85"/>
      <c r="N54" s="44"/>
      <c r="O54" s="85"/>
      <c r="P54" s="44"/>
      <c r="Q54" s="85"/>
      <c r="R54" s="44"/>
      <c r="S54" s="85"/>
      <c r="T54" s="44"/>
      <c r="U54" s="85"/>
      <c r="V54" s="44"/>
      <c r="W54" s="85"/>
      <c r="X54" s="44"/>
      <c r="Y54" s="85"/>
      <c r="Z54" s="44"/>
      <c r="AA54" s="50"/>
      <c r="AB54" s="44"/>
    </row>
    <row r="55" spans="2:29" x14ac:dyDescent="0.25">
      <c r="B55" s="41" t="str">
        <f>BDER!C24</f>
        <v xml:space="preserve">I.S.R. e I.A.                           </v>
      </c>
      <c r="C55" s="79">
        <v>60.951000000000001</v>
      </c>
      <c r="D55" s="100">
        <f>IF(C37=0,"N.D.",C55/C37)</f>
        <v>3.0000118128141469E-2</v>
      </c>
      <c r="E55" s="79">
        <v>57.651000000000003</v>
      </c>
      <c r="F55" s="100">
        <f>IF(E37=0,"N.D.",E55/E37)</f>
        <v>2.9999812667038561E-2</v>
      </c>
      <c r="G55" s="79">
        <v>63.779000000000003</v>
      </c>
      <c r="H55" s="100">
        <f>IF(G37=0,"N.D.",G55/G37)</f>
        <v>3.0000037629988093E-2</v>
      </c>
      <c r="I55" s="79">
        <v>98.373999999999995</v>
      </c>
      <c r="J55" s="100">
        <f>IF(I37=0,"N.D.",I55/I37)</f>
        <v>3.0000076239850567E-2</v>
      </c>
      <c r="K55" s="79">
        <v>98.373999999999995</v>
      </c>
      <c r="L55" s="56">
        <f>IF(K37=0,"N.D.",K55/K37)</f>
        <v>3.0000076239850567E-2</v>
      </c>
      <c r="M55" s="79">
        <v>98.373999999999995</v>
      </c>
      <c r="N55" s="56">
        <f>IF(M37=0,"N.D.",M55/M37)</f>
        <v>3.0000076239850567E-2</v>
      </c>
      <c r="O55" s="79"/>
      <c r="P55" s="56" t="str">
        <f>IF(O37=0,"N.D.",O55/O37)</f>
        <v>N.D.</v>
      </c>
      <c r="Q55" s="79"/>
      <c r="R55" s="56" t="str">
        <f>IF(Q37=0,"N.D.",Q55/Q37)</f>
        <v>N.D.</v>
      </c>
      <c r="S55" s="79"/>
      <c r="T55" s="56" t="str">
        <f>IF(S37=0,"N.D.",S55/S37)</f>
        <v>N.D.</v>
      </c>
      <c r="U55" s="79"/>
      <c r="V55" s="56" t="str">
        <f>IF(U37=0,"N.D.",U55/U37)</f>
        <v>N.D.</v>
      </c>
      <c r="W55" s="79"/>
      <c r="X55" s="56" t="str">
        <f>IF(W37=0,"N.D.",W55/W37)</f>
        <v>N.D.</v>
      </c>
      <c r="Y55" s="79"/>
      <c r="Z55" s="56" t="str">
        <f>IF(Y37=0,"N.D.",Y55/Y37)</f>
        <v>N.D.</v>
      </c>
      <c r="AA55" s="42">
        <f t="shared" si="198"/>
        <v>477.50299999999999</v>
      </c>
      <c r="AB55" s="56">
        <f>IF(AA37=0,"N.D.",AA55/AA37)</f>
        <v>3.0000044607115917E-2</v>
      </c>
      <c r="AC55" s="91"/>
    </row>
    <row r="56" spans="2:29" x14ac:dyDescent="0.25">
      <c r="B56" s="41" t="str">
        <f>BDER!C25</f>
        <v xml:space="preserve">P.T.U.                                  </v>
      </c>
      <c r="C56" s="88">
        <v>0</v>
      </c>
      <c r="D56" s="102">
        <f>IF(C37=0,"N.D.",C56/C37)</f>
        <v>0</v>
      </c>
      <c r="E56" s="88">
        <v>0</v>
      </c>
      <c r="F56" s="102">
        <f>IF(E37=0,"N.D.",E56/E37)</f>
        <v>0</v>
      </c>
      <c r="G56" s="88">
        <v>0</v>
      </c>
      <c r="H56" s="102">
        <f>IF(G37=0,"N.D.",G56/G37)</f>
        <v>0</v>
      </c>
      <c r="I56" s="88">
        <v>0</v>
      </c>
      <c r="J56" s="102">
        <f>IF(I37=0,"N.D.",I56/I37)</f>
        <v>0</v>
      </c>
      <c r="K56" s="88">
        <v>0</v>
      </c>
      <c r="L56" s="58">
        <f>IF(K37=0,"N.D.",K56/K37)</f>
        <v>0</v>
      </c>
      <c r="M56" s="88">
        <v>0</v>
      </c>
      <c r="N56" s="58">
        <f>IF(M37=0,"N.D.",M56/M37)</f>
        <v>0</v>
      </c>
      <c r="O56" s="88"/>
      <c r="P56" s="58" t="str">
        <f>IF(O37=0,"N.D.",O56/O37)</f>
        <v>N.D.</v>
      </c>
      <c r="Q56" s="88"/>
      <c r="R56" s="58" t="str">
        <f>IF(Q37=0,"N.D.",Q56/Q37)</f>
        <v>N.D.</v>
      </c>
      <c r="S56" s="88"/>
      <c r="T56" s="58" t="str">
        <f>IF(S37=0,"N.D.",S56/S37)</f>
        <v>N.D.</v>
      </c>
      <c r="U56" s="88"/>
      <c r="V56" s="58" t="str">
        <f>IF(U37=0,"N.D.",U56/U37)</f>
        <v>N.D.</v>
      </c>
      <c r="W56" s="88"/>
      <c r="X56" s="58" t="str">
        <f>IF(W37=0,"N.D.",W56/W37)</f>
        <v>N.D.</v>
      </c>
      <c r="Y56" s="88"/>
      <c r="Z56" s="58" t="str">
        <f>IF(Y37=0,"N.D.",Y56/Y37)</f>
        <v>N.D.</v>
      </c>
      <c r="AA56" s="52">
        <f t="shared" si="198"/>
        <v>0</v>
      </c>
      <c r="AB56" s="58">
        <f>IF(AA37=0,"N.D.",AA56/AA37)</f>
        <v>0</v>
      </c>
      <c r="AC56" s="91"/>
    </row>
    <row r="57" spans="2:29" ht="13" x14ac:dyDescent="0.3">
      <c r="B57" s="47" t="str">
        <f>BDER!C26</f>
        <v xml:space="preserve">Utilidad Neta                           </v>
      </c>
      <c r="C57" s="83">
        <v>1154.7069999999999</v>
      </c>
      <c r="D57" s="98">
        <f>IF(C37=0,"N.D.",C57/C37)</f>
        <v>0.5683474660529253</v>
      </c>
      <c r="E57" s="83">
        <v>1085.1300000000001</v>
      </c>
      <c r="F57" s="98">
        <f>IF(E37=0,"N.D.",E57/E37)</f>
        <v>0.56466837902869949</v>
      </c>
      <c r="G57" s="83">
        <v>1083.191</v>
      </c>
      <c r="H57" s="98">
        <f>IF(G37=0,"N.D.",G57/G37)</f>
        <v>0.50950580536641266</v>
      </c>
      <c r="I57" s="83">
        <v>1582.14</v>
      </c>
      <c r="J57" s="98">
        <f>IF(I37=0,"N.D.",I57/I37)</f>
        <v>0.48248846872260132</v>
      </c>
      <c r="K57" s="83">
        <v>1582.14</v>
      </c>
      <c r="L57" s="49">
        <f>IF(K37=0,"N.D.",K57/K37)</f>
        <v>0.48248846872260132</v>
      </c>
      <c r="M57" s="83">
        <v>1582.14</v>
      </c>
      <c r="N57" s="49">
        <f>IF(M37=0,"N.D.",M57/M37)</f>
        <v>0.48248846872260132</v>
      </c>
      <c r="O57" s="83"/>
      <c r="P57" s="49" t="str">
        <f>IF(O37=0,"N.D.",O57/O37)</f>
        <v>N.D.</v>
      </c>
      <c r="Q57" s="83"/>
      <c r="R57" s="49" t="str">
        <f>IF(Q37=0,"N.D.",Q57/Q37)</f>
        <v>N.D.</v>
      </c>
      <c r="S57" s="83"/>
      <c r="T57" s="49" t="str">
        <f>IF(S37=0,"N.D.",S57/S37)</f>
        <v>N.D.</v>
      </c>
      <c r="U57" s="83"/>
      <c r="V57" s="49" t="str">
        <f>IF(U37=0,"N.D.",U57/U37)</f>
        <v>N.D.</v>
      </c>
      <c r="W57" s="83"/>
      <c r="X57" s="49" t="str">
        <f>IF(W37=0,"N.D.",W57/W37)</f>
        <v>N.D.</v>
      </c>
      <c r="Y57" s="83"/>
      <c r="Z57" s="49" t="str">
        <f>IF(Y37=0,"N.D.",Y57/Y37)</f>
        <v>N.D.</v>
      </c>
      <c r="AA57" s="48">
        <f t="shared" si="198"/>
        <v>8069.4480000000003</v>
      </c>
      <c r="AB57" s="49">
        <f>IF(AA37=0,"N.D.",AA57/AA37)</f>
        <v>0.50697859480422602</v>
      </c>
    </row>
    <row r="58" spans="2:29" ht="13" x14ac:dyDescent="0.3">
      <c r="B58" s="47" t="str">
        <f>BDER!C27</f>
        <v xml:space="preserve">U.A.F.I.R Flujo                         </v>
      </c>
      <c r="C58" s="83">
        <v>879.28300000000002</v>
      </c>
      <c r="D58" s="98">
        <f>IF(C37=0,"N.D.",C58/C37)</f>
        <v>0.4327836109016524</v>
      </c>
      <c r="E58" s="83">
        <v>806.40599999999995</v>
      </c>
      <c r="F58" s="98">
        <f>IF(E37=0,"N.D.",E58/E37)</f>
        <v>0.41962895584770243</v>
      </c>
      <c r="G58" s="83">
        <v>810.59500000000003</v>
      </c>
      <c r="H58" s="98">
        <f>IF(G37=0,"N.D.",G58/G37)</f>
        <v>0.38128350244877152</v>
      </c>
      <c r="I58" s="83">
        <v>1344.1389999999999</v>
      </c>
      <c r="J58" s="98">
        <f>IF(I37=0,"N.D.",I58/I37)</f>
        <v>0.40990782602066095</v>
      </c>
      <c r="K58" s="83">
        <v>1344.1389999999999</v>
      </c>
      <c r="L58" s="49">
        <f>IF(K37=0,"N.D.",K58/K37)</f>
        <v>0.40990782602066095</v>
      </c>
      <c r="M58" s="83">
        <v>1344.1389999999999</v>
      </c>
      <c r="N58" s="49">
        <f>IF(M37=0,"N.D.",M58/M37)</f>
        <v>0.40990782602066095</v>
      </c>
      <c r="O58" s="83"/>
      <c r="P58" s="49" t="str">
        <f>IF(O37=0,"N.D.",O58/O37)</f>
        <v>N.D.</v>
      </c>
      <c r="Q58" s="83"/>
      <c r="R58" s="49" t="str">
        <f>IF(Q37=0,"N.D.",Q58/Q37)</f>
        <v>N.D.</v>
      </c>
      <c r="S58" s="83"/>
      <c r="T58" s="49" t="str">
        <f>IF(S37=0,"N.D.",S58/S37)</f>
        <v>N.D.</v>
      </c>
      <c r="U58" s="83"/>
      <c r="V58" s="49" t="str">
        <f>IF(U37=0,"N.D.",U58/U37)</f>
        <v>N.D.</v>
      </c>
      <c r="W58" s="83"/>
      <c r="X58" s="49" t="str">
        <f>IF(W37=0,"N.D.",W58/W37)</f>
        <v>N.D.</v>
      </c>
      <c r="Y58" s="83"/>
      <c r="Z58" s="49" t="str">
        <f>IF(Y37=0,"N.D.",Y58/Y37)</f>
        <v>N.D.</v>
      </c>
      <c r="AA58" s="48">
        <f t="shared" si="198"/>
        <v>6528.701</v>
      </c>
      <c r="AB58" s="49">
        <f>IF(AA37=0,"N.D.",AA58/AA37)</f>
        <v>0.41017820040192898</v>
      </c>
    </row>
    <row r="59" spans="2:29" x14ac:dyDescent="0.25">
      <c r="C59" s="85"/>
      <c r="D59" s="85"/>
      <c r="E59" s="85"/>
      <c r="F59" s="85"/>
      <c r="G59" s="85"/>
      <c r="H59" s="85"/>
      <c r="I59" s="85"/>
      <c r="J59" s="85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</row>
    <row r="60" spans="2:29" x14ac:dyDescent="0.25">
      <c r="C60" s="76"/>
      <c r="D60" s="77"/>
      <c r="E60" s="76"/>
      <c r="F60" s="77"/>
      <c r="G60" s="76"/>
      <c r="H60" s="77"/>
      <c r="I60" s="76"/>
      <c r="J60" s="77"/>
    </row>
    <row r="61" spans="2:29" ht="13" x14ac:dyDescent="0.3">
      <c r="B61" s="195" t="s">
        <v>161</v>
      </c>
      <c r="C61" s="104" t="s">
        <v>171</v>
      </c>
      <c r="D61" s="77"/>
      <c r="E61" s="104" t="s">
        <v>172</v>
      </c>
      <c r="F61" s="77"/>
      <c r="G61" s="104" t="s">
        <v>173</v>
      </c>
      <c r="H61" s="77"/>
      <c r="I61" s="104" t="s">
        <v>174</v>
      </c>
      <c r="J61" s="77"/>
      <c r="K61" s="39" t="s">
        <v>175</v>
      </c>
      <c r="M61" s="39" t="s">
        <v>176</v>
      </c>
      <c r="O61" s="39" t="s">
        <v>177</v>
      </c>
      <c r="Q61" s="39" t="s">
        <v>178</v>
      </c>
      <c r="S61" s="39" t="s">
        <v>179</v>
      </c>
      <c r="U61" s="39" t="s">
        <v>180</v>
      </c>
      <c r="W61" s="39" t="s">
        <v>181</v>
      </c>
      <c r="Y61" s="39" t="s">
        <v>182</v>
      </c>
      <c r="AA61" s="39" t="str">
        <f>+AA36</f>
        <v>Acum 2019</v>
      </c>
    </row>
    <row r="62" spans="2:29" x14ac:dyDescent="0.25">
      <c r="B62" s="41" t="str">
        <f>BDER!C36</f>
        <v xml:space="preserve">Ventas netas                            </v>
      </c>
      <c r="C62" s="79">
        <v>2116.962</v>
      </c>
      <c r="D62" s="100">
        <f>IF(C62=0,"N.D.",C62/C62)</f>
        <v>1</v>
      </c>
      <c r="E62" s="79">
        <v>2648.54</v>
      </c>
      <c r="F62" s="100">
        <f>IF(E62=0,"N.D.",E62/E62)</f>
        <v>1</v>
      </c>
      <c r="G62" s="79">
        <v>1828.0650000000001</v>
      </c>
      <c r="H62" s="100">
        <f>IF(G62=0,"N.D.",G62/G62)</f>
        <v>1</v>
      </c>
      <c r="I62" s="79">
        <v>2208.9050000000002</v>
      </c>
      <c r="J62" s="100">
        <f>IF(I62=0,"N.D.",I62/I62)</f>
        <v>1</v>
      </c>
      <c r="K62" s="79">
        <v>2208.9050000000002</v>
      </c>
      <c r="L62" s="56">
        <f>IF(K62=0,"N.D.",K62/K62)</f>
        <v>1</v>
      </c>
      <c r="M62" s="79">
        <v>2403.538</v>
      </c>
      <c r="N62" s="56">
        <f>IF(M62=0,"N.D.",M62/M62)</f>
        <v>1</v>
      </c>
      <c r="O62" s="79"/>
      <c r="P62" s="56" t="str">
        <f>IF(O62=0,"N.D.",O62/O62)</f>
        <v>N.D.</v>
      </c>
      <c r="Q62" s="79"/>
      <c r="R62" s="56" t="str">
        <f>IF(Q62=0,"N.D.",Q62/Q62)</f>
        <v>N.D.</v>
      </c>
      <c r="S62" s="79"/>
      <c r="T62" s="56" t="str">
        <f>IF(S62=0,"N.D.",S62/S62)</f>
        <v>N.D.</v>
      </c>
      <c r="U62" s="79"/>
      <c r="V62" s="56" t="str">
        <f>IF(U62=0,"N.D.",U62/U62)</f>
        <v>N.D.</v>
      </c>
      <c r="W62" s="79"/>
      <c r="X62" s="56" t="str">
        <f>IF(W62=0,"N.D.",W62/W62)</f>
        <v>N.D.</v>
      </c>
      <c r="Y62" s="79"/>
      <c r="Z62" s="56" t="str">
        <f>IF(Y62=0,"N.D.",Y62/Y62)</f>
        <v>N.D.</v>
      </c>
      <c r="AA62" s="42">
        <f>+Y62+W62+U62+S62+Q62+O62+M62+K62+I62+G62+E62+C62</f>
        <v>13414.915000000001</v>
      </c>
      <c r="AB62" s="56">
        <f>IF(AA62=0,"N.D.",AA62/AA62)</f>
        <v>1</v>
      </c>
      <c r="AC62" s="91"/>
    </row>
    <row r="63" spans="2:29" x14ac:dyDescent="0.25">
      <c r="B63" s="41" t="str">
        <f>BDER!C37</f>
        <v xml:space="preserve">Costo Directo                           </v>
      </c>
      <c r="C63" s="81">
        <v>1718.05</v>
      </c>
      <c r="D63" s="97">
        <f>IF(C62=0,"N.D.",C63/C62)</f>
        <v>0.81156392982018566</v>
      </c>
      <c r="E63" s="81">
        <v>2098.48</v>
      </c>
      <c r="F63" s="97">
        <f>IF(E62=0,"N.D.",E63/E62)</f>
        <v>0.79231576642225532</v>
      </c>
      <c r="G63" s="81">
        <v>1377.7</v>
      </c>
      <c r="H63" s="97">
        <f>IF(G62=0,"N.D.",G63/G62)</f>
        <v>0.7536384100127731</v>
      </c>
      <c r="I63" s="81">
        <v>1676</v>
      </c>
      <c r="J63" s="97">
        <f>IF(I62=0,"N.D.",I63/I62)</f>
        <v>0.75874698097020921</v>
      </c>
      <c r="K63" s="81">
        <v>1676</v>
      </c>
      <c r="L63" s="46">
        <f>IF(K62=0,"N.D.",K63/K62)</f>
        <v>0.75874698097020921</v>
      </c>
      <c r="M63" s="81">
        <v>1860.2</v>
      </c>
      <c r="N63" s="46">
        <f>IF(M62=0,"N.D.",M63/M62)</f>
        <v>0.77394241322583623</v>
      </c>
      <c r="O63" s="81"/>
      <c r="P63" s="46" t="str">
        <f>IF(O62=0,"N.D.",O63/O62)</f>
        <v>N.D.</v>
      </c>
      <c r="Q63" s="81"/>
      <c r="R63" s="46" t="str">
        <f>IF(Q62=0,"N.D.",Q63/Q62)</f>
        <v>N.D.</v>
      </c>
      <c r="S63" s="81"/>
      <c r="T63" s="46" t="str">
        <f>IF(S62=0,"N.D.",S63/S62)</f>
        <v>N.D.</v>
      </c>
      <c r="U63" s="81"/>
      <c r="V63" s="46" t="str">
        <f>IF(U62=0,"N.D.",U63/U62)</f>
        <v>N.D.</v>
      </c>
      <c r="W63" s="81"/>
      <c r="X63" s="46" t="str">
        <f>IF(W62=0,"N.D.",W63/W62)</f>
        <v>N.D.</v>
      </c>
      <c r="Y63" s="81"/>
      <c r="Z63" s="46" t="str">
        <f>IF(Y62=0,"N.D.",Y63/Y62)</f>
        <v>N.D.</v>
      </c>
      <c r="AA63" s="45">
        <f t="shared" ref="AA63:AA83" si="199">+Y63+W63+U63+S63+Q63+O63+M63+K63+I63+G63+E63+C63</f>
        <v>10406.429999999998</v>
      </c>
      <c r="AB63" s="46">
        <f>IF(AA62=0,"N.D.",AA63/AA62)</f>
        <v>0.77573581345837805</v>
      </c>
    </row>
    <row r="64" spans="2:29" ht="13" x14ac:dyDescent="0.3">
      <c r="B64" s="47" t="str">
        <f>BDER!C38</f>
        <v xml:space="preserve">Contribucion Marginal                   </v>
      </c>
      <c r="C64" s="83">
        <v>398.91200000000003</v>
      </c>
      <c r="D64" s="98">
        <f>IF(C62=0,"N.D.",C64/C62)</f>
        <v>0.18843607017981429</v>
      </c>
      <c r="E64" s="83">
        <v>550.05999999999995</v>
      </c>
      <c r="F64" s="98">
        <f>IF(E62=0,"N.D.",E64/E62)</f>
        <v>0.20768423357774471</v>
      </c>
      <c r="G64" s="83">
        <v>450.36500000000001</v>
      </c>
      <c r="H64" s="98">
        <f>IF(G62=0,"N.D.",G64/G62)</f>
        <v>0.24636158998722693</v>
      </c>
      <c r="I64" s="83">
        <v>532.90499999999997</v>
      </c>
      <c r="J64" s="98">
        <f>IF(I62=0,"N.D.",I64/I62)</f>
        <v>0.24125301902979074</v>
      </c>
      <c r="K64" s="83">
        <v>532.90499999999997</v>
      </c>
      <c r="L64" s="49">
        <f>IF(K62=0,"N.D.",K64/K62)</f>
        <v>0.24125301902979074</v>
      </c>
      <c r="M64" s="83">
        <v>543.33799999999997</v>
      </c>
      <c r="N64" s="49">
        <f>IF(M62=0,"N.D.",M64/M62)</f>
        <v>0.22605758677416374</v>
      </c>
      <c r="O64" s="83"/>
      <c r="P64" s="49" t="str">
        <f>IF(O62=0,"N.D.",O64/O62)</f>
        <v>N.D.</v>
      </c>
      <c r="Q64" s="83"/>
      <c r="R64" s="49" t="str">
        <f>IF(Q62=0,"N.D.",Q64/Q62)</f>
        <v>N.D.</v>
      </c>
      <c r="S64" s="83"/>
      <c r="T64" s="49" t="str">
        <f>IF(S62=0,"N.D.",S64/S62)</f>
        <v>N.D.</v>
      </c>
      <c r="U64" s="83"/>
      <c r="V64" s="49" t="str">
        <f>IF(U62=0,"N.D.",U64/U62)</f>
        <v>N.D.</v>
      </c>
      <c r="W64" s="83"/>
      <c r="X64" s="49" t="str">
        <f>IF(W62=0,"N.D.",W64/W62)</f>
        <v>N.D.</v>
      </c>
      <c r="Y64" s="83"/>
      <c r="Z64" s="49" t="str">
        <f>IF(Y62=0,"N.D.",Y64/Y62)</f>
        <v>N.D.</v>
      </c>
      <c r="AA64" s="48">
        <f t="shared" si="199"/>
        <v>3008.4849999999997</v>
      </c>
      <c r="AB64" s="49">
        <f>IF(AA62=0,"N.D.",AA64/AA62)</f>
        <v>0.22426418654162172</v>
      </c>
    </row>
    <row r="65" spans="2:28" x14ac:dyDescent="0.25">
      <c r="B65" s="41"/>
      <c r="C65" s="85"/>
      <c r="D65" s="78"/>
      <c r="E65" s="85"/>
      <c r="F65" s="78"/>
      <c r="G65" s="85"/>
      <c r="H65" s="78"/>
      <c r="I65" s="85"/>
      <c r="J65" s="78"/>
      <c r="K65" s="85"/>
      <c r="L65" s="44"/>
      <c r="M65" s="85"/>
      <c r="N65" s="44"/>
      <c r="O65" s="85"/>
      <c r="P65" s="44"/>
      <c r="Q65" s="85"/>
      <c r="R65" s="44"/>
      <c r="S65" s="85"/>
      <c r="T65" s="44"/>
      <c r="U65" s="85"/>
      <c r="V65" s="44"/>
      <c r="W65" s="85"/>
      <c r="X65" s="44"/>
      <c r="Y65" s="85"/>
      <c r="Z65" s="44"/>
      <c r="AA65" s="50"/>
      <c r="AB65" s="44"/>
    </row>
    <row r="66" spans="2:28" x14ac:dyDescent="0.25">
      <c r="B66" s="41" t="str">
        <f>BDER!C39</f>
        <v xml:space="preserve">Gastos de Venta                         </v>
      </c>
      <c r="C66" s="79">
        <v>0</v>
      </c>
      <c r="D66" s="96">
        <f>IF(C62=0,"N.D.",C66/C62)</f>
        <v>0</v>
      </c>
      <c r="E66" s="79">
        <v>0</v>
      </c>
      <c r="F66" s="96">
        <f>IF(E62=0,"N.D.",E66/E62)</f>
        <v>0</v>
      </c>
      <c r="G66" s="79">
        <v>0</v>
      </c>
      <c r="H66" s="96">
        <f>IF(G62=0,"N.D.",G66/G62)</f>
        <v>0</v>
      </c>
      <c r="I66" s="79">
        <v>215.916</v>
      </c>
      <c r="J66" s="96">
        <f>IF(I62=0,"N.D.",I66/I62)</f>
        <v>9.7747979202364957E-2</v>
      </c>
      <c r="K66" s="79">
        <v>215.916</v>
      </c>
      <c r="L66" s="43">
        <f>IF(K62=0,"N.D.",K66/K62)</f>
        <v>9.7747979202364957E-2</v>
      </c>
      <c r="M66" s="79">
        <v>204.7</v>
      </c>
      <c r="N66" s="43">
        <f>IF(M62=0,"N.D.",M66/M62)</f>
        <v>8.5166117614949285E-2</v>
      </c>
      <c r="O66" s="79"/>
      <c r="P66" s="43" t="str">
        <f>IF(O62=0,"N.D.",O66/O62)</f>
        <v>N.D.</v>
      </c>
      <c r="Q66" s="79"/>
      <c r="R66" s="43" t="str">
        <f>IF(Q62=0,"N.D.",Q66/Q62)</f>
        <v>N.D.</v>
      </c>
      <c r="S66" s="79"/>
      <c r="T66" s="43" t="str">
        <f>IF(S62=0,"N.D.",S66/S62)</f>
        <v>N.D.</v>
      </c>
      <c r="U66" s="79"/>
      <c r="V66" s="43" t="str">
        <f>IF(U62=0,"N.D.",U66/U62)</f>
        <v>N.D.</v>
      </c>
      <c r="W66" s="79"/>
      <c r="X66" s="43" t="str">
        <f>IF(W62=0,"N.D.",W66/W62)</f>
        <v>N.D.</v>
      </c>
      <c r="Y66" s="79"/>
      <c r="Z66" s="43" t="str">
        <f>IF(Y62=0,"N.D.",Y66/Y62)</f>
        <v>N.D.</v>
      </c>
      <c r="AA66" s="42">
        <f t="shared" si="199"/>
        <v>636.53199999999993</v>
      </c>
      <c r="AB66" s="43">
        <f>IF(AA62=0,"N.D.",AA66/AA62)</f>
        <v>4.7449573851194728E-2</v>
      </c>
    </row>
    <row r="67" spans="2:28" x14ac:dyDescent="0.25">
      <c r="B67" s="41" t="str">
        <f>BDER!C40</f>
        <v xml:space="preserve">Gastos de Administracion                </v>
      </c>
      <c r="C67" s="81">
        <v>114.05</v>
      </c>
      <c r="D67" s="99">
        <f>IF(C62=0,"N.D.",C67/C62)</f>
        <v>5.3874372804046555E-2</v>
      </c>
      <c r="E67" s="81">
        <v>118.05</v>
      </c>
      <c r="F67" s="99">
        <f>IF(E62=0,"N.D.",E67/E62)</f>
        <v>4.4571726309589436E-2</v>
      </c>
      <c r="G67" s="81">
        <v>131.55000000000001</v>
      </c>
      <c r="H67" s="99">
        <f>IF(G62=0,"N.D.",G67/G62)</f>
        <v>7.1961336166930609E-2</v>
      </c>
      <c r="I67" s="81">
        <v>114.55</v>
      </c>
      <c r="J67" s="99">
        <f>IF(I62=0,"N.D.",I67/I62)</f>
        <v>5.1858273669533085E-2</v>
      </c>
      <c r="K67" s="81">
        <v>114.55</v>
      </c>
      <c r="L67" s="51">
        <f>IF(K62=0,"N.D.",K67/K62)</f>
        <v>5.1858273669533085E-2</v>
      </c>
      <c r="M67" s="81">
        <v>119.55</v>
      </c>
      <c r="N67" s="51">
        <f>IF(M62=0,"N.D.",M67/M62)</f>
        <v>4.9739176164470877E-2</v>
      </c>
      <c r="O67" s="81"/>
      <c r="P67" s="51" t="str">
        <f>IF(O62=0,"N.D.",O67/O62)</f>
        <v>N.D.</v>
      </c>
      <c r="Q67" s="81"/>
      <c r="R67" s="51" t="str">
        <f>IF(Q62=0,"N.D.",Q67/Q62)</f>
        <v>N.D.</v>
      </c>
      <c r="S67" s="81"/>
      <c r="T67" s="51" t="str">
        <f>IF(S62=0,"N.D.",S67/S62)</f>
        <v>N.D.</v>
      </c>
      <c r="U67" s="81"/>
      <c r="V67" s="51" t="str">
        <f>IF(U62=0,"N.D.",U67/U62)</f>
        <v>N.D.</v>
      </c>
      <c r="W67" s="81"/>
      <c r="X67" s="51" t="str">
        <f>IF(W62=0,"N.D.",W67/W62)</f>
        <v>N.D.</v>
      </c>
      <c r="Y67" s="81"/>
      <c r="Z67" s="51" t="str">
        <f>IF(Y62=0,"N.D.",Y67/Y62)</f>
        <v>N.D.</v>
      </c>
      <c r="AA67" s="45">
        <f t="shared" si="199"/>
        <v>712.3</v>
      </c>
      <c r="AB67" s="51">
        <f>IF(AA62=0,"N.D.",AA67/AA62)</f>
        <v>5.3097615601738805E-2</v>
      </c>
    </row>
    <row r="68" spans="2:28" x14ac:dyDescent="0.25">
      <c r="B68" s="41" t="str">
        <f>BDER!C41</f>
        <v xml:space="preserve">Depreciaciones y amortizacion           </v>
      </c>
      <c r="C68" s="88">
        <v>24.3</v>
      </c>
      <c r="D68" s="97">
        <f>IF(C62=0,"N.D.",C68/C62)</f>
        <v>1.1478713363773181E-2</v>
      </c>
      <c r="E68" s="88">
        <v>24.3</v>
      </c>
      <c r="F68" s="97">
        <f>IF(E62=0,"N.D.",E68/E62)</f>
        <v>9.1748661526727931E-3</v>
      </c>
      <c r="G68" s="88">
        <v>24.3</v>
      </c>
      <c r="H68" s="97">
        <f>IF(G62=0,"N.D.",G68/G62)</f>
        <v>1.329274396698148E-2</v>
      </c>
      <c r="I68" s="88">
        <v>24.3</v>
      </c>
      <c r="J68" s="97">
        <f>IF(I62=0,"N.D.",I68/I62)</f>
        <v>1.1000925798076423E-2</v>
      </c>
      <c r="K68" s="88">
        <v>24.3</v>
      </c>
      <c r="L68" s="46">
        <f>IF(K62=0,"N.D.",K68/K62)</f>
        <v>1.1000925798076423E-2</v>
      </c>
      <c r="M68" s="88">
        <v>24.3</v>
      </c>
      <c r="N68" s="46">
        <f>IF(M62=0,"N.D.",M68/M62)</f>
        <v>1.0110096033430717E-2</v>
      </c>
      <c r="O68" s="88"/>
      <c r="P68" s="46" t="str">
        <f>IF(O62=0,"N.D.",O68/O62)</f>
        <v>N.D.</v>
      </c>
      <c r="Q68" s="88"/>
      <c r="R68" s="46" t="str">
        <f>IF(Q62=0,"N.D.",Q68/Q62)</f>
        <v>N.D.</v>
      </c>
      <c r="S68" s="88"/>
      <c r="T68" s="46" t="str">
        <f>IF(S62=0,"N.D.",S68/S62)</f>
        <v>N.D.</v>
      </c>
      <c r="U68" s="88"/>
      <c r="V68" s="46" t="str">
        <f>IF(U62=0,"N.D.",U68/U62)</f>
        <v>N.D.</v>
      </c>
      <c r="W68" s="88"/>
      <c r="X68" s="46" t="str">
        <f>IF(W62=0,"N.D.",W68/W62)</f>
        <v>N.D.</v>
      </c>
      <c r="Y68" s="88"/>
      <c r="Z68" s="46" t="str">
        <f>IF(Y62=0,"N.D.",Y68/Y62)</f>
        <v>N.D.</v>
      </c>
      <c r="AA68" s="52">
        <f t="shared" si="199"/>
        <v>145.80000000000001</v>
      </c>
      <c r="AB68" s="46">
        <f>IF(AA62=0,"N.D.",AA68/AA62)</f>
        <v>1.086849972586483E-2</v>
      </c>
    </row>
    <row r="69" spans="2:28" ht="13" x14ac:dyDescent="0.3">
      <c r="B69" s="47" t="str">
        <f>BDER!C42</f>
        <v xml:space="preserve">Gastos Totales                          </v>
      </c>
      <c r="C69" s="83">
        <v>138.35</v>
      </c>
      <c r="D69" s="98">
        <f>IF(C62=0,"N.D.",C69/C62)</f>
        <v>6.5353086167819735E-2</v>
      </c>
      <c r="E69" s="83">
        <v>142.35</v>
      </c>
      <c r="F69" s="98">
        <f>IF(E62=0,"N.D.",E69/E62)</f>
        <v>5.3746592462262224E-2</v>
      </c>
      <c r="G69" s="83">
        <v>155.85</v>
      </c>
      <c r="H69" s="98">
        <f>IF(G62=0,"N.D.",G69/G62)</f>
        <v>8.5254080133912086E-2</v>
      </c>
      <c r="I69" s="83">
        <v>354.76600000000002</v>
      </c>
      <c r="J69" s="98">
        <f>IF(I62=0,"N.D.",I69/I62)</f>
        <v>0.16060717866997448</v>
      </c>
      <c r="K69" s="83">
        <v>354.76600000000002</v>
      </c>
      <c r="L69" s="49">
        <f>IF(K62=0,"N.D.",K69/K62)</f>
        <v>0.16060717866997448</v>
      </c>
      <c r="M69" s="83">
        <v>348.55</v>
      </c>
      <c r="N69" s="49">
        <f>IF(M62=0,"N.D.",M69/M62)</f>
        <v>0.14501538981285089</v>
      </c>
      <c r="O69" s="83"/>
      <c r="P69" s="49" t="str">
        <f>IF(O62=0,"N.D.",O69/O62)</f>
        <v>N.D.</v>
      </c>
      <c r="Q69" s="83"/>
      <c r="R69" s="49" t="str">
        <f>IF(Q62=0,"N.D.",Q69/Q62)</f>
        <v>N.D.</v>
      </c>
      <c r="S69" s="83"/>
      <c r="T69" s="49" t="str">
        <f>IF(S62=0,"N.D.",S69/S62)</f>
        <v>N.D.</v>
      </c>
      <c r="U69" s="83"/>
      <c r="V69" s="49" t="str">
        <f>IF(U62=0,"N.D.",U69/U62)</f>
        <v>N.D.</v>
      </c>
      <c r="W69" s="83"/>
      <c r="X69" s="49" t="str">
        <f>IF(W62=0,"N.D.",W69/W62)</f>
        <v>N.D.</v>
      </c>
      <c r="Y69" s="83"/>
      <c r="Z69" s="49" t="str">
        <f>IF(Y62=0,"N.D.",Y69/Y62)</f>
        <v>N.D.</v>
      </c>
      <c r="AA69" s="48">
        <f t="shared" si="199"/>
        <v>1494.6319999999998</v>
      </c>
      <c r="AB69" s="49">
        <f>IF(AA62=0,"N.D.",AA69/AA62)</f>
        <v>0.11141568917879835</v>
      </c>
    </row>
    <row r="70" spans="2:28" ht="13" x14ac:dyDescent="0.3">
      <c r="B70" s="47" t="str">
        <f>BDER!C43</f>
        <v xml:space="preserve">U.A.F.I.R.                              </v>
      </c>
      <c r="C70" s="83">
        <v>260.56200000000001</v>
      </c>
      <c r="D70" s="98">
        <f>IF(C62=0,"N.D.",C70/C62)</f>
        <v>0.12308298401199455</v>
      </c>
      <c r="E70" s="83">
        <v>407.71</v>
      </c>
      <c r="F70" s="98">
        <f>IF(E62=0,"N.D.",E70/E62)</f>
        <v>0.1539376411154825</v>
      </c>
      <c r="G70" s="83">
        <v>294.51499999999999</v>
      </c>
      <c r="H70" s="98">
        <f>IF(G62=0,"N.D.",G70/G62)</f>
        <v>0.16110750985331485</v>
      </c>
      <c r="I70" s="83">
        <v>178.13900000000001</v>
      </c>
      <c r="J70" s="98">
        <f>IF(I62=0,"N.D.",I70/I62)</f>
        <v>8.0645840359816284E-2</v>
      </c>
      <c r="K70" s="83">
        <v>178.13900000000001</v>
      </c>
      <c r="L70" s="49">
        <f>IF(K62=0,"N.D.",K70/K62)</f>
        <v>8.0645840359816284E-2</v>
      </c>
      <c r="M70" s="83">
        <v>194.78800000000001</v>
      </c>
      <c r="N70" s="49">
        <f>IF(M62=0,"N.D.",M70/M62)</f>
        <v>8.1042196961312873E-2</v>
      </c>
      <c r="O70" s="83"/>
      <c r="P70" s="49" t="str">
        <f>IF(O62=0,"N.D.",O70/O62)</f>
        <v>N.D.</v>
      </c>
      <c r="Q70" s="83"/>
      <c r="R70" s="49" t="str">
        <f>IF(Q62=0,"N.D.",Q70/Q62)</f>
        <v>N.D.</v>
      </c>
      <c r="S70" s="83"/>
      <c r="T70" s="49" t="str">
        <f>IF(S62=0,"N.D.",S70/S62)</f>
        <v>N.D.</v>
      </c>
      <c r="U70" s="83"/>
      <c r="V70" s="49" t="str">
        <f>IF(U62=0,"N.D.",U70/U62)</f>
        <v>N.D.</v>
      </c>
      <c r="W70" s="83"/>
      <c r="X70" s="49" t="str">
        <f>IF(W62=0,"N.D.",W70/W62)</f>
        <v>N.D.</v>
      </c>
      <c r="Y70" s="83"/>
      <c r="Z70" s="49" t="str">
        <f>IF(Y62=0,"N.D.",Y70/Y62)</f>
        <v>N.D.</v>
      </c>
      <c r="AA70" s="48">
        <f t="shared" si="199"/>
        <v>1513.8530000000001</v>
      </c>
      <c r="AB70" s="49">
        <f>IF(AA62=0,"N.D.",AA70/AA62)</f>
        <v>0.11284849736282339</v>
      </c>
    </row>
    <row r="71" spans="2:28" x14ac:dyDescent="0.25">
      <c r="B71" s="41"/>
      <c r="C71" s="85"/>
      <c r="D71" s="78"/>
      <c r="E71" s="85"/>
      <c r="F71" s="78"/>
      <c r="G71" s="85"/>
      <c r="H71" s="78"/>
      <c r="I71" s="85"/>
      <c r="J71" s="78"/>
      <c r="K71" s="85"/>
      <c r="L71" s="44"/>
      <c r="M71" s="85"/>
      <c r="N71" s="44"/>
      <c r="O71" s="85"/>
      <c r="P71" s="44"/>
      <c r="Q71" s="85"/>
      <c r="R71" s="44"/>
      <c r="S71" s="85"/>
      <c r="T71" s="44"/>
      <c r="U71" s="85"/>
      <c r="V71" s="44"/>
      <c r="W71" s="85"/>
      <c r="X71" s="44"/>
      <c r="Y71" s="85"/>
      <c r="Z71" s="44"/>
      <c r="AA71" s="50"/>
      <c r="AB71" s="44"/>
    </row>
    <row r="72" spans="2:28" x14ac:dyDescent="0.25">
      <c r="B72" s="41" t="str">
        <f>BDER!C44</f>
        <v xml:space="preserve">Perdida o Utilidad Cambiaria            </v>
      </c>
      <c r="C72" s="79">
        <v>-273.75</v>
      </c>
      <c r="D72" s="96">
        <f>IF(C62=0,"N.D.",C72/C62)</f>
        <v>-0.12931266598077812</v>
      </c>
      <c r="E72" s="79">
        <v>16.88</v>
      </c>
      <c r="F72" s="96">
        <f>IF(E62=0,"N.D.",E72/E62)</f>
        <v>6.3733226607866969E-3</v>
      </c>
      <c r="G72" s="79">
        <v>27.405000000000001</v>
      </c>
      <c r="H72" s="96">
        <f>IF(G62=0,"N.D.",G72/G62)</f>
        <v>1.4991261251651336E-2</v>
      </c>
      <c r="I72" s="79">
        <v>110.349</v>
      </c>
      <c r="J72" s="96">
        <f>IF(I62=0,"N.D.",I72/I62)</f>
        <v>4.9956426374153706E-2</v>
      </c>
      <c r="K72" s="79">
        <v>110.349</v>
      </c>
      <c r="L72" s="43">
        <f>IF(K62=0,"N.D.",K72/K62)</f>
        <v>4.9956426374153706E-2</v>
      </c>
      <c r="M72" s="79">
        <v>-70.22</v>
      </c>
      <c r="N72" s="43">
        <f>IF(M62=0,"N.D.",M72/M62)</f>
        <v>-2.921526516327181E-2</v>
      </c>
      <c r="O72" s="79"/>
      <c r="P72" s="43" t="str">
        <f>IF(O62=0,"N.D.",O72/O62)</f>
        <v>N.D.</v>
      </c>
      <c r="Q72" s="79"/>
      <c r="R72" s="43" t="str">
        <f>IF(Q62=0,"N.D.",Q72/Q62)</f>
        <v>N.D.</v>
      </c>
      <c r="S72" s="79"/>
      <c r="T72" s="43" t="str">
        <f>IF(S62=0,"N.D.",S72/S62)</f>
        <v>N.D.</v>
      </c>
      <c r="U72" s="79"/>
      <c r="V72" s="43" t="str">
        <f>IF(U62=0,"N.D.",U72/U62)</f>
        <v>N.D.</v>
      </c>
      <c r="W72" s="79"/>
      <c r="X72" s="43" t="str">
        <f>IF(W62=0,"N.D.",W72/W62)</f>
        <v>N.D.</v>
      </c>
      <c r="Y72" s="79"/>
      <c r="Z72" s="43" t="str">
        <f>IF(Y62=0,"N.D.",Y72/Y62)</f>
        <v>N.D.</v>
      </c>
      <c r="AA72" s="42">
        <f t="shared" si="199"/>
        <v>-78.986999999999995</v>
      </c>
      <c r="AB72" s="43">
        <f>IF(AA62=0,"N.D.",AA72/AA62)</f>
        <v>-5.8879985449031913E-3</v>
      </c>
    </row>
    <row r="73" spans="2:28" x14ac:dyDescent="0.25">
      <c r="B73" s="41" t="str">
        <f>BDER!C45</f>
        <v xml:space="preserve">Otros Gastos y Otros ingresos           </v>
      </c>
      <c r="C73" s="81">
        <v>-319.22800000000001</v>
      </c>
      <c r="D73" s="99">
        <f>IF(C62=0,"N.D.",C73/C62)</f>
        <v>-0.15079533784734916</v>
      </c>
      <c r="E73" s="81">
        <v>0</v>
      </c>
      <c r="F73" s="99">
        <f>IF(E62=0,"N.D.",E73/E62)</f>
        <v>0</v>
      </c>
      <c r="G73" s="81">
        <v>0</v>
      </c>
      <c r="H73" s="99">
        <f>IF(G62=0,"N.D.",G73/G62)</f>
        <v>0</v>
      </c>
      <c r="I73" s="81">
        <v>134.14599999999999</v>
      </c>
      <c r="J73" s="99">
        <f>IF(I62=0,"N.D.",I73/I62)</f>
        <v>6.0729637535339893E-2</v>
      </c>
      <c r="K73" s="81">
        <v>134.14599999999999</v>
      </c>
      <c r="L73" s="51">
        <f>IF(K62=0,"N.D.",K73/K62)</f>
        <v>6.0729637535339893E-2</v>
      </c>
      <c r="M73" s="81">
        <v>-47.44</v>
      </c>
      <c r="N73" s="51">
        <f>IF(M62=0,"N.D.",M73/M62)</f>
        <v>-1.9737570198598897E-2</v>
      </c>
      <c r="O73" s="81"/>
      <c r="P73" s="51" t="str">
        <f>IF(O62=0,"N.D.",O73/O62)</f>
        <v>N.D.</v>
      </c>
      <c r="Q73" s="81"/>
      <c r="R73" s="51" t="str">
        <f>IF(Q62=0,"N.D.",Q73/Q62)</f>
        <v>N.D.</v>
      </c>
      <c r="S73" s="81"/>
      <c r="T73" s="51" t="str">
        <f>IF(S62=0,"N.D.",S73/S62)</f>
        <v>N.D.</v>
      </c>
      <c r="U73" s="81"/>
      <c r="V73" s="51" t="str">
        <f>IF(U62=0,"N.D.",U73/U62)</f>
        <v>N.D.</v>
      </c>
      <c r="W73" s="81"/>
      <c r="X73" s="51" t="str">
        <f>IF(W62=0,"N.D.",W73/W62)</f>
        <v>N.D.</v>
      </c>
      <c r="Y73" s="81"/>
      <c r="Z73" s="51" t="str">
        <f>IF(Y62=0,"N.D.",Y73/Y62)</f>
        <v>N.D.</v>
      </c>
      <c r="AA73" s="45">
        <f t="shared" si="199"/>
        <v>-98.376000000000033</v>
      </c>
      <c r="AB73" s="51">
        <f>IF(AA62=0,"N.D.",AA73/AA62)</f>
        <v>-7.3333301030979346E-3</v>
      </c>
    </row>
    <row r="74" spans="2:28" x14ac:dyDescent="0.25">
      <c r="B74" s="41" t="str">
        <f>BDER!C46</f>
        <v xml:space="preserve">Gastos financieros                      </v>
      </c>
      <c r="C74" s="81">
        <v>0</v>
      </c>
      <c r="D74" s="99">
        <f>IF(C62=0,"N.D.",C74/C62)</f>
        <v>0</v>
      </c>
      <c r="E74" s="81">
        <v>34.648000000000003</v>
      </c>
      <c r="F74" s="99">
        <f>IF(E62=0,"N.D.",E74/E62)</f>
        <v>1.3081924380979711E-2</v>
      </c>
      <c r="G74" s="81">
        <v>44.19</v>
      </c>
      <c r="H74" s="99">
        <f>IF(G62=0,"N.D.",G74/G62)</f>
        <v>2.4173101065881136E-2</v>
      </c>
      <c r="I74" s="81">
        <v>134.14599999999999</v>
      </c>
      <c r="J74" s="99">
        <f>IF(I62=0,"N.D.",I74/I62)</f>
        <v>6.0729637535339893E-2</v>
      </c>
      <c r="K74" s="81">
        <v>134.14599999999999</v>
      </c>
      <c r="L74" s="51">
        <f>IF(K62=0,"N.D.",K74/K62)</f>
        <v>6.0729637535339893E-2</v>
      </c>
      <c r="M74" s="81">
        <v>-47.44</v>
      </c>
      <c r="N74" s="51">
        <f>IF(M62=0,"N.D.",M74/M62)</f>
        <v>-1.9737570198598897E-2</v>
      </c>
      <c r="O74" s="81"/>
      <c r="P74" s="51" t="str">
        <f>IF(O62=0,"N.D.",O74/O62)</f>
        <v>N.D.</v>
      </c>
      <c r="Q74" s="81"/>
      <c r="R74" s="51" t="str">
        <f>IF(Q62=0,"N.D.",Q74/Q62)</f>
        <v>N.D.</v>
      </c>
      <c r="S74" s="81"/>
      <c r="T74" s="51" t="str">
        <f>IF(S62=0,"N.D.",S74/S62)</f>
        <v>N.D.</v>
      </c>
      <c r="U74" s="81"/>
      <c r="V74" s="51" t="str">
        <f>IF(U62=0,"N.D.",U74/U62)</f>
        <v>N.D.</v>
      </c>
      <c r="W74" s="81"/>
      <c r="X74" s="51" t="str">
        <f>IF(W62=0,"N.D.",W74/W62)</f>
        <v>N.D.</v>
      </c>
      <c r="Y74" s="81"/>
      <c r="Z74" s="51" t="str">
        <f>IF(Y62=0,"N.D.",Y74/Y62)</f>
        <v>N.D.</v>
      </c>
      <c r="AA74" s="45">
        <f t="shared" si="199"/>
        <v>299.69</v>
      </c>
      <c r="AB74" s="51">
        <f>IF(AA62=0,"N.D.",AA74/AA62)</f>
        <v>2.2340059553116808E-2</v>
      </c>
    </row>
    <row r="75" spans="2:28" x14ac:dyDescent="0.25">
      <c r="B75" s="41" t="str">
        <f>BDER!C47</f>
        <v xml:space="preserve">Productos financieros                   </v>
      </c>
      <c r="C75" s="81">
        <v>0</v>
      </c>
      <c r="D75" s="99">
        <f>IF(C62=0,"N.D.",C75/C62)</f>
        <v>0</v>
      </c>
      <c r="E75" s="81">
        <v>0</v>
      </c>
      <c r="F75" s="99">
        <f>IF(E62=0,"N.D.",E75/E62)</f>
        <v>0</v>
      </c>
      <c r="G75" s="81">
        <v>0.30199999999999999</v>
      </c>
      <c r="H75" s="99">
        <f>IF(G62=0,"N.D.",G75/G62)</f>
        <v>1.6520200321104556E-4</v>
      </c>
      <c r="I75" s="81">
        <v>8.43</v>
      </c>
      <c r="J75" s="99">
        <f>IF(I62=0,"N.D.",I75/I62)</f>
        <v>3.8163705546413263E-3</v>
      </c>
      <c r="K75" s="81">
        <v>8.43</v>
      </c>
      <c r="L75" s="51">
        <f>IF(K62=0,"N.D.",K75/K62)</f>
        <v>3.8163705546413263E-3</v>
      </c>
      <c r="M75" s="81">
        <v>4.3819999999999997</v>
      </c>
      <c r="N75" s="51">
        <f>IF(M62=0,"N.D.",M75/M62)</f>
        <v>1.8231457126952017E-3</v>
      </c>
      <c r="O75" s="81"/>
      <c r="P75" s="51" t="str">
        <f>IF(O62=0,"N.D.",O75/O62)</f>
        <v>N.D.</v>
      </c>
      <c r="Q75" s="81"/>
      <c r="R75" s="51" t="str">
        <f>IF(Q62=0,"N.D.",Q75/Q62)</f>
        <v>N.D.</v>
      </c>
      <c r="S75" s="81"/>
      <c r="T75" s="51" t="str">
        <f>IF(S62=0,"N.D.",S75/S62)</f>
        <v>N.D.</v>
      </c>
      <c r="U75" s="81"/>
      <c r="V75" s="51" t="str">
        <f>IF(U62=0,"N.D.",U75/U62)</f>
        <v>N.D.</v>
      </c>
      <c r="W75" s="81"/>
      <c r="X75" s="51" t="str">
        <f>IF(W62=0,"N.D.",W75/W62)</f>
        <v>N.D.</v>
      </c>
      <c r="Y75" s="81"/>
      <c r="Z75" s="51" t="str">
        <f>IF(Y62=0,"N.D.",Y75/Y62)</f>
        <v>N.D.</v>
      </c>
      <c r="AA75" s="45">
        <f t="shared" si="199"/>
        <v>21.543999999999997</v>
      </c>
      <c r="AB75" s="51">
        <f>IF(AA62=0,"N.D.",AA75/AA62)</f>
        <v>1.6059736494789564E-3</v>
      </c>
    </row>
    <row r="76" spans="2:28" x14ac:dyDescent="0.25">
      <c r="B76" s="41" t="str">
        <f>BDER!C48</f>
        <v xml:space="preserve">REPOMO                                  </v>
      </c>
      <c r="C76" s="88">
        <v>0</v>
      </c>
      <c r="D76" s="97">
        <f>IF(C62=0,"N.D.",C76/C62)</f>
        <v>0</v>
      </c>
      <c r="E76" s="88">
        <v>0</v>
      </c>
      <c r="F76" s="97">
        <f>IF(E62=0,"N.D.",E76/E62)</f>
        <v>0</v>
      </c>
      <c r="G76" s="88">
        <v>0</v>
      </c>
      <c r="H76" s="97">
        <f>IF(G62=0,"N.D.",G76/G62)</f>
        <v>0</v>
      </c>
      <c r="I76" s="88">
        <v>0</v>
      </c>
      <c r="J76" s="97">
        <f>IF(I62=0,"N.D.",I76/I62)</f>
        <v>0</v>
      </c>
      <c r="K76" s="88">
        <v>0</v>
      </c>
      <c r="L76" s="46">
        <f>IF(K62=0,"N.D.",K76/K62)</f>
        <v>0</v>
      </c>
      <c r="M76" s="88">
        <v>0</v>
      </c>
      <c r="N76" s="46">
        <f>IF(M62=0,"N.D.",M76/M62)</f>
        <v>0</v>
      </c>
      <c r="O76" s="88"/>
      <c r="P76" s="46" t="str">
        <f>IF(O62=0,"N.D.",O76/O62)</f>
        <v>N.D.</v>
      </c>
      <c r="Q76" s="88"/>
      <c r="R76" s="46" t="str">
        <f>IF(Q62=0,"N.D.",Q76/Q62)</f>
        <v>N.D.</v>
      </c>
      <c r="S76" s="88"/>
      <c r="T76" s="46" t="str">
        <f>IF(S62=0,"N.D.",S76/S62)</f>
        <v>N.D.</v>
      </c>
      <c r="U76" s="88"/>
      <c r="V76" s="46" t="str">
        <f>IF(U62=0,"N.D.",U76/U62)</f>
        <v>N.D.</v>
      </c>
      <c r="W76" s="88"/>
      <c r="X76" s="46" t="str">
        <f>IF(W62=0,"N.D.",W76/W62)</f>
        <v>N.D.</v>
      </c>
      <c r="Y76" s="88"/>
      <c r="Z76" s="46" t="str">
        <f>IF(Y62=0,"N.D.",Y76/Y62)</f>
        <v>N.D.</v>
      </c>
      <c r="AA76" s="52">
        <f t="shared" si="199"/>
        <v>0</v>
      </c>
      <c r="AB76" s="46">
        <f>IF(AA62=0,"N.D.",AA76/AA62)</f>
        <v>0</v>
      </c>
    </row>
    <row r="77" spans="2:28" ht="13" x14ac:dyDescent="0.3">
      <c r="B77" s="47" t="str">
        <f>BDER!C49</f>
        <v xml:space="preserve">Costo Integral de Financiamiento        </v>
      </c>
      <c r="C77" s="83">
        <v>-592.97800000000007</v>
      </c>
      <c r="D77" s="98">
        <f>IF(C62=0,"N.D.",C77/C62)</f>
        <v>-0.28010800382812734</v>
      </c>
      <c r="E77" s="83">
        <v>51.527999999999999</v>
      </c>
      <c r="F77" s="98">
        <f>IF(E62=0,"N.D.",E77/E62)</f>
        <v>1.9455247041766408E-2</v>
      </c>
      <c r="G77" s="83">
        <v>71.293000000000006</v>
      </c>
      <c r="H77" s="98">
        <f>IF(G62=0,"N.D.",G77/G62)</f>
        <v>3.8999160314321428E-2</v>
      </c>
      <c r="I77" s="83">
        <v>370.21100000000001</v>
      </c>
      <c r="J77" s="98">
        <f>IF(I62=0,"N.D.",I77/I62)</f>
        <v>0.16759933089019219</v>
      </c>
      <c r="K77" s="83">
        <v>370.21100000000001</v>
      </c>
      <c r="L77" s="49">
        <f>IF(K62=0,"N.D.",K77/K62)</f>
        <v>0.16759933089019219</v>
      </c>
      <c r="M77" s="83">
        <v>-169.482</v>
      </c>
      <c r="N77" s="49">
        <f>IF(M62=0,"N.D.",M77/M62)</f>
        <v>-7.0513551273164804E-2</v>
      </c>
      <c r="O77" s="83"/>
      <c r="P77" s="49" t="str">
        <f>IF(O62=0,"N.D.",O77/O62)</f>
        <v>N.D.</v>
      </c>
      <c r="Q77" s="83"/>
      <c r="R77" s="49" t="str">
        <f>IF(Q62=0,"N.D.",Q77/Q62)</f>
        <v>N.D.</v>
      </c>
      <c r="S77" s="83"/>
      <c r="T77" s="49" t="str">
        <f>IF(S62=0,"N.D.",S77/S62)</f>
        <v>N.D.</v>
      </c>
      <c r="U77" s="83"/>
      <c r="V77" s="49" t="str">
        <f>IF(U62=0,"N.D.",U77/U62)</f>
        <v>N.D.</v>
      </c>
      <c r="W77" s="83"/>
      <c r="X77" s="49" t="str">
        <f>IF(W62=0,"N.D.",W77/W62)</f>
        <v>N.D.</v>
      </c>
      <c r="Y77" s="83"/>
      <c r="Z77" s="49" t="str">
        <f>IF(Y62=0,"N.D.",Y77/Y62)</f>
        <v>N.D.</v>
      </c>
      <c r="AA77" s="48">
        <f t="shared" si="199"/>
        <v>100.78300000000002</v>
      </c>
      <c r="AB77" s="49">
        <f>IF(AA62=0,"N.D.",AA77/AA62)</f>
        <v>7.5127572556367306E-3</v>
      </c>
    </row>
    <row r="78" spans="2:28" ht="13" x14ac:dyDescent="0.3">
      <c r="B78" s="47" t="str">
        <f>BDER!C50</f>
        <v xml:space="preserve">U.A.I.R.                                </v>
      </c>
      <c r="C78" s="83">
        <v>853.54000000000008</v>
      </c>
      <c r="D78" s="98">
        <f>IF(C62=0,"N.D.",C78/C62)</f>
        <v>0.40319098784012186</v>
      </c>
      <c r="E78" s="83">
        <v>356.18200000000002</v>
      </c>
      <c r="F78" s="98">
        <f>IF(E62=0,"N.D.",E78/E62)</f>
        <v>0.13448239407371609</v>
      </c>
      <c r="G78" s="83">
        <v>223.22200000000001</v>
      </c>
      <c r="H78" s="98">
        <f>IF(G62=0,"N.D.",G78/G62)</f>
        <v>0.12210834953899342</v>
      </c>
      <c r="I78" s="83">
        <v>-192.072</v>
      </c>
      <c r="J78" s="98">
        <f>IF(I62=0,"N.D.",I78/I62)</f>
        <v>-8.6953490530375904E-2</v>
      </c>
      <c r="K78" s="83">
        <v>-192.072</v>
      </c>
      <c r="L78" s="49">
        <f>IF(K62=0,"N.D.",K78/K62)</f>
        <v>-8.6953490530375904E-2</v>
      </c>
      <c r="M78" s="83">
        <v>364.27</v>
      </c>
      <c r="N78" s="49">
        <f>IF(M62=0,"N.D.",M78/M62)</f>
        <v>0.15155574823447768</v>
      </c>
      <c r="O78" s="83"/>
      <c r="P78" s="49" t="str">
        <f>IF(O62=0,"N.D.",O78/O62)</f>
        <v>N.D.</v>
      </c>
      <c r="Q78" s="83"/>
      <c r="R78" s="49" t="str">
        <f>IF(Q62=0,"N.D.",Q78/Q62)</f>
        <v>N.D.</v>
      </c>
      <c r="S78" s="83"/>
      <c r="T78" s="49" t="str">
        <f>IF(S62=0,"N.D.",S78/S62)</f>
        <v>N.D.</v>
      </c>
      <c r="U78" s="83"/>
      <c r="V78" s="49" t="str">
        <f>IF(U62=0,"N.D.",U78/U62)</f>
        <v>N.D.</v>
      </c>
      <c r="W78" s="83"/>
      <c r="X78" s="49" t="str">
        <f>IF(W62=0,"N.D.",W78/W62)</f>
        <v>N.D.</v>
      </c>
      <c r="Y78" s="83"/>
      <c r="Z78" s="49" t="str">
        <f>IF(Y62=0,"N.D.",Y78/Y62)</f>
        <v>N.D.</v>
      </c>
      <c r="AA78" s="48">
        <f t="shared" si="199"/>
        <v>1413.0700000000002</v>
      </c>
      <c r="AB78" s="49">
        <f>IF(AA62=0,"N.D.",AA78/AA62)</f>
        <v>0.10533574010718667</v>
      </c>
    </row>
    <row r="79" spans="2:28" x14ac:dyDescent="0.25">
      <c r="B79" s="41"/>
      <c r="C79" s="85"/>
      <c r="D79" s="78"/>
      <c r="E79" s="85"/>
      <c r="F79" s="78"/>
      <c r="G79" s="85"/>
      <c r="H79" s="78"/>
      <c r="I79" s="85"/>
      <c r="J79" s="78"/>
      <c r="K79" s="85"/>
      <c r="L79" s="44"/>
      <c r="M79" s="85"/>
      <c r="N79" s="44"/>
      <c r="O79" s="85"/>
      <c r="P79" s="44"/>
      <c r="Q79" s="85"/>
      <c r="R79" s="44"/>
      <c r="S79" s="85"/>
      <c r="T79" s="44"/>
      <c r="U79" s="85"/>
      <c r="V79" s="44"/>
      <c r="W79" s="85"/>
      <c r="X79" s="44"/>
      <c r="Y79" s="85"/>
      <c r="Z79" s="44"/>
      <c r="AA79" s="50"/>
      <c r="AB79" s="44"/>
    </row>
    <row r="80" spans="2:28" x14ac:dyDescent="0.25">
      <c r="B80" s="41" t="str">
        <f>BDER!C51</f>
        <v xml:space="preserve">I.S.R. e I.A.                           </v>
      </c>
      <c r="C80" s="79">
        <v>4.234</v>
      </c>
      <c r="D80" s="96">
        <f>IF(C62=0,"N.D.",C80/C62)</f>
        <v>2.0000359005027013E-3</v>
      </c>
      <c r="E80" s="79">
        <v>5.2969999999999997</v>
      </c>
      <c r="F80" s="96">
        <f>IF(E62=0,"N.D.",E80/E62)</f>
        <v>1.9999697946793326E-3</v>
      </c>
      <c r="G80" s="79">
        <v>3.6560000000000001</v>
      </c>
      <c r="H80" s="96">
        <f>IF(G62=0,"N.D.",G80/G62)</f>
        <v>1.9999288865549091E-3</v>
      </c>
      <c r="I80" s="79">
        <v>4.4180000000000001</v>
      </c>
      <c r="J80" s="96">
        <f>IF(I62=0,"N.D.",I80/I62)</f>
        <v>2.0000860154692031E-3</v>
      </c>
      <c r="K80" s="79">
        <v>4.4180000000000001</v>
      </c>
      <c r="L80" s="43">
        <f>IF(K62=0,"N.D.",K80/K62)</f>
        <v>2.0000860154692031E-3</v>
      </c>
      <c r="M80" s="79">
        <v>4.8070000000000004</v>
      </c>
      <c r="N80" s="43">
        <f>IF(M62=0,"N.D.",M80/M62)</f>
        <v>1.9999683799465625E-3</v>
      </c>
      <c r="O80" s="79"/>
      <c r="P80" s="43" t="str">
        <f>IF(O62=0,"N.D.",O80/O62)</f>
        <v>N.D.</v>
      </c>
      <c r="Q80" s="79"/>
      <c r="R80" s="43" t="str">
        <f>IF(Q62=0,"N.D.",Q80/Q62)</f>
        <v>N.D.</v>
      </c>
      <c r="S80" s="79"/>
      <c r="T80" s="43" t="str">
        <f>IF(S62=0,"N.D.",S80/S62)</f>
        <v>N.D.</v>
      </c>
      <c r="U80" s="79"/>
      <c r="V80" s="43" t="str">
        <f>IF(U62=0,"N.D.",U80/U62)</f>
        <v>N.D.</v>
      </c>
      <c r="W80" s="79"/>
      <c r="X80" s="43" t="str">
        <f>IF(W62=0,"N.D.",W80/W62)</f>
        <v>N.D.</v>
      </c>
      <c r="Y80" s="79"/>
      <c r="Z80" s="43" t="str">
        <f>IF(Y62=0,"N.D.",Y80/Y62)</f>
        <v>N.D.</v>
      </c>
      <c r="AA80" s="42">
        <f t="shared" si="199"/>
        <v>26.83</v>
      </c>
      <c r="AB80" s="43">
        <f>IF(AA62=0,"N.D.",AA80/AA62)</f>
        <v>2.000012672461957E-3</v>
      </c>
    </row>
    <row r="81" spans="2:28" x14ac:dyDescent="0.25">
      <c r="B81" s="41" t="str">
        <f>BDER!C52</f>
        <v xml:space="preserve">P.T.U.                                  </v>
      </c>
      <c r="C81" s="88">
        <v>0</v>
      </c>
      <c r="D81" s="97">
        <f>IF(C62=0,"N.D.",C81/C62)</f>
        <v>0</v>
      </c>
      <c r="E81" s="88">
        <v>0</v>
      </c>
      <c r="F81" s="97">
        <f>IF(E62=0,"N.D.",E81/E62)</f>
        <v>0</v>
      </c>
      <c r="G81" s="88">
        <v>0</v>
      </c>
      <c r="H81" s="97">
        <f>IF(G62=0,"N.D.",G81/G62)</f>
        <v>0</v>
      </c>
      <c r="I81" s="88">
        <v>0</v>
      </c>
      <c r="J81" s="97">
        <f>IF(I62=0,"N.D.",I81/I62)</f>
        <v>0</v>
      </c>
      <c r="K81" s="88">
        <v>0</v>
      </c>
      <c r="L81" s="46">
        <f>IF(K62=0,"N.D.",K81/K62)</f>
        <v>0</v>
      </c>
      <c r="M81" s="88">
        <v>0</v>
      </c>
      <c r="N81" s="46">
        <f>IF(M62=0,"N.D.",M81/M62)</f>
        <v>0</v>
      </c>
      <c r="O81" s="88"/>
      <c r="P81" s="46" t="str">
        <f>IF(O62=0,"N.D.",O81/O62)</f>
        <v>N.D.</v>
      </c>
      <c r="Q81" s="88"/>
      <c r="R81" s="46" t="str">
        <f>IF(Q62=0,"N.D.",Q81/Q62)</f>
        <v>N.D.</v>
      </c>
      <c r="S81" s="88"/>
      <c r="T81" s="46" t="str">
        <f>IF(S62=0,"N.D.",S81/S62)</f>
        <v>N.D.</v>
      </c>
      <c r="U81" s="88"/>
      <c r="V81" s="46" t="str">
        <f>IF(U62=0,"N.D.",U81/U62)</f>
        <v>N.D.</v>
      </c>
      <c r="W81" s="88"/>
      <c r="X81" s="46" t="str">
        <f>IF(W62=0,"N.D.",W81/W62)</f>
        <v>N.D.</v>
      </c>
      <c r="Y81" s="88"/>
      <c r="Z81" s="46" t="str">
        <f>IF(Y62=0,"N.D.",Y81/Y62)</f>
        <v>N.D.</v>
      </c>
      <c r="AA81" s="52">
        <f t="shared" si="199"/>
        <v>0</v>
      </c>
      <c r="AB81" s="46">
        <f>IF(AA62=0,"N.D.",AA81/AA62)</f>
        <v>0</v>
      </c>
    </row>
    <row r="82" spans="2:28" ht="13" x14ac:dyDescent="0.3">
      <c r="B82" s="47" t="str">
        <f>BDER!C53</f>
        <v xml:space="preserve">Utilidad Neta                           </v>
      </c>
      <c r="C82" s="83">
        <v>849.30600000000004</v>
      </c>
      <c r="D82" s="98">
        <f>IF(C62=0,"N.D.",C82/C62)</f>
        <v>0.40119095193961918</v>
      </c>
      <c r="E82" s="83">
        <v>350.88499999999999</v>
      </c>
      <c r="F82" s="98">
        <f>IF(E62=0,"N.D.",E82/E62)</f>
        <v>0.13248242427903675</v>
      </c>
      <c r="G82" s="83">
        <v>219.566</v>
      </c>
      <c r="H82" s="98">
        <f>IF(G62=0,"N.D.",G82/G62)</f>
        <v>0.1201084206524385</v>
      </c>
      <c r="I82" s="83">
        <v>-196.49</v>
      </c>
      <c r="J82" s="98">
        <f>IF(I62=0,"N.D.",I82/I62)</f>
        <v>-8.8953576545845112E-2</v>
      </c>
      <c r="K82" s="83">
        <v>-196.49</v>
      </c>
      <c r="L82" s="49">
        <f>IF(K62=0,"N.D.",K82/K62)</f>
        <v>-8.8953576545845112E-2</v>
      </c>
      <c r="M82" s="83">
        <v>359.46300000000002</v>
      </c>
      <c r="N82" s="49">
        <f>IF(M62=0,"N.D.",M82/M62)</f>
        <v>0.14955577985453111</v>
      </c>
      <c r="O82" s="83"/>
      <c r="P82" s="49" t="str">
        <f>IF(O62=0,"N.D.",O82/O62)</f>
        <v>N.D.</v>
      </c>
      <c r="Q82" s="83"/>
      <c r="R82" s="49" t="str">
        <f>IF(Q62=0,"N.D.",Q82/Q62)</f>
        <v>N.D.</v>
      </c>
      <c r="S82" s="83"/>
      <c r="T82" s="49" t="str">
        <f>IF(S62=0,"N.D.",S82/S62)</f>
        <v>N.D.</v>
      </c>
      <c r="U82" s="83"/>
      <c r="V82" s="49" t="str">
        <f>IF(U62=0,"N.D.",U82/U62)</f>
        <v>N.D.</v>
      </c>
      <c r="W82" s="83"/>
      <c r="X82" s="49" t="str">
        <f>IF(W62=0,"N.D.",W82/W62)</f>
        <v>N.D.</v>
      </c>
      <c r="Y82" s="83"/>
      <c r="Z82" s="49" t="str">
        <f>IF(Y62=0,"N.D.",Y82/Y62)</f>
        <v>N.D.</v>
      </c>
      <c r="AA82" s="48">
        <f t="shared" si="199"/>
        <v>1386.24</v>
      </c>
      <c r="AB82" s="49">
        <f>IF(AA62=0,"N.D.",AA82/AA62)</f>
        <v>0.1033357274347247</v>
      </c>
    </row>
    <row r="83" spans="2:28" ht="13" x14ac:dyDescent="0.3">
      <c r="B83" s="47" t="str">
        <f>BDER!C54</f>
        <v xml:space="preserve">U.A.F.I.R Flujo                         </v>
      </c>
      <c r="C83" s="83">
        <v>284.86200000000002</v>
      </c>
      <c r="D83" s="98">
        <f>IF(C62=0,"N.D.",C83/C62)</f>
        <v>0.13456169737576773</v>
      </c>
      <c r="E83" s="83">
        <v>432.01</v>
      </c>
      <c r="F83" s="98">
        <f>IF(E62=0,"N.D.",E83/E62)</f>
        <v>0.16311250726815529</v>
      </c>
      <c r="G83" s="83">
        <v>318.815</v>
      </c>
      <c r="H83" s="98">
        <f>IF(G62=0,"N.D.",G83/G62)</f>
        <v>0.17440025382029631</v>
      </c>
      <c r="I83" s="83">
        <v>202.43899999999999</v>
      </c>
      <c r="J83" s="98">
        <f>IF(I62=0,"N.D.",I83/I62)</f>
        <v>9.1646766157892703E-2</v>
      </c>
      <c r="K83" s="83">
        <v>202.43899999999999</v>
      </c>
      <c r="L83" s="49">
        <f>IF(K62=0,"N.D.",K83/K62)</f>
        <v>9.1646766157892703E-2</v>
      </c>
      <c r="M83" s="83">
        <v>219.08799999999999</v>
      </c>
      <c r="N83" s="49">
        <f>IF(M62=0,"N.D.",M83/M62)</f>
        <v>9.1152292994743575E-2</v>
      </c>
      <c r="O83" s="83"/>
      <c r="P83" s="49" t="str">
        <f>IF(O62=0,"N.D.",O83/O62)</f>
        <v>N.D.</v>
      </c>
      <c r="Q83" s="83"/>
      <c r="R83" s="49" t="str">
        <f>IF(Q62=0,"N.D.",Q83/Q62)</f>
        <v>N.D.</v>
      </c>
      <c r="S83" s="83"/>
      <c r="T83" s="49" t="str">
        <f>IF(S62=0,"N.D.",S83/S62)</f>
        <v>N.D.</v>
      </c>
      <c r="U83" s="83"/>
      <c r="V83" s="49" t="str">
        <f>IF(U62=0,"N.D.",U83/U62)</f>
        <v>N.D.</v>
      </c>
      <c r="W83" s="83"/>
      <c r="X83" s="49" t="str">
        <f>IF(W62=0,"N.D.",W83/W62)</f>
        <v>N.D.</v>
      </c>
      <c r="Y83" s="83"/>
      <c r="Z83" s="49" t="str">
        <f>IF(Y62=0,"N.D.",Y83/Y62)</f>
        <v>N.D.</v>
      </c>
      <c r="AA83" s="48">
        <f t="shared" si="199"/>
        <v>1659.653</v>
      </c>
      <c r="AB83" s="49">
        <f>IF(AA62=0,"N.D.",AA83/AA62)</f>
        <v>0.12371699708868822</v>
      </c>
    </row>
    <row r="84" spans="2:28" x14ac:dyDescent="0.25">
      <c r="C84" s="85"/>
      <c r="D84" s="85"/>
      <c r="E84" s="85"/>
      <c r="F84" s="85"/>
      <c r="G84" s="85"/>
      <c r="H84" s="85"/>
      <c r="I84" s="85"/>
      <c r="J84" s="85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</row>
    <row r="85" spans="2:28" x14ac:dyDescent="0.25">
      <c r="C85" s="105"/>
      <c r="D85" s="77"/>
      <c r="E85" s="105"/>
      <c r="F85" s="77"/>
      <c r="G85" s="105"/>
      <c r="H85" s="77"/>
      <c r="I85" s="105"/>
      <c r="J85" s="77"/>
      <c r="K85" s="61"/>
      <c r="M85" s="61"/>
      <c r="O85" s="61"/>
      <c r="Q85" s="61"/>
      <c r="S85" s="61"/>
      <c r="U85" s="61"/>
      <c r="W85" s="61"/>
      <c r="Y85" s="61"/>
      <c r="AA85" s="61"/>
    </row>
    <row r="86" spans="2:28" ht="13" x14ac:dyDescent="0.3">
      <c r="B86" s="47"/>
      <c r="C86" s="85"/>
      <c r="D86" s="85"/>
      <c r="E86" s="85"/>
      <c r="F86" s="85"/>
      <c r="G86" s="85"/>
      <c r="H86" s="85"/>
      <c r="I86" s="85"/>
      <c r="J86" s="85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</row>
    <row r="87" spans="2:28" x14ac:dyDescent="0.25">
      <c r="B87" s="41"/>
      <c r="C87" s="85"/>
      <c r="D87" s="85"/>
      <c r="E87" s="85"/>
      <c r="F87" s="85"/>
      <c r="G87" s="85"/>
      <c r="H87" s="85"/>
      <c r="I87" s="85"/>
      <c r="J87" s="85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</row>
    <row r="88" spans="2:28" x14ac:dyDescent="0.25">
      <c r="B88" s="41"/>
      <c r="C88" s="85"/>
      <c r="D88" s="85"/>
      <c r="E88" s="85"/>
      <c r="F88" s="85"/>
      <c r="G88" s="85"/>
      <c r="H88" s="85"/>
      <c r="I88" s="85"/>
      <c r="J88" s="85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</row>
    <row r="89" spans="2:28" x14ac:dyDescent="0.25">
      <c r="B89" s="41"/>
      <c r="C89" s="85"/>
      <c r="D89" s="85"/>
      <c r="E89" s="85"/>
      <c r="F89" s="85"/>
      <c r="G89" s="85"/>
      <c r="H89" s="85"/>
      <c r="I89" s="85"/>
      <c r="J89" s="85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</row>
    <row r="90" spans="2:28" x14ac:dyDescent="0.25">
      <c r="B90" s="41"/>
      <c r="C90" s="85"/>
      <c r="D90" s="85"/>
      <c r="E90" s="85"/>
      <c r="F90" s="85"/>
      <c r="G90" s="85"/>
      <c r="H90" s="85"/>
      <c r="I90" s="85"/>
      <c r="J90" s="85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</row>
    <row r="91" spans="2:28" ht="13" x14ac:dyDescent="0.3">
      <c r="B91" s="47"/>
      <c r="C91" s="85"/>
      <c r="D91" s="85"/>
      <c r="E91" s="85"/>
      <c r="F91" s="85"/>
      <c r="G91" s="85"/>
      <c r="H91" s="85"/>
      <c r="I91" s="85"/>
      <c r="J91" s="85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</row>
    <row r="92" spans="2:28" ht="13" x14ac:dyDescent="0.3">
      <c r="B92" s="47"/>
      <c r="C92" s="85"/>
      <c r="D92" s="85"/>
      <c r="E92" s="85"/>
      <c r="F92" s="85"/>
      <c r="G92" s="85"/>
      <c r="H92" s="85"/>
      <c r="I92" s="85"/>
      <c r="J92" s="85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</row>
    <row r="93" spans="2:28" x14ac:dyDescent="0.25">
      <c r="B93" s="41"/>
      <c r="C93" s="85"/>
      <c r="D93" s="85"/>
      <c r="E93" s="85"/>
      <c r="F93" s="85"/>
      <c r="G93" s="85"/>
      <c r="H93" s="85"/>
      <c r="I93" s="85"/>
      <c r="J93" s="85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</row>
    <row r="94" spans="2:28" x14ac:dyDescent="0.25">
      <c r="B94" s="41"/>
      <c r="C94" s="85"/>
      <c r="D94" s="85"/>
      <c r="E94" s="85"/>
      <c r="F94" s="85"/>
      <c r="G94" s="85"/>
      <c r="H94" s="85"/>
      <c r="I94" s="85"/>
      <c r="J94" s="85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</row>
    <row r="95" spans="2:28" x14ac:dyDescent="0.25">
      <c r="B95" s="41"/>
      <c r="C95" s="85"/>
      <c r="D95" s="85"/>
      <c r="E95" s="85"/>
      <c r="F95" s="85"/>
      <c r="G95" s="85"/>
      <c r="H95" s="85"/>
      <c r="I95" s="85"/>
      <c r="J95" s="85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</row>
    <row r="96" spans="2:28" x14ac:dyDescent="0.25">
      <c r="B96" s="41"/>
      <c r="C96" s="85"/>
      <c r="D96" s="85"/>
      <c r="E96" s="85"/>
      <c r="F96" s="85"/>
      <c r="G96" s="85"/>
      <c r="H96" s="85"/>
      <c r="I96" s="85"/>
      <c r="J96" s="85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</row>
    <row r="97" spans="2:28" x14ac:dyDescent="0.25">
      <c r="B97" s="41"/>
      <c r="C97" s="85"/>
      <c r="D97" s="85"/>
      <c r="E97" s="85"/>
      <c r="F97" s="85"/>
      <c r="G97" s="85"/>
      <c r="H97" s="85"/>
      <c r="I97" s="85"/>
      <c r="J97" s="85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</row>
    <row r="98" spans="2:28" x14ac:dyDescent="0.25">
      <c r="B98" s="41"/>
      <c r="C98" s="85"/>
      <c r="D98" s="85"/>
      <c r="E98" s="85"/>
      <c r="F98" s="85"/>
      <c r="G98" s="85"/>
      <c r="H98" s="85"/>
      <c r="I98" s="85"/>
      <c r="J98" s="85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</row>
    <row r="99" spans="2:28" ht="13" x14ac:dyDescent="0.3">
      <c r="B99" s="47"/>
      <c r="C99" s="85"/>
      <c r="D99" s="85"/>
      <c r="E99" s="85"/>
      <c r="F99" s="85"/>
      <c r="G99" s="85"/>
      <c r="H99" s="85"/>
      <c r="I99" s="85"/>
      <c r="J99" s="85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</row>
    <row r="100" spans="2:28" ht="13" x14ac:dyDescent="0.3">
      <c r="B100" s="47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</row>
    <row r="101" spans="2:28" x14ac:dyDescent="0.25">
      <c r="B101" s="41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</row>
    <row r="102" spans="2:28" x14ac:dyDescent="0.25">
      <c r="B102" s="41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</row>
    <row r="103" spans="2:28" x14ac:dyDescent="0.25">
      <c r="B103" s="41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</row>
    <row r="104" spans="2:28" ht="13" x14ac:dyDescent="0.3">
      <c r="B104" s="47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</row>
    <row r="105" spans="2:28" ht="13" x14ac:dyDescent="0.3">
      <c r="B105" s="47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imestre">
    <tabColor rgb="FF00B0F0"/>
  </sheetPr>
  <dimension ref="A2:X83"/>
  <sheetViews>
    <sheetView showGridLines="0" topLeftCell="I2" zoomScale="117" zoomScaleNormal="69" workbookViewId="0">
      <selection activeCell="N9" sqref="N9:X31"/>
    </sheetView>
  </sheetViews>
  <sheetFormatPr baseColWidth="10" defaultColWidth="10.81640625" defaultRowHeight="12.5" x14ac:dyDescent="0.25"/>
  <cols>
    <col min="1" max="1" width="11.1796875" style="63" bestFit="1" customWidth="1"/>
    <col min="2" max="2" width="25.1796875" style="63" customWidth="1"/>
    <col min="3" max="3" width="8.26953125" style="63" customWidth="1"/>
    <col min="4" max="4" width="9.1796875" style="63" bestFit="1" customWidth="1"/>
    <col min="5" max="5" width="9.1796875" style="63" customWidth="1"/>
    <col min="6" max="6" width="7.453125" style="63" customWidth="1"/>
    <col min="7" max="7" width="8.54296875" style="63" customWidth="1"/>
    <col min="8" max="8" width="9.453125" style="63" customWidth="1"/>
    <col min="9" max="9" width="9.26953125" style="63" customWidth="1"/>
    <col min="10" max="10" width="11.453125" style="63" customWidth="1"/>
    <col min="11" max="11" width="8.1796875" style="63" bestFit="1" customWidth="1"/>
    <col min="12" max="12" width="10.26953125" style="63" customWidth="1"/>
    <col min="13" max="13" width="10.81640625" style="63"/>
    <col min="14" max="14" width="25.1796875" style="63" customWidth="1"/>
    <col min="15" max="15" width="8.26953125" style="63" customWidth="1"/>
    <col min="16" max="16" width="9.1796875" style="63" bestFit="1" customWidth="1"/>
    <col min="17" max="17" width="9.1796875" style="63" customWidth="1"/>
    <col min="18" max="18" width="7.453125" style="63" customWidth="1"/>
    <col min="19" max="19" width="8.54296875" style="63" customWidth="1"/>
    <col min="20" max="20" width="9.453125" style="63" customWidth="1"/>
    <col min="21" max="21" width="9.26953125" style="63" customWidth="1"/>
    <col min="22" max="22" width="11.453125" style="63" customWidth="1"/>
    <col min="23" max="23" width="8.1796875" style="63" bestFit="1" customWidth="1"/>
    <col min="24" max="24" width="10.26953125" style="63" customWidth="1"/>
    <col min="25" max="16384" width="10.81640625" style="63"/>
  </cols>
  <sheetData>
    <row r="2" spans="1:24" x14ac:dyDescent="0.25"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</row>
    <row r="5" spans="1:24" ht="13" x14ac:dyDescent="0.3">
      <c r="A5" s="323"/>
      <c r="F5" s="151" t="str">
        <f>+ROUNDUP(MONTH(MES_CIERRE)/3,0)&amp;IF(MONTH(MES_CIERRE)/3=4,"to",IF(MONTH(MES_CIERRE)/3=2,"do",IF(OR(MONTH(MES_CIERRE)/3=1,MONTH(MES_CIERRE)/3=3),"er","")))&amp;" Trimestre "&amp;YEAR(MES_CIERRE)</f>
        <v>3 Trimestre 2019</v>
      </c>
      <c r="R5" s="151" t="str">
        <f>+ROUNDUP(MONTH(EDATE(MES_CIERRE,3))/3,0)&amp;IF(MONTH(EDATE(MES_CIERRE,3))/3=4,"to",IF(MONTH(EDATE(MES_CIERRE,3))/3=2,"do",IF(OR(MONTH(EDATE(MES_CIERRE,3))/3=1,MONTH(EDATE(MES_CIERRE,3))/3=3),"er","")))&amp;" Trimestre "&amp;YEAR(EDATE(MES_CIERRE,3))</f>
        <v>4 Trimestre 2019</v>
      </c>
    </row>
    <row r="6" spans="1:24" x14ac:dyDescent="0.25">
      <c r="A6" s="323"/>
    </row>
    <row r="7" spans="1:24" ht="13" x14ac:dyDescent="0.3">
      <c r="A7" s="323"/>
      <c r="B7" s="128" t="s">
        <v>109</v>
      </c>
      <c r="C7" s="121"/>
      <c r="D7" s="120"/>
      <c r="E7" s="121"/>
      <c r="F7" s="120"/>
      <c r="G7" s="121"/>
      <c r="H7" s="120"/>
      <c r="I7" s="121"/>
      <c r="J7" s="120"/>
      <c r="K7" s="121"/>
      <c r="L7" s="120"/>
      <c r="N7" s="128" t="str">
        <f>+B7</f>
        <v>División Inmobiliaria</v>
      </c>
      <c r="O7" s="121"/>
      <c r="P7" s="120"/>
      <c r="Q7" s="121"/>
      <c r="R7" s="120"/>
      <c r="S7" s="121"/>
      <c r="T7" s="120"/>
      <c r="U7" s="121"/>
      <c r="V7" s="120"/>
      <c r="W7" s="121"/>
      <c r="X7" s="120"/>
    </row>
    <row r="8" spans="1:24" ht="13" x14ac:dyDescent="0.3">
      <c r="A8" s="323"/>
      <c r="B8" s="128" t="s">
        <v>392</v>
      </c>
      <c r="C8" s="121"/>
      <c r="D8" s="120"/>
      <c r="E8" s="121"/>
      <c r="F8" s="120"/>
      <c r="G8" s="121"/>
      <c r="H8" s="120"/>
      <c r="I8" s="121"/>
      <c r="J8" s="120"/>
      <c r="K8" s="121"/>
      <c r="L8" s="120"/>
      <c r="N8" s="128" t="s">
        <v>393</v>
      </c>
      <c r="O8" s="121"/>
      <c r="P8" s="120"/>
      <c r="Q8" s="121"/>
      <c r="R8" s="120"/>
      <c r="S8" s="121"/>
      <c r="T8" s="120"/>
      <c r="U8" s="121"/>
      <c r="V8" s="120"/>
      <c r="W8" s="121"/>
      <c r="X8" s="120"/>
    </row>
    <row r="9" spans="1:24" ht="13" x14ac:dyDescent="0.3">
      <c r="A9" s="323"/>
      <c r="B9" s="121"/>
      <c r="C9" s="201" t="s">
        <v>2</v>
      </c>
      <c r="D9" s="234"/>
      <c r="E9" s="201" t="s">
        <v>10</v>
      </c>
      <c r="F9" s="234"/>
      <c r="G9" s="201" t="s">
        <v>110</v>
      </c>
      <c r="H9" s="234"/>
      <c r="I9" s="201" t="s">
        <v>111</v>
      </c>
      <c r="J9" s="234"/>
      <c r="K9" s="201" t="s">
        <v>112</v>
      </c>
      <c r="L9" s="120"/>
      <c r="N9" s="121"/>
      <c r="O9" s="201" t="s">
        <v>2</v>
      </c>
      <c r="P9" s="234"/>
      <c r="Q9" s="201" t="s">
        <v>10</v>
      </c>
      <c r="R9" s="234"/>
      <c r="S9" s="201" t="s">
        <v>110</v>
      </c>
      <c r="T9" s="234"/>
      <c r="U9" s="201" t="s">
        <v>111</v>
      </c>
      <c r="V9" s="234"/>
      <c r="W9" s="201" t="s">
        <v>112</v>
      </c>
      <c r="X9" s="120"/>
    </row>
    <row r="10" spans="1:24" x14ac:dyDescent="0.25">
      <c r="A10" s="323"/>
      <c r="B10" s="129" t="s">
        <v>236</v>
      </c>
      <c r="C10" s="130">
        <f ca="1">+C36+C62</f>
        <v>0</v>
      </c>
      <c r="D10" s="131" t="str">
        <f ca="1">IF(C10=0,"N.D.",C10/C10)</f>
        <v>N.D.</v>
      </c>
      <c r="E10" s="130">
        <f ca="1">+E36+E62</f>
        <v>0</v>
      </c>
      <c r="F10" s="131">
        <f ca="1">IF(E$10=0, 0, E10/$E$10)</f>
        <v>0</v>
      </c>
      <c r="G10" s="130">
        <f ca="1">+G36+G62</f>
        <v>12303.88</v>
      </c>
      <c r="H10" s="131">
        <f ca="1">IF(G$10=0, 0, G10/$G$10)</f>
        <v>1</v>
      </c>
      <c r="I10" s="133">
        <f ca="1">C10-E10</f>
        <v>0</v>
      </c>
      <c r="J10" s="134" t="str">
        <f ca="1">IF(E10=0,"N.D.",C10/E10-1)</f>
        <v>N.D.</v>
      </c>
      <c r="K10" s="132">
        <f ca="1">C10-G10</f>
        <v>-12303.88</v>
      </c>
      <c r="L10" s="131">
        <f ca="1">IF(G10=0,"N.D.",C10/G10-1)</f>
        <v>-1</v>
      </c>
      <c r="N10" s="129" t="s">
        <v>236</v>
      </c>
      <c r="O10" s="130">
        <f>+O36+O62</f>
        <v>16037</v>
      </c>
      <c r="P10" s="131">
        <f>IF(O10=0,"N.D.",O10/O10)</f>
        <v>1</v>
      </c>
      <c r="Q10" s="130">
        <f ca="1">+Q36+Q62</f>
        <v>7505.6939999999995</v>
      </c>
      <c r="R10" s="131">
        <f ca="1">IF(Q$10=0, 0, Q10/$Q$10)</f>
        <v>1</v>
      </c>
      <c r="S10" s="130">
        <f ca="1">+S36+S62</f>
        <v>19017.334999999999</v>
      </c>
      <c r="T10" s="131">
        <f ca="1">IF(S$10=0, 0, S10/$G$10)</f>
        <v>1.5456372298819561</v>
      </c>
      <c r="U10" s="133">
        <f ca="1">O10-Q10</f>
        <v>8531.3060000000005</v>
      </c>
      <c r="V10" s="134">
        <f ca="1">IF(Q10=0,"N.D.",O10/Q10-1)</f>
        <v>1.1366445261424194</v>
      </c>
      <c r="W10" s="132">
        <f ca="1">O10-S10</f>
        <v>-2980.3349999999991</v>
      </c>
      <c r="X10" s="131">
        <f ca="1">IF(S10=0,"N.D.",O10/S10-1)</f>
        <v>-0.15671675342523017</v>
      </c>
    </row>
    <row r="11" spans="1:24" x14ac:dyDescent="0.25">
      <c r="A11" s="323"/>
      <c r="B11" s="129" t="s">
        <v>145</v>
      </c>
      <c r="C11" s="135">
        <f ca="1">+C37+C63</f>
        <v>0</v>
      </c>
      <c r="D11" s="136" t="str">
        <f ca="1">IF(C10=0,"N.D.",C11/C10)</f>
        <v>N.D.</v>
      </c>
      <c r="E11" s="135">
        <f ca="1">+E37+E63</f>
        <v>0</v>
      </c>
      <c r="F11" s="136">
        <f ca="1">IF(E$10=0, 0, E11/$E$10)</f>
        <v>0</v>
      </c>
      <c r="G11" s="135">
        <f ca="1">+G37+G63</f>
        <v>7179.5529999999999</v>
      </c>
      <c r="H11" s="136">
        <f ca="1">IF(G$10=0, 0, G11/$G$10)</f>
        <v>0.58351942639232501</v>
      </c>
      <c r="I11" s="137">
        <f ca="1">C11-E11</f>
        <v>0</v>
      </c>
      <c r="J11" s="138" t="str">
        <f ca="1">IF(E11=0,"N.D.",C11/E11-1)</f>
        <v>N.D.</v>
      </c>
      <c r="K11" s="135">
        <f ca="1">C11-G11</f>
        <v>-7179.5529999999999</v>
      </c>
      <c r="L11" s="136">
        <f ca="1">IF(G11=0,"N.D.",C11/G11-1)</f>
        <v>-1</v>
      </c>
      <c r="N11" s="129" t="s">
        <v>145</v>
      </c>
      <c r="O11" s="135">
        <f>+O37+O63</f>
        <v>8490</v>
      </c>
      <c r="P11" s="136">
        <f>IF(O10=0,"N.D.",O11/O10)</f>
        <v>0.5294007607407869</v>
      </c>
      <c r="Q11" s="135">
        <f ca="1">+Q37+Q63</f>
        <v>4038.0010000000002</v>
      </c>
      <c r="R11" s="136">
        <f ca="1">IF(Q$10=0, 0, Q11/$Q$10)</f>
        <v>0.53799169004225333</v>
      </c>
      <c r="S11" s="135">
        <f ca="1">+S37+S63</f>
        <v>10024.852999999999</v>
      </c>
      <c r="T11" s="136">
        <f ca="1">IF(S$10=0, 0, S11/$G$10)</f>
        <v>0.81477168177843085</v>
      </c>
      <c r="U11" s="137">
        <f ca="1">O11-Q11</f>
        <v>4451.9989999999998</v>
      </c>
      <c r="V11" s="138">
        <f ca="1">IF(Q11=0,"N.D.",O11/Q11-1)</f>
        <v>1.1025254822869037</v>
      </c>
      <c r="W11" s="135">
        <f ca="1">O11-S11</f>
        <v>-1534.8529999999992</v>
      </c>
      <c r="X11" s="136">
        <f ca="1">IF(S11=0,"N.D.",O11/S11-1)</f>
        <v>-0.15310478866872157</v>
      </c>
    </row>
    <row r="12" spans="1:24" ht="13" x14ac:dyDescent="0.3">
      <c r="A12" s="323"/>
      <c r="B12" s="139" t="s">
        <v>237</v>
      </c>
      <c r="C12" s="140">
        <f ca="1">+C38+C64</f>
        <v>0</v>
      </c>
      <c r="D12" s="141" t="str">
        <f ca="1">IF(C10=0,"N.D.",C12/C10)</f>
        <v>N.D.</v>
      </c>
      <c r="E12" s="140">
        <f ca="1">+E38+E64</f>
        <v>0</v>
      </c>
      <c r="F12" s="141">
        <f ca="1">IF(E$10=0, 0, E12/$E$10)</f>
        <v>0</v>
      </c>
      <c r="G12" s="140">
        <f ca="1">+G38+G64</f>
        <v>5124.3269999999993</v>
      </c>
      <c r="H12" s="141">
        <f ca="1">IF(G$10=0, 0, G12/$G$10)</f>
        <v>0.41648057360767493</v>
      </c>
      <c r="I12" s="143">
        <f ca="1">C12-E12</f>
        <v>0</v>
      </c>
      <c r="J12" s="144" t="str">
        <f ca="1">IF(E12=0,"N.D.",C12/E12-1)</f>
        <v>N.D.</v>
      </c>
      <c r="K12" s="142">
        <f ca="1">C12-G12</f>
        <v>-5124.3269999999993</v>
      </c>
      <c r="L12" s="141">
        <f ca="1">IF(G12=0,"N.D.",C12/G12-1)</f>
        <v>-1</v>
      </c>
      <c r="N12" s="139" t="s">
        <v>237</v>
      </c>
      <c r="O12" s="140">
        <f>+O38+O64</f>
        <v>7547</v>
      </c>
      <c r="P12" s="141">
        <f>IF(O10=0,"N.D.",O12/O10)</f>
        <v>0.47059923925921304</v>
      </c>
      <c r="Q12" s="140">
        <f ca="1">+Q38+Q64</f>
        <v>3467.6929999999998</v>
      </c>
      <c r="R12" s="141">
        <f ca="1">IF(Q$10=0, 0, Q12/$Q$10)</f>
        <v>0.46200830995774672</v>
      </c>
      <c r="S12" s="140">
        <f ca="1">+S38+S64</f>
        <v>8992.4819999999982</v>
      </c>
      <c r="T12" s="141">
        <f ca="1">IF(S$10=0, 0, S12/$G$10)</f>
        <v>0.730865548103525</v>
      </c>
      <c r="U12" s="143">
        <f ca="1">O12-Q12</f>
        <v>4079.3070000000002</v>
      </c>
      <c r="V12" s="144">
        <f ca="1">IF(Q12=0,"N.D.",O12/Q12-1)</f>
        <v>1.1763748982392617</v>
      </c>
      <c r="W12" s="142">
        <f ca="1">O12-S12</f>
        <v>-1445.4819999999982</v>
      </c>
      <c r="X12" s="141">
        <f ca="1">IF(S12=0,"N.D.",O12/S12-1)</f>
        <v>-0.1607433854190643</v>
      </c>
    </row>
    <row r="13" spans="1:24" x14ac:dyDescent="0.25">
      <c r="A13" s="323"/>
      <c r="B13" s="129"/>
      <c r="C13" s="127"/>
      <c r="D13" s="124"/>
      <c r="E13" s="127"/>
      <c r="F13" s="124"/>
      <c r="G13" s="127"/>
      <c r="H13" s="124"/>
      <c r="I13" s="127"/>
      <c r="J13" s="145"/>
      <c r="K13" s="127"/>
      <c r="L13" s="124"/>
      <c r="N13" s="129"/>
      <c r="O13" s="127"/>
      <c r="P13" s="124"/>
      <c r="Q13" s="127"/>
      <c r="R13" s="124"/>
      <c r="S13" s="127"/>
      <c r="T13" s="124"/>
      <c r="U13" s="127"/>
      <c r="V13" s="145"/>
      <c r="W13" s="127"/>
      <c r="X13" s="124"/>
    </row>
    <row r="14" spans="1:24" x14ac:dyDescent="0.25">
      <c r="A14" s="323"/>
      <c r="B14" s="129" t="s">
        <v>238</v>
      </c>
      <c r="C14" s="132">
        <f ca="1">+C40+C66</f>
        <v>0</v>
      </c>
      <c r="D14" s="131" t="str">
        <f ca="1">IF(C10=0,"N.D.",C14/C10)</f>
        <v>N.D.</v>
      </c>
      <c r="E14" s="132">
        <f ca="1">+E40+E66</f>
        <v>0</v>
      </c>
      <c r="F14" s="131">
        <f ca="1">IF(E$10=0, 0, E14/$E$10)</f>
        <v>0</v>
      </c>
      <c r="G14" s="132">
        <f ca="1">+G40+G66</f>
        <v>282.78999999999996</v>
      </c>
      <c r="H14" s="131">
        <f ca="1">IF(G$10=0, 0, G14/$G$10)</f>
        <v>2.2983806734135897E-2</v>
      </c>
      <c r="I14" s="133">
        <f ca="1">C14-E14</f>
        <v>0</v>
      </c>
      <c r="J14" s="134" t="str">
        <f ca="1">IF(E14=0,"N.D.",C14/E14-1)</f>
        <v>N.D.</v>
      </c>
      <c r="K14" s="132">
        <f ca="1">C14-G14</f>
        <v>-282.78999999999996</v>
      </c>
      <c r="L14" s="131">
        <f ca="1">IF(G14=0,"N.D.",C14/G14-1)</f>
        <v>-1</v>
      </c>
      <c r="N14" s="129" t="s">
        <v>238</v>
      </c>
      <c r="O14" s="132">
        <f>+O40+O66</f>
        <v>383</v>
      </c>
      <c r="P14" s="131">
        <f>IF(O10=0,"N.D.",O14/O10)</f>
        <v>2.3882272245432438E-2</v>
      </c>
      <c r="Q14" s="132">
        <f ca="1">+Q40+Q66</f>
        <v>258.464</v>
      </c>
      <c r="R14" s="131">
        <f ca="1">IF(Q$10=0, 0, Q14/$Q$10)</f>
        <v>3.4435723065715178E-2</v>
      </c>
      <c r="S14" s="132">
        <f ca="1">+S40+S66</f>
        <v>1020.867</v>
      </c>
      <c r="T14" s="131">
        <f ca="1">IF(S$10=0, 0, S14/$G$10)</f>
        <v>8.297114406187317E-2</v>
      </c>
      <c r="U14" s="133">
        <f ca="1">O14-Q14</f>
        <v>124.536</v>
      </c>
      <c r="V14" s="134">
        <f ca="1">IF(Q14=0,"N.D.",O14/Q14-1)</f>
        <v>0.48183112541785311</v>
      </c>
      <c r="W14" s="132">
        <f ca="1">O14-S14</f>
        <v>-637.86699999999996</v>
      </c>
      <c r="X14" s="131">
        <f ca="1">IF(S14=0,"N.D.",O14/S14-1)</f>
        <v>-0.62482869952697073</v>
      </c>
    </row>
    <row r="15" spans="1:24" x14ac:dyDescent="0.25">
      <c r="A15" s="323"/>
      <c r="B15" s="129" t="s">
        <v>239</v>
      </c>
      <c r="C15" s="135">
        <f ca="1">+C41+C67</f>
        <v>0</v>
      </c>
      <c r="D15" s="146" t="str">
        <f ca="1">IF(C10=0,"N.D.",C15/C10)</f>
        <v>N.D.</v>
      </c>
      <c r="E15" s="135">
        <f ca="1">+E41+E67</f>
        <v>0</v>
      </c>
      <c r="F15" s="146">
        <f ca="1">IF(E$10=0, 0, E15/$E$10)</f>
        <v>0</v>
      </c>
      <c r="G15" s="135">
        <f ca="1">+G41+G67</f>
        <v>1000.1319999999998</v>
      </c>
      <c r="H15" s="146">
        <f ca="1">IF(G$10=0, 0, G15/$G$10)</f>
        <v>8.1285903308549817E-2</v>
      </c>
      <c r="I15" s="137">
        <f ca="1">C15-E15</f>
        <v>0</v>
      </c>
      <c r="J15" s="138" t="str">
        <f ca="1">IF(E15=0,"N.D.",C15/E15-1)</f>
        <v>N.D.</v>
      </c>
      <c r="K15" s="135">
        <f ca="1">C15-G15</f>
        <v>-1000.1319999999998</v>
      </c>
      <c r="L15" s="146">
        <f ca="1">IF(G15=0,"N.D.",C15/G15-1)</f>
        <v>-1</v>
      </c>
      <c r="N15" s="129" t="s">
        <v>239</v>
      </c>
      <c r="O15" s="135">
        <f>+O41+O67</f>
        <v>591</v>
      </c>
      <c r="P15" s="146">
        <f>IF(O10=0,"N.D.",O15/O10)</f>
        <v>3.685227910457068E-2</v>
      </c>
      <c r="Q15" s="135">
        <f ca="1">+Q41+Q67</f>
        <v>810.65</v>
      </c>
      <c r="R15" s="146">
        <f ca="1">IF(Q$10=0, 0, Q15/$Q$10)</f>
        <v>0.1080046695215659</v>
      </c>
      <c r="S15" s="135">
        <f ca="1">+S41+S67</f>
        <v>860.61399999999992</v>
      </c>
      <c r="T15" s="146">
        <f ca="1">IF(S$10=0, 0, S15/$G$10)</f>
        <v>6.994655344492956E-2</v>
      </c>
      <c r="U15" s="137">
        <f ca="1">O15-Q15</f>
        <v>-219.64999999999998</v>
      </c>
      <c r="V15" s="138">
        <f ca="1">IF(Q15=0,"N.D.",O15/Q15-1)</f>
        <v>-0.27095540615555413</v>
      </c>
      <c r="W15" s="135">
        <f ca="1">O15-S15</f>
        <v>-269.61399999999992</v>
      </c>
      <c r="X15" s="146">
        <f ca="1">IF(S15=0,"N.D.",O15/S15-1)</f>
        <v>-0.3132809831120571</v>
      </c>
    </row>
    <row r="16" spans="1:24" x14ac:dyDescent="0.25">
      <c r="A16" s="323"/>
      <c r="B16" s="129" t="s">
        <v>240</v>
      </c>
      <c r="C16" s="147">
        <f ca="1">+C42+C68</f>
        <v>0</v>
      </c>
      <c r="D16" s="136" t="str">
        <f ca="1">IF(C10=0,"N.D.",C16/C10)</f>
        <v>N.D.</v>
      </c>
      <c r="E16" s="147">
        <f ca="1">+E42+E68</f>
        <v>0</v>
      </c>
      <c r="F16" s="136">
        <f ca="1">IF(E$10=0, 0, E16/$E$10)</f>
        <v>0</v>
      </c>
      <c r="G16" s="147">
        <f ca="1">+G42+G68</f>
        <v>50.483999999999995</v>
      </c>
      <c r="H16" s="136">
        <f ca="1">IF(G$10=0, 0, G16/$G$10)</f>
        <v>4.1030959339655457E-3</v>
      </c>
      <c r="I16" s="137">
        <f ca="1">C16-E16</f>
        <v>0</v>
      </c>
      <c r="J16" s="138" t="str">
        <f ca="1">IF(E16=0,"N.D.",C16/E16-1)</f>
        <v>N.D.</v>
      </c>
      <c r="K16" s="147">
        <f ca="1">C16-G16</f>
        <v>-50.483999999999995</v>
      </c>
      <c r="L16" s="136">
        <f ca="1">IF(G16=0,"N.D.",C16/G16-1)</f>
        <v>-1</v>
      </c>
      <c r="N16" s="129" t="s">
        <v>240</v>
      </c>
      <c r="O16" s="147">
        <f>+O42+O68</f>
        <v>81</v>
      </c>
      <c r="P16" s="136">
        <f>IF(O10=0,"N.D.",O16/O10)</f>
        <v>5.0508199787990269E-3</v>
      </c>
      <c r="Q16" s="147">
        <f ca="1">+Q42+Q68</f>
        <v>83.775000000000006</v>
      </c>
      <c r="R16" s="136">
        <f ca="1">IF(Q$10=0, 0, Q16/$Q$10)</f>
        <v>1.1161526169332244E-2</v>
      </c>
      <c r="S16" s="147">
        <f ca="1">+S42+S68</f>
        <v>75.725999999999999</v>
      </c>
      <c r="T16" s="136">
        <f ca="1">IF(S$10=0, 0, S16/$G$10)</f>
        <v>6.154643900948319E-3</v>
      </c>
      <c r="U16" s="137">
        <f ca="1">O16-Q16</f>
        <v>-2.7750000000000057</v>
      </c>
      <c r="V16" s="138">
        <f ca="1">IF(Q16=0,"N.D.",O16/Q16-1)</f>
        <v>-3.3124440465532756E-2</v>
      </c>
      <c r="W16" s="147">
        <f ca="1">O16-S16</f>
        <v>5.2740000000000009</v>
      </c>
      <c r="X16" s="136">
        <f ca="1">IF(S16=0,"N.D.",O16/S16-1)</f>
        <v>6.9645828381269315E-2</v>
      </c>
    </row>
    <row r="17" spans="1:24" ht="13" x14ac:dyDescent="0.3">
      <c r="A17" s="323"/>
      <c r="B17" s="139" t="s">
        <v>241</v>
      </c>
      <c r="C17" s="142">
        <f ca="1">+C43+C69</f>
        <v>0</v>
      </c>
      <c r="D17" s="141" t="str">
        <f ca="1">IF(C10=0,"N.D.",C17/C10)</f>
        <v>N.D.</v>
      </c>
      <c r="E17" s="142">
        <f ca="1">+E43+E69</f>
        <v>0</v>
      </c>
      <c r="F17" s="141">
        <f ca="1">IF(E$10=0, 0, E17/$E$10)</f>
        <v>0</v>
      </c>
      <c r="G17" s="142">
        <f ca="1">+G43+G69</f>
        <v>1333.4059999999999</v>
      </c>
      <c r="H17" s="141">
        <f ca="1">IF(G$10=0, 0, G17/$G$10)</f>
        <v>0.10837280597665128</v>
      </c>
      <c r="I17" s="143">
        <f ca="1">C17-E17</f>
        <v>0</v>
      </c>
      <c r="J17" s="144" t="str">
        <f ca="1">IF(E17=0,"N.D.",C17/E17-1)</f>
        <v>N.D.</v>
      </c>
      <c r="K17" s="142">
        <f ca="1">C17-G17</f>
        <v>-1333.4059999999999</v>
      </c>
      <c r="L17" s="141">
        <f ca="1">IF(G17=0,"N.D.",C17/G17-1)</f>
        <v>-1</v>
      </c>
      <c r="N17" s="139" t="s">
        <v>241</v>
      </c>
      <c r="O17" s="142">
        <f>+O43+O69</f>
        <v>1055</v>
      </c>
      <c r="P17" s="141">
        <f>IF(O10=0,"N.D.",O17/O10)</f>
        <v>6.5785371328802147E-2</v>
      </c>
      <c r="Q17" s="142">
        <f ca="1">+Q43+Q69</f>
        <v>1152.8889999999999</v>
      </c>
      <c r="R17" s="141">
        <f ca="1">IF(Q$10=0, 0, Q17/$Q$10)</f>
        <v>0.1536019187566133</v>
      </c>
      <c r="S17" s="142">
        <f ca="1">+S43+S69</f>
        <v>1957.2069999999999</v>
      </c>
      <c r="T17" s="141">
        <f ca="1">IF(S$10=0, 0, S17/$G$10)</f>
        <v>0.15907234140775106</v>
      </c>
      <c r="U17" s="143">
        <f ca="1">O17-Q17</f>
        <v>-97.888999999999896</v>
      </c>
      <c r="V17" s="144">
        <f ca="1">IF(Q17=0,"N.D.",O17/Q17-1)</f>
        <v>-8.4907566990404026E-2</v>
      </c>
      <c r="W17" s="142">
        <f ca="1">O17-S17</f>
        <v>-902.20699999999988</v>
      </c>
      <c r="X17" s="141">
        <f ca="1">IF(S17=0,"N.D.",O17/S17-1)</f>
        <v>-0.46096657124157026</v>
      </c>
    </row>
    <row r="18" spans="1:24" ht="13" x14ac:dyDescent="0.3">
      <c r="A18" s="323"/>
      <c r="B18" s="139" t="s">
        <v>242</v>
      </c>
      <c r="C18" s="142">
        <f ca="1">+C44+C70</f>
        <v>0</v>
      </c>
      <c r="D18" s="141" t="str">
        <f ca="1">IF(C10=0,"N.D.",C18/C10)</f>
        <v>N.D.</v>
      </c>
      <c r="E18" s="142">
        <f ca="1">+E44+E70</f>
        <v>0</v>
      </c>
      <c r="F18" s="141">
        <f ca="1">IF(E$10=0, 0, E18/$E$10)</f>
        <v>0</v>
      </c>
      <c r="G18" s="142">
        <f ca="1">+G44+G70</f>
        <v>3790.9209999999994</v>
      </c>
      <c r="H18" s="141">
        <f ca="1">IF(G$10=0, 0, G18/$G$10)</f>
        <v>0.30810776763102365</v>
      </c>
      <c r="I18" s="143">
        <f ca="1">C18-E18</f>
        <v>0</v>
      </c>
      <c r="J18" s="144" t="str">
        <f ca="1">IF(E18=0,"N.D.",C18/E18-1)</f>
        <v>N.D.</v>
      </c>
      <c r="K18" s="142">
        <f ca="1">C18-G18</f>
        <v>-3790.9209999999994</v>
      </c>
      <c r="L18" s="141">
        <f ca="1">IF(G18=0,"N.D.",C18/G18-1)</f>
        <v>-1</v>
      </c>
      <c r="N18" s="139" t="s">
        <v>242</v>
      </c>
      <c r="O18" s="142">
        <f>+O44+O70</f>
        <v>6492</v>
      </c>
      <c r="P18" s="141">
        <f>IF(O10=0,"N.D.",O18/O10)</f>
        <v>0.40481386793041091</v>
      </c>
      <c r="Q18" s="142">
        <f ca="1">+Q44+Q70</f>
        <v>2314.8040000000001</v>
      </c>
      <c r="R18" s="141">
        <f ca="1">IF(Q$10=0, 0, Q18/$Q$10)</f>
        <v>0.30840639120113345</v>
      </c>
      <c r="S18" s="142">
        <f ca="1">+S44+S70</f>
        <v>7035.2749999999996</v>
      </c>
      <c r="T18" s="141">
        <f ca="1">IF(S$10=0, 0, S18/$G$10)</f>
        <v>0.57179320669577405</v>
      </c>
      <c r="U18" s="143">
        <f ca="1">O18-Q18</f>
        <v>4177.1959999999999</v>
      </c>
      <c r="V18" s="144">
        <f ca="1">IF(Q18=0,"N.D.",O18/Q18-1)</f>
        <v>1.8045571028907847</v>
      </c>
      <c r="W18" s="142">
        <f ca="1">O18-S18</f>
        <v>-543.27499999999964</v>
      </c>
      <c r="X18" s="141">
        <f ca="1">IF(S18=0,"N.D.",O18/S18-1)</f>
        <v>-7.722157271748431E-2</v>
      </c>
    </row>
    <row r="19" spans="1:24" x14ac:dyDescent="0.25">
      <c r="A19" s="323"/>
      <c r="B19" s="129"/>
      <c r="C19" s="127"/>
      <c r="D19" s="124"/>
      <c r="E19" s="127"/>
      <c r="F19" s="124"/>
      <c r="G19" s="127"/>
      <c r="H19" s="124"/>
      <c r="I19" s="127"/>
      <c r="J19" s="145"/>
      <c r="K19" s="127"/>
      <c r="L19" s="124"/>
      <c r="N19" s="129"/>
      <c r="O19" s="127"/>
      <c r="P19" s="124"/>
      <c r="Q19" s="127"/>
      <c r="R19" s="124"/>
      <c r="S19" s="127"/>
      <c r="T19" s="124"/>
      <c r="U19" s="127"/>
      <c r="V19" s="145"/>
      <c r="W19" s="127"/>
      <c r="X19" s="124"/>
    </row>
    <row r="20" spans="1:24" x14ac:dyDescent="0.25">
      <c r="A20" s="323"/>
      <c r="B20" s="129" t="s">
        <v>243</v>
      </c>
      <c r="C20" s="132">
        <f t="shared" ref="C20:C26" ca="1" si="0">+C46+C72</f>
        <v>0</v>
      </c>
      <c r="D20" s="148" t="str">
        <f ca="1">IF(C10=0,"N.D.",C20/C10)</f>
        <v>N.D.</v>
      </c>
      <c r="E20" s="132">
        <f t="shared" ref="E20:E26" ca="1" si="1">+E46+E72</f>
        <v>0</v>
      </c>
      <c r="F20" s="131">
        <f t="shared" ref="F20:F26" ca="1" si="2">IF(E$10=0, 0, E20/$E$10)</f>
        <v>0</v>
      </c>
      <c r="G20" s="132">
        <f t="shared" ref="G20:G26" ca="1" si="3">+G46+G72</f>
        <v>-523.66499999999996</v>
      </c>
      <c r="H20" s="131">
        <f t="shared" ref="H20:H26" ca="1" si="4">IF(G$10=0, 0, G20/$G$10)</f>
        <v>-4.2560964508756585E-2</v>
      </c>
      <c r="I20" s="133">
        <f t="shared" ref="I20:I26" ca="1" si="5">C20-E20</f>
        <v>0</v>
      </c>
      <c r="J20" s="134" t="str">
        <f t="shared" ref="J20:J26" ca="1" si="6">IF(E20=0,"N.D.",C20/E20-1)</f>
        <v>N.D.</v>
      </c>
      <c r="K20" s="132">
        <f t="shared" ref="K20:K26" ca="1" si="7">C20-G20</f>
        <v>523.66499999999996</v>
      </c>
      <c r="L20" s="131">
        <f t="shared" ref="L20:L26" ca="1" si="8">IF(G20=0,"N.D.",C20/G20-1)</f>
        <v>-1</v>
      </c>
      <c r="N20" s="129" t="s">
        <v>243</v>
      </c>
      <c r="O20" s="132">
        <f t="shared" ref="O20:O26" si="9">+O46+O72</f>
        <v>-567</v>
      </c>
      <c r="P20" s="148">
        <f>IF(O10=0,"N.D.",O20/O10)</f>
        <v>-3.5355739851593189E-2</v>
      </c>
      <c r="Q20" s="132">
        <f t="shared" ref="Q20:Q26" ca="1" si="10">+Q46+Q72</f>
        <v>-224.2</v>
      </c>
      <c r="R20" s="131">
        <f t="shared" ref="R20:R26" ca="1" si="11">IF(Q$10=0, 0, Q20/$Q$10)</f>
        <v>-2.9870655531653703E-2</v>
      </c>
      <c r="S20" s="132">
        <f t="shared" ref="S20:S26" ca="1" si="12">+S46+S72</f>
        <v>-24.191000000000031</v>
      </c>
      <c r="T20" s="131">
        <f t="shared" ref="T20:T26" ca="1" si="13">IF(S$10=0, 0, S20/$G$10)</f>
        <v>-1.9661277580730659E-3</v>
      </c>
      <c r="U20" s="133">
        <f t="shared" ref="U20:U26" ca="1" si="14">O20-Q20</f>
        <v>-342.8</v>
      </c>
      <c r="V20" s="134">
        <f t="shared" ref="V20:V26" ca="1" si="15">IF(Q20=0,"N.D.",O20/Q20-1)</f>
        <v>1.528991971454059</v>
      </c>
      <c r="W20" s="132">
        <f t="shared" ref="W20:W26" ca="1" si="16">O20-S20</f>
        <v>-542.80899999999997</v>
      </c>
      <c r="X20" s="131">
        <f t="shared" ref="X20:X26" ca="1" si="17">IF(S20=0,"N.D.",O20/S20-1)</f>
        <v>22.438468852052385</v>
      </c>
    </row>
    <row r="21" spans="1:24" x14ac:dyDescent="0.25">
      <c r="A21" s="323"/>
      <c r="B21" s="129" t="s">
        <v>244</v>
      </c>
      <c r="C21" s="135">
        <f t="shared" ca="1" si="0"/>
        <v>0</v>
      </c>
      <c r="D21" s="149" t="str">
        <f ca="1">IF(C10=0,"N.D.",C21/C10)</f>
        <v>N.D.</v>
      </c>
      <c r="E21" s="135">
        <f t="shared" ca="1" si="1"/>
        <v>0</v>
      </c>
      <c r="F21" s="146">
        <f t="shared" ca="1" si="2"/>
        <v>0</v>
      </c>
      <c r="G21" s="135">
        <f t="shared" ca="1" si="3"/>
        <v>0</v>
      </c>
      <c r="H21" s="146">
        <f t="shared" ca="1" si="4"/>
        <v>0</v>
      </c>
      <c r="I21" s="137">
        <f t="shared" ca="1" si="5"/>
        <v>0</v>
      </c>
      <c r="J21" s="138" t="str">
        <f t="shared" ca="1" si="6"/>
        <v>N.D.</v>
      </c>
      <c r="K21" s="135">
        <f t="shared" ca="1" si="7"/>
        <v>0</v>
      </c>
      <c r="L21" s="146" t="str">
        <f t="shared" ca="1" si="8"/>
        <v>N.D.</v>
      </c>
      <c r="N21" s="129" t="s">
        <v>244</v>
      </c>
      <c r="O21" s="135">
        <f t="shared" si="9"/>
        <v>0</v>
      </c>
      <c r="P21" s="149">
        <f>IF(O10=0,"N.D.",O21/O10)</f>
        <v>0</v>
      </c>
      <c r="Q21" s="135">
        <f t="shared" ca="1" si="10"/>
        <v>115.20399999999999</v>
      </c>
      <c r="R21" s="146">
        <f t="shared" ca="1" si="11"/>
        <v>1.5348880463285607E-2</v>
      </c>
      <c r="S21" s="135">
        <f t="shared" ca="1" si="12"/>
        <v>0</v>
      </c>
      <c r="T21" s="146">
        <f t="shared" ca="1" si="13"/>
        <v>0</v>
      </c>
      <c r="U21" s="137">
        <f t="shared" ca="1" si="14"/>
        <v>-115.20399999999999</v>
      </c>
      <c r="V21" s="138">
        <f t="shared" ca="1" si="15"/>
        <v>-1</v>
      </c>
      <c r="W21" s="135">
        <f t="shared" ca="1" si="16"/>
        <v>0</v>
      </c>
      <c r="X21" s="146" t="str">
        <f t="shared" ca="1" si="17"/>
        <v>N.D.</v>
      </c>
    </row>
    <row r="22" spans="1:24" x14ac:dyDescent="0.25">
      <c r="A22" s="323"/>
      <c r="B22" s="129" t="s">
        <v>245</v>
      </c>
      <c r="C22" s="135">
        <f t="shared" ca="1" si="0"/>
        <v>0</v>
      </c>
      <c r="D22" s="149" t="str">
        <f ca="1">IF(C10=0,"N.D.",C22/C10)</f>
        <v>N.D.</v>
      </c>
      <c r="E22" s="135">
        <f t="shared" ca="1" si="1"/>
        <v>0</v>
      </c>
      <c r="F22" s="146">
        <f t="shared" ca="1" si="2"/>
        <v>0</v>
      </c>
      <c r="G22" s="135">
        <f t="shared" ca="1" si="3"/>
        <v>114.76099999999998</v>
      </c>
      <c r="H22" s="146">
        <f t="shared" ca="1" si="4"/>
        <v>9.3272203565054265E-3</v>
      </c>
      <c r="I22" s="137">
        <f t="shared" ca="1" si="5"/>
        <v>0</v>
      </c>
      <c r="J22" s="138" t="str">
        <f t="shared" ca="1" si="6"/>
        <v>N.D.</v>
      </c>
      <c r="K22" s="135">
        <f t="shared" ca="1" si="7"/>
        <v>-114.76099999999998</v>
      </c>
      <c r="L22" s="146">
        <f t="shared" ca="1" si="8"/>
        <v>-1</v>
      </c>
      <c r="N22" s="129" t="s">
        <v>245</v>
      </c>
      <c r="O22" s="135">
        <f t="shared" si="9"/>
        <v>99</v>
      </c>
      <c r="P22" s="149">
        <f>IF(O10=0,"N.D.",O22/O10)</f>
        <v>6.1732244185321444E-3</v>
      </c>
      <c r="Q22" s="135">
        <f t="shared" ca="1" si="10"/>
        <v>124.20399999999999</v>
      </c>
      <c r="R22" s="146">
        <f t="shared" ca="1" si="11"/>
        <v>1.6547970114422463E-2</v>
      </c>
      <c r="S22" s="135">
        <f t="shared" ca="1" si="12"/>
        <v>107.09100000000002</v>
      </c>
      <c r="T22" s="146">
        <f t="shared" ca="1" si="13"/>
        <v>8.7038397643670155E-3</v>
      </c>
      <c r="U22" s="137">
        <f t="shared" ca="1" si="14"/>
        <v>-25.203999999999994</v>
      </c>
      <c r="V22" s="138">
        <f t="shared" ca="1" si="15"/>
        <v>-0.2029242214421435</v>
      </c>
      <c r="W22" s="135">
        <f t="shared" ca="1" si="16"/>
        <v>-8.0910000000000224</v>
      </c>
      <c r="X22" s="146">
        <f t="shared" ca="1" si="17"/>
        <v>-7.5552567442642382E-2</v>
      </c>
    </row>
    <row r="23" spans="1:24" x14ac:dyDescent="0.25">
      <c r="A23" s="323"/>
      <c r="B23" s="129" t="s">
        <v>246</v>
      </c>
      <c r="C23" s="135">
        <f t="shared" ca="1" si="0"/>
        <v>0</v>
      </c>
      <c r="D23" s="149" t="str">
        <f ca="1">IF(C10=0,"N.D.",C23/C10)</f>
        <v>N.D.</v>
      </c>
      <c r="E23" s="135">
        <f t="shared" ca="1" si="1"/>
        <v>0</v>
      </c>
      <c r="F23" s="146">
        <f t="shared" ca="1" si="2"/>
        <v>0</v>
      </c>
      <c r="G23" s="135">
        <f t="shared" ca="1" si="3"/>
        <v>939.58999999999992</v>
      </c>
      <c r="H23" s="146">
        <f t="shared" ca="1" si="4"/>
        <v>7.6365341664580602E-2</v>
      </c>
      <c r="I23" s="137">
        <f t="shared" ca="1" si="5"/>
        <v>0</v>
      </c>
      <c r="J23" s="138" t="str">
        <f t="shared" ca="1" si="6"/>
        <v>N.D.</v>
      </c>
      <c r="K23" s="135">
        <f t="shared" ca="1" si="7"/>
        <v>-939.58999999999992</v>
      </c>
      <c r="L23" s="146">
        <f t="shared" ca="1" si="8"/>
        <v>-1</v>
      </c>
      <c r="N23" s="129" t="s">
        <v>246</v>
      </c>
      <c r="O23" s="135">
        <f t="shared" si="9"/>
        <v>795</v>
      </c>
      <c r="P23" s="149">
        <f>IF(O10=0,"N.D.",O23/O10)</f>
        <v>4.9572862754879342E-2</v>
      </c>
      <c r="Q23" s="135">
        <f t="shared" ca="1" si="10"/>
        <v>819.90599999999995</v>
      </c>
      <c r="R23" s="146">
        <f t="shared" ca="1" si="11"/>
        <v>0.10923786661166843</v>
      </c>
      <c r="S23" s="135">
        <f t="shared" ca="1" si="12"/>
        <v>1004.9749999999999</v>
      </c>
      <c r="T23" s="146">
        <f t="shared" ca="1" si="13"/>
        <v>8.1679518981004368E-2</v>
      </c>
      <c r="U23" s="137">
        <f t="shared" ca="1" si="14"/>
        <v>-24.905999999999949</v>
      </c>
      <c r="V23" s="138">
        <f t="shared" ca="1" si="15"/>
        <v>-3.0376652933384984E-2</v>
      </c>
      <c r="W23" s="135">
        <f t="shared" ca="1" si="16"/>
        <v>-209.97499999999991</v>
      </c>
      <c r="X23" s="146">
        <f t="shared" ca="1" si="17"/>
        <v>-0.20893554566033978</v>
      </c>
    </row>
    <row r="24" spans="1:24" hidden="1" x14ac:dyDescent="0.25">
      <c r="A24" s="323"/>
      <c r="B24" s="129"/>
      <c r="C24" s="147">
        <f t="shared" ca="1" si="0"/>
        <v>0</v>
      </c>
      <c r="D24" s="150" t="str">
        <f ca="1">IF(C10=0,"N.D.",C24/C10)</f>
        <v>N.D.</v>
      </c>
      <c r="E24" s="147">
        <f t="shared" ca="1" si="1"/>
        <v>0</v>
      </c>
      <c r="F24" s="136">
        <f t="shared" ca="1" si="2"/>
        <v>0</v>
      </c>
      <c r="G24" s="147">
        <f t="shared" ca="1" si="3"/>
        <v>0</v>
      </c>
      <c r="H24" s="136">
        <f t="shared" ca="1" si="4"/>
        <v>0</v>
      </c>
      <c r="I24" s="137">
        <f t="shared" ca="1" si="5"/>
        <v>0</v>
      </c>
      <c r="J24" s="138" t="str">
        <f t="shared" ca="1" si="6"/>
        <v>N.D.</v>
      </c>
      <c r="K24" s="147">
        <f t="shared" ca="1" si="7"/>
        <v>0</v>
      </c>
      <c r="L24" s="136" t="str">
        <f t="shared" ca="1" si="8"/>
        <v>N.D.</v>
      </c>
      <c r="N24" s="129"/>
      <c r="O24" s="147">
        <f t="shared" si="9"/>
        <v>0</v>
      </c>
      <c r="P24" s="150">
        <f>IF(O10=0,"N.D.",O24/O10)</f>
        <v>0</v>
      </c>
      <c r="Q24" s="147">
        <f t="shared" ca="1" si="10"/>
        <v>0</v>
      </c>
      <c r="R24" s="136">
        <f t="shared" ca="1" si="11"/>
        <v>0</v>
      </c>
      <c r="S24" s="147">
        <f t="shared" ca="1" si="12"/>
        <v>0</v>
      </c>
      <c r="T24" s="136">
        <f t="shared" ca="1" si="13"/>
        <v>0</v>
      </c>
      <c r="U24" s="137">
        <f t="shared" ca="1" si="14"/>
        <v>0</v>
      </c>
      <c r="V24" s="138" t="str">
        <f t="shared" ca="1" si="15"/>
        <v>N.D.</v>
      </c>
      <c r="W24" s="147">
        <f t="shared" ca="1" si="16"/>
        <v>0</v>
      </c>
      <c r="X24" s="136" t="str">
        <f t="shared" ca="1" si="17"/>
        <v>N.D.</v>
      </c>
    </row>
    <row r="25" spans="1:24" ht="13" x14ac:dyDescent="0.3">
      <c r="A25" s="323"/>
      <c r="B25" s="139" t="s">
        <v>143</v>
      </c>
      <c r="C25" s="160">
        <f t="shared" ca="1" si="0"/>
        <v>0</v>
      </c>
      <c r="D25" s="141" t="str">
        <f ca="1">IF(C10=0,"N.D.",C25/C10)</f>
        <v>N.D.</v>
      </c>
      <c r="E25" s="160">
        <f t="shared" ca="1" si="1"/>
        <v>0</v>
      </c>
      <c r="F25" s="141">
        <f t="shared" ca="1" si="2"/>
        <v>0</v>
      </c>
      <c r="G25" s="160">
        <f t="shared" ca="1" si="3"/>
        <v>-1348.4939999999999</v>
      </c>
      <c r="H25" s="141">
        <f t="shared" ca="1" si="4"/>
        <v>-0.10959908581683177</v>
      </c>
      <c r="I25" s="143">
        <f t="shared" ca="1" si="5"/>
        <v>0</v>
      </c>
      <c r="J25" s="144" t="str">
        <f t="shared" ca="1" si="6"/>
        <v>N.D.</v>
      </c>
      <c r="K25" s="142">
        <f t="shared" ca="1" si="7"/>
        <v>1348.4939999999999</v>
      </c>
      <c r="L25" s="141">
        <f t="shared" ca="1" si="8"/>
        <v>-1</v>
      </c>
      <c r="N25" s="139" t="s">
        <v>143</v>
      </c>
      <c r="O25" s="160">
        <f t="shared" si="9"/>
        <v>-1263</v>
      </c>
      <c r="P25" s="141">
        <f>IF(O10=0,"N.D.",O25/O10)</f>
        <v>-7.8755378187940386E-2</v>
      </c>
      <c r="Q25" s="160">
        <f t="shared" ca="1" si="10"/>
        <v>-804.69800000000009</v>
      </c>
      <c r="R25" s="141">
        <f t="shared" ca="1" si="11"/>
        <v>-0.10721167156561408</v>
      </c>
      <c r="S25" s="160">
        <f t="shared" ca="1" si="12"/>
        <v>-922.07500000000005</v>
      </c>
      <c r="T25" s="141">
        <f t="shared" ca="1" si="13"/>
        <v>-7.4941806974710423E-2</v>
      </c>
      <c r="U25" s="143">
        <f t="shared" ca="1" si="14"/>
        <v>-458.30199999999991</v>
      </c>
      <c r="V25" s="144">
        <f t="shared" ca="1" si="15"/>
        <v>0.56953291793940064</v>
      </c>
      <c r="W25" s="142">
        <f t="shared" ca="1" si="16"/>
        <v>-340.92499999999995</v>
      </c>
      <c r="X25" s="141">
        <f t="shared" ca="1" si="17"/>
        <v>0.36973673508120264</v>
      </c>
    </row>
    <row r="26" spans="1:24" ht="13" x14ac:dyDescent="0.3">
      <c r="A26" s="323"/>
      <c r="B26" s="139" t="s">
        <v>247</v>
      </c>
      <c r="C26" s="142">
        <f t="shared" ca="1" si="0"/>
        <v>0</v>
      </c>
      <c r="D26" s="141" t="str">
        <f ca="1">IF(C10=0,"N.D.",C26/C10)</f>
        <v>N.D.</v>
      </c>
      <c r="E26" s="142">
        <f t="shared" ca="1" si="1"/>
        <v>0</v>
      </c>
      <c r="F26" s="141">
        <f t="shared" ca="1" si="2"/>
        <v>0</v>
      </c>
      <c r="G26" s="142">
        <f t="shared" ca="1" si="3"/>
        <v>5139.4149999999991</v>
      </c>
      <c r="H26" s="141">
        <f t="shared" ca="1" si="4"/>
        <v>0.41770685344785541</v>
      </c>
      <c r="I26" s="143">
        <f t="shared" ca="1" si="5"/>
        <v>0</v>
      </c>
      <c r="J26" s="144" t="str">
        <f t="shared" ca="1" si="6"/>
        <v>N.D.</v>
      </c>
      <c r="K26" s="142">
        <f t="shared" ca="1" si="7"/>
        <v>-5139.4149999999991</v>
      </c>
      <c r="L26" s="141">
        <f t="shared" ca="1" si="8"/>
        <v>-1</v>
      </c>
      <c r="N26" s="139" t="s">
        <v>247</v>
      </c>
      <c r="O26" s="142">
        <f t="shared" si="9"/>
        <v>7755</v>
      </c>
      <c r="P26" s="141">
        <f>IF(O10=0,"N.D.",O26/O10)</f>
        <v>0.48356924611835134</v>
      </c>
      <c r="Q26" s="142">
        <f t="shared" ca="1" si="10"/>
        <v>3119.502</v>
      </c>
      <c r="R26" s="141">
        <f t="shared" ca="1" si="11"/>
        <v>0.41561806276674751</v>
      </c>
      <c r="S26" s="142">
        <f t="shared" ca="1" si="12"/>
        <v>7957.3499999999995</v>
      </c>
      <c r="T26" s="141">
        <f t="shared" ca="1" si="13"/>
        <v>0.64673501367048447</v>
      </c>
      <c r="U26" s="143">
        <f t="shared" ca="1" si="14"/>
        <v>4635.4979999999996</v>
      </c>
      <c r="V26" s="144">
        <f t="shared" ca="1" si="15"/>
        <v>1.4859737227288203</v>
      </c>
      <c r="W26" s="142">
        <f t="shared" ca="1" si="16"/>
        <v>-202.34999999999945</v>
      </c>
      <c r="X26" s="141">
        <f t="shared" ca="1" si="17"/>
        <v>-2.5429320062583582E-2</v>
      </c>
    </row>
    <row r="27" spans="1:24" x14ac:dyDescent="0.25">
      <c r="A27" s="323"/>
      <c r="B27" s="129"/>
      <c r="C27" s="127"/>
      <c r="D27" s="124"/>
      <c r="E27" s="127"/>
      <c r="F27" s="124"/>
      <c r="G27" s="127"/>
      <c r="H27" s="124"/>
      <c r="I27" s="127"/>
      <c r="J27" s="145"/>
      <c r="K27" s="127"/>
      <c r="L27" s="124"/>
      <c r="N27" s="129"/>
      <c r="O27" s="127"/>
      <c r="P27" s="124"/>
      <c r="Q27" s="127"/>
      <c r="R27" s="124"/>
      <c r="S27" s="127"/>
      <c r="T27" s="124"/>
      <c r="U27" s="127"/>
      <c r="V27" s="145"/>
      <c r="W27" s="127"/>
      <c r="X27" s="124"/>
    </row>
    <row r="28" spans="1:24" x14ac:dyDescent="0.25">
      <c r="A28" s="323"/>
      <c r="B28" s="129" t="s">
        <v>397</v>
      </c>
      <c r="C28" s="132">
        <f ca="1">+C54+C80</f>
        <v>0</v>
      </c>
      <c r="D28" s="148" t="str">
        <f ca="1">IF(C10=0,"N.D.",C28/C10)</f>
        <v>N.D.</v>
      </c>
      <c r="E28" s="132">
        <f ca="1">+E54+E80</f>
        <v>0</v>
      </c>
      <c r="F28" s="131">
        <f ca="1">IF(E$10=0, 0, E28/$E$10)</f>
        <v>0</v>
      </c>
      <c r="G28" s="132">
        <f ca="1">+G54+G80</f>
        <v>0</v>
      </c>
      <c r="H28" s="131">
        <f ca="1">IF(G$10=0, 0, G28/$G$10)</f>
        <v>0</v>
      </c>
      <c r="I28" s="133">
        <f ca="1">C28-E28</f>
        <v>0</v>
      </c>
      <c r="J28" s="134" t="str">
        <f ca="1">IF(E28=0,"N.D.",C28/E28-1)</f>
        <v>N.D.</v>
      </c>
      <c r="K28" s="132">
        <f ca="1">C28-G28</f>
        <v>0</v>
      </c>
      <c r="L28" s="131" t="str">
        <f ca="1">IF(G28=0,"N.D.",C28/G28-1)</f>
        <v>N.D.</v>
      </c>
      <c r="N28" s="129" t="s">
        <v>397</v>
      </c>
      <c r="O28" s="132">
        <f>+O54+O80</f>
        <v>944</v>
      </c>
      <c r="P28" s="148">
        <f>IF(O10=0,"N.D.",O28/O10)</f>
        <v>5.8863877283781257E-2</v>
      </c>
      <c r="Q28" s="132">
        <f ca="1">+Q54+Q80</f>
        <v>141.666</v>
      </c>
      <c r="R28" s="131">
        <f ca="1">IF(Q$10=0, 0, Q28/$Q$10)</f>
        <v>1.8874470501994887E-2</v>
      </c>
      <c r="S28" s="132">
        <f ca="1">+S54+S80</f>
        <v>0</v>
      </c>
      <c r="T28" s="131">
        <f ca="1">IF(S$10=0, 0, S28/$G$10)</f>
        <v>0</v>
      </c>
      <c r="U28" s="133">
        <f ca="1">O28-Q28</f>
        <v>802.33400000000006</v>
      </c>
      <c r="V28" s="134">
        <f ca="1">IF(Q28=0,"N.D.",O28/Q28-1)</f>
        <v>5.6635607696977397</v>
      </c>
      <c r="W28" s="132">
        <f ca="1">O28-S28</f>
        <v>944</v>
      </c>
      <c r="X28" s="131" t="str">
        <f ca="1">IF(S28=0,"N.D.",O28/S28-1)</f>
        <v>N.D.</v>
      </c>
    </row>
    <row r="29" spans="1:24" x14ac:dyDescent="0.25">
      <c r="A29" s="323"/>
      <c r="B29" s="129" t="s">
        <v>395</v>
      </c>
      <c r="C29" s="147">
        <f ca="1">+C55+C81</f>
        <v>0</v>
      </c>
      <c r="D29" s="150" t="str">
        <f ca="1">IF(C10=0,"N.D.",C29/C10)</f>
        <v>N.D.</v>
      </c>
      <c r="E29" s="147">
        <f ca="1">+E55+E81</f>
        <v>0</v>
      </c>
      <c r="F29" s="136">
        <f ca="1">IF(E$10=0, 0, E29/$E$10)</f>
        <v>0</v>
      </c>
      <c r="G29" s="147">
        <f ca="1">+G55+G81</f>
        <v>0</v>
      </c>
      <c r="H29" s="136">
        <f ca="1">IF(G$10=0, 0, G29/$G$10)</f>
        <v>0</v>
      </c>
      <c r="I29" s="137">
        <f ca="1">C29-E29</f>
        <v>0</v>
      </c>
      <c r="J29" s="138" t="str">
        <f ca="1">IF(E29=0,"N.D.",C29/E29-1)</f>
        <v>N.D.</v>
      </c>
      <c r="K29" s="147">
        <f ca="1">C29-G29</f>
        <v>0</v>
      </c>
      <c r="L29" s="136" t="str">
        <f ca="1">IF(G29=0,"N.D.",C29/G29-1)</f>
        <v>N.D.</v>
      </c>
      <c r="N29" s="129" t="s">
        <v>395</v>
      </c>
      <c r="O29" s="147">
        <f ca="1">+O55+O81</f>
        <v>0</v>
      </c>
      <c r="P29" s="150">
        <f ca="1">IF(O10=0,"N.D.",O29/O10)</f>
        <v>0</v>
      </c>
      <c r="Q29" s="147">
        <f ca="1">+Q55+Q81</f>
        <v>0</v>
      </c>
      <c r="R29" s="136">
        <f ca="1">IF(Q$10=0, 0, Q29/$Q$10)</f>
        <v>0</v>
      </c>
      <c r="S29" s="147">
        <f ca="1">+S55+S81</f>
        <v>0</v>
      </c>
      <c r="T29" s="136">
        <f ca="1">IF(S$10=0, 0, S29/$G$10)</f>
        <v>0</v>
      </c>
      <c r="U29" s="137">
        <f ca="1">O29-Q29</f>
        <v>0</v>
      </c>
      <c r="V29" s="138" t="str">
        <f ca="1">IF(Q29=0,"N.D.",O29/Q29-1)</f>
        <v>N.D.</v>
      </c>
      <c r="W29" s="147">
        <f ca="1">O29-S29</f>
        <v>0</v>
      </c>
      <c r="X29" s="136" t="str">
        <f ca="1">IF(S29=0,"N.D.",O29/S29-1)</f>
        <v>N.D.</v>
      </c>
    </row>
    <row r="30" spans="1:24" ht="13" x14ac:dyDescent="0.3">
      <c r="A30" s="323"/>
      <c r="B30" s="139" t="s">
        <v>146</v>
      </c>
      <c r="C30" s="142">
        <f ca="1">+C56+C82</f>
        <v>0</v>
      </c>
      <c r="D30" s="141" t="str">
        <f ca="1">IF(C10=0,"N.D.",C30/C10)</f>
        <v>N.D.</v>
      </c>
      <c r="E30" s="142">
        <f ca="1">+E56+E82</f>
        <v>0</v>
      </c>
      <c r="F30" s="141">
        <f ca="1">IF(E$10=0, 0, E30/$E$10)</f>
        <v>0</v>
      </c>
      <c r="G30" s="142">
        <f ca="1">+G56+G82</f>
        <v>5139.4149999999991</v>
      </c>
      <c r="H30" s="141">
        <f ca="1">IF(G$10=0, 0, G30/$G$10)</f>
        <v>0.41770685344785541</v>
      </c>
      <c r="I30" s="143">
        <f ca="1">C30-E30</f>
        <v>0</v>
      </c>
      <c r="J30" s="144" t="str">
        <f ca="1">IF(E30=0,"N.D.",C30/E30-1)</f>
        <v>N.D.</v>
      </c>
      <c r="K30" s="142">
        <f ca="1">C30-G30</f>
        <v>-5139.4149999999991</v>
      </c>
      <c r="L30" s="141">
        <f ca="1">IF(G30=0,"N.D.",C30/G30-1)</f>
        <v>-1</v>
      </c>
      <c r="N30" s="139" t="s">
        <v>146</v>
      </c>
      <c r="O30" s="142">
        <f ca="1">+O56+O82</f>
        <v>6811</v>
      </c>
      <c r="P30" s="141">
        <f ca="1">IF(O10=0,"N.D.",O30/O10)</f>
        <v>0.42470536883457005</v>
      </c>
      <c r="Q30" s="142">
        <f ca="1">+Q56+Q82</f>
        <v>2977.8359999999998</v>
      </c>
      <c r="R30" s="141">
        <f ca="1">IF(Q$10=0, 0, Q30/$Q$10)</f>
        <v>0.39674359226475259</v>
      </c>
      <c r="S30" s="142">
        <f ca="1">+S56+S82</f>
        <v>7957.3499999999995</v>
      </c>
      <c r="T30" s="141">
        <f ca="1">IF(S$10=0, 0, S30/$G$10)</f>
        <v>0.64673501367048447</v>
      </c>
      <c r="U30" s="143">
        <f ca="1">O30-Q30</f>
        <v>3833.1640000000002</v>
      </c>
      <c r="V30" s="144">
        <f ca="1">IF(Q30=0,"N.D.",O30/Q30-1)</f>
        <v>1.2872313989084692</v>
      </c>
      <c r="W30" s="142">
        <f ca="1">O30-S30</f>
        <v>-1146.3499999999995</v>
      </c>
      <c r="X30" s="141">
        <f ca="1">IF(S30=0,"N.D.",O30/S30-1)</f>
        <v>-0.14406177936121944</v>
      </c>
    </row>
    <row r="31" spans="1:24" ht="13" x14ac:dyDescent="0.3">
      <c r="A31" s="323"/>
      <c r="B31" s="139" t="s">
        <v>248</v>
      </c>
      <c r="C31" s="142">
        <f ca="1">+C57+C83</f>
        <v>0</v>
      </c>
      <c r="D31" s="141" t="str">
        <f ca="1">IF(C10=0,"N.D.",C31/C10)</f>
        <v>N.D.</v>
      </c>
      <c r="E31" s="142">
        <f ca="1">+E57+E83</f>
        <v>0</v>
      </c>
      <c r="F31" s="141">
        <f ca="1">IF(E$10=0, 0, E31/$E$10)</f>
        <v>0</v>
      </c>
      <c r="G31" s="142">
        <f ca="1">+G57+G83</f>
        <v>3841.4049999999993</v>
      </c>
      <c r="H31" s="141">
        <f ca="1">IF(G$10=0, 0, G31/$G$10)</f>
        <v>0.31221086356498923</v>
      </c>
      <c r="I31" s="143">
        <f ca="1">C31-E31</f>
        <v>0</v>
      </c>
      <c r="J31" s="144" t="str">
        <f ca="1">IF(E31=0,"N.D.",C31/E31-1)</f>
        <v>N.D.</v>
      </c>
      <c r="K31" s="142">
        <f ca="1">C31-G31</f>
        <v>-3841.4049999999993</v>
      </c>
      <c r="L31" s="141">
        <f ca="1">IF(G31=0,"N.D.",C31/G31-1)</f>
        <v>-1</v>
      </c>
      <c r="N31" s="139" t="s">
        <v>248</v>
      </c>
      <c r="O31" s="142">
        <f>+O57+O83</f>
        <v>6573</v>
      </c>
      <c r="P31" s="141">
        <f>IF(O10=0,"N.D.",O31/O10)</f>
        <v>0.40986468790920993</v>
      </c>
      <c r="Q31" s="142">
        <f ca="1">+Q57+Q83</f>
        <v>2398.5789999999997</v>
      </c>
      <c r="R31" s="141">
        <f ca="1">IF(Q$10=0, 0, Q31/$Q$10)</f>
        <v>0.31956791737046564</v>
      </c>
      <c r="S31" s="142">
        <f ca="1">+S57+S83</f>
        <v>7111.0009999999993</v>
      </c>
      <c r="T31" s="141">
        <f ca="1">IF(S$10=0, 0, S31/$G$10)</f>
        <v>0.57794785059672227</v>
      </c>
      <c r="U31" s="143">
        <f ca="1">O31-Q31</f>
        <v>4174.4210000000003</v>
      </c>
      <c r="V31" s="144">
        <f ca="1">IF(Q31=0,"N.D.",O31/Q31-1)</f>
        <v>1.7403725289014873</v>
      </c>
      <c r="W31" s="142">
        <f ca="1">O31-S31</f>
        <v>-538.00099999999929</v>
      </c>
      <c r="X31" s="141">
        <f ca="1">IF(S31=0,"N.D.",O31/S31-1)</f>
        <v>-7.5657562135063583E-2</v>
      </c>
    </row>
    <row r="32" spans="1:24" x14ac:dyDescent="0.25">
      <c r="A32" s="323"/>
    </row>
    <row r="33" spans="1:24" ht="13" x14ac:dyDescent="0.3">
      <c r="A33" s="323"/>
      <c r="B33" s="128" t="str">
        <f>+ER!B63</f>
        <v>Inm. Exelco</v>
      </c>
      <c r="C33" s="121"/>
      <c r="D33" s="120"/>
      <c r="E33" s="121"/>
      <c r="F33" s="120"/>
      <c r="G33" s="121"/>
      <c r="H33" s="120"/>
      <c r="I33" s="121"/>
      <c r="J33" s="120"/>
      <c r="K33" s="121"/>
      <c r="L33" s="120"/>
      <c r="N33" s="128" t="str">
        <f>+B33</f>
        <v>Inm. Exelco</v>
      </c>
      <c r="O33" s="121"/>
      <c r="P33" s="120"/>
      <c r="Q33" s="121"/>
      <c r="R33" s="120"/>
      <c r="S33" s="121"/>
      <c r="T33" s="120"/>
      <c r="U33" s="121"/>
      <c r="V33" s="120"/>
      <c r="W33" s="121"/>
      <c r="X33" s="120"/>
    </row>
    <row r="34" spans="1:24" ht="13" x14ac:dyDescent="0.3">
      <c r="A34" s="323"/>
      <c r="B34" s="128" t="s">
        <v>392</v>
      </c>
      <c r="C34" s="121"/>
      <c r="D34" s="120"/>
      <c r="E34" s="121"/>
      <c r="F34" s="120"/>
      <c r="G34" s="121"/>
      <c r="H34" s="120"/>
      <c r="I34" s="121"/>
      <c r="J34" s="120"/>
      <c r="K34" s="121"/>
      <c r="L34" s="120"/>
      <c r="N34" s="128" t="s">
        <v>393</v>
      </c>
      <c r="O34" s="121"/>
      <c r="P34" s="120"/>
      <c r="Q34" s="121"/>
      <c r="R34" s="120"/>
      <c r="S34" s="121"/>
      <c r="T34" s="120"/>
      <c r="U34" s="121"/>
      <c r="V34" s="120"/>
      <c r="W34" s="121"/>
      <c r="X34" s="120"/>
    </row>
    <row r="35" spans="1:24" ht="13" x14ac:dyDescent="0.3">
      <c r="B35" s="121"/>
      <c r="C35" s="201" t="s">
        <v>2</v>
      </c>
      <c r="D35" s="234"/>
      <c r="E35" s="201" t="s">
        <v>10</v>
      </c>
      <c r="F35" s="234"/>
      <c r="G35" s="201" t="s">
        <v>110</v>
      </c>
      <c r="H35" s="234"/>
      <c r="I35" s="201" t="s">
        <v>111</v>
      </c>
      <c r="J35" s="234"/>
      <c r="K35" s="201" t="s">
        <v>112</v>
      </c>
      <c r="L35" s="234"/>
      <c r="N35" s="121"/>
      <c r="O35" s="201" t="s">
        <v>2</v>
      </c>
      <c r="P35" s="234"/>
      <c r="Q35" s="201" t="s">
        <v>10</v>
      </c>
      <c r="R35" s="234"/>
      <c r="S35" s="201" t="s">
        <v>110</v>
      </c>
      <c r="T35" s="234"/>
      <c r="U35" s="201" t="s">
        <v>111</v>
      </c>
      <c r="V35" s="234"/>
      <c r="W35" s="201" t="s">
        <v>112</v>
      </c>
      <c r="X35" s="234"/>
    </row>
    <row r="36" spans="1:24" x14ac:dyDescent="0.25">
      <c r="A36" s="235"/>
      <c r="B36" s="129" t="s">
        <v>236</v>
      </c>
      <c r="C36" s="130">
        <f ca="1">INDIRECT(ADDRESS(MATCH($B$33,'ER Act'!$B:$B,0)+1,MATCH(PROPER(TEXT("01/"&amp;ROUNDUP(MONTH(MES_CIERRE)/3,0)*3-2&amp;"/"&amp;YEAR(MES_CIERRE),"MMMM")),'ER Act'!$10:$10,0),,,"ER Act"))+INDIRECT(ADDRESS(MATCH($B$33,'ER Act'!$B:$B,0)+1,MATCH(PROPER(TEXT("01/"&amp;ROUNDUP(MONTH(MES_CIERRE)/3,0)*3-1&amp;"/"&amp;YEAR(MES_CIERRE),"MMMM")),'ER Act'!$10:$10,0),,,"ER Act"))+INDIRECT(ADDRESS(MATCH($B$33,'ER Act'!$B:$B,0)+1,MATCH(PROPER(TEXT("01/"&amp;ROUNDUP(MONTH(MES_CIERRE)/3,0)*3-0&amp;"/"&amp;YEAR(MES_CIERRE),"MMMM")),'ER Act'!$10:$10,0),,,"ER Act"))</f>
        <v>0</v>
      </c>
      <c r="D36" s="131" t="str">
        <f ca="1">IF(C36=0,"N.D.",C36/C36)</f>
        <v>N.D.</v>
      </c>
      <c r="E36" s="130">
        <f ca="1">INDIRECT(ADDRESS(MATCH($B$33,'ER Ppto'!$B:$B,0)+1,MATCH(PROPER(TEXT("01/"&amp;ROUNDUP(MONTH(MES_CIERRE)/3,0)*3-2&amp;"/"&amp;YEAR(MES_CIERRE),"MMMM")),'ER Ppto'!$10:$10,0),,,"ER Ppto"))+INDIRECT(ADDRESS(MATCH($B$33,'ER Ppto'!$B:$B,0)+1,MATCH(PROPER(TEXT("01/"&amp;ROUNDUP(MONTH(MES_CIERRE)/3,0)*3-1&amp;"/"&amp;YEAR(MES_CIERRE),"MMMM")),'ER Ppto'!$10:$10,0),,,"ER Ppto"))+INDIRECT(ADDRESS(MATCH($B$33,'ER Ppto'!$B:$B,0)+1,MATCH(PROPER(TEXT("01/"&amp;ROUNDUP(MONTH(MES_CIERRE)/3,0)*3-0&amp;"/"&amp;YEAR(MES_CIERRE),"MMMM")),'ER Ppto'!$10:$10,0),,,"ER Ppto"))</f>
        <v>0</v>
      </c>
      <c r="F36" s="131">
        <f ca="1">IF(E$36=0, 0, E36/$E$36)</f>
        <v>0</v>
      </c>
      <c r="G36" s="130">
        <f ca="1">INDIRECT(ADDRESS(MATCH($B$33,'ER AA'!$B:$B,0)+1,MATCH(PROPER(TEXT("01/"&amp;ROUNDUP(MONTH(MES_CIERRE)/3,0)*3-2&amp;"/"&amp;YEAR(MES_CIERRE),"MMMM")),'ER AA'!$10:$10,0),,,"ER AA"))+INDIRECT(ADDRESS(MATCH($B$33,'ER AA'!$B:$B,0)+1,MATCH(PROPER(TEXT("01/"&amp;ROUNDUP(MONTH(MES_CIERRE)/3,0)*3-1&amp;"/"&amp;YEAR(MES_CIERRE),"MMMM")),'ER AA'!$10:$10,0),,,"ER AA"))+INDIRECT(ADDRESS(MATCH($B$33,'ER AA'!$B:$B,0)+1,MATCH(PROPER(TEXT("01/"&amp;ROUNDUP(MONTH(MES_CIERRE)/3,0)*3-0&amp;"/"&amp;YEAR(MES_CIERRE),"MMMM")),'ER AA'!$10:$10,0),,,"ER AA"))</f>
        <v>6763.6459999999997</v>
      </c>
      <c r="H36" s="131">
        <f ca="1">IF(G$36=0, 0, G36/$G$36)</f>
        <v>1</v>
      </c>
      <c r="I36" s="133">
        <f ca="1">C36-E36</f>
        <v>0</v>
      </c>
      <c r="J36" s="134" t="str">
        <f ca="1">IF(E36=0,"N.D.",C36/E36-1)</f>
        <v>N.D.</v>
      </c>
      <c r="K36" s="132">
        <f ca="1">C36-G36</f>
        <v>-6763.6459999999997</v>
      </c>
      <c r="L36" s="131">
        <f ca="1">IF(G36=0,"N.D.",C36/G36-1)</f>
        <v>-1</v>
      </c>
      <c r="N36" s="129" t="s">
        <v>236</v>
      </c>
      <c r="O36" s="130">
        <v>10943</v>
      </c>
      <c r="P36" s="131">
        <f>IF(O36=0,"N.D.",O36/O36)</f>
        <v>1</v>
      </c>
      <c r="Q36" s="130">
        <f ca="1">(INDIRECT(ADDRESS(MATCH($B$33,BDPP!$B:$B,0)+6,MATCH(PROPER(TEXT("01/"&amp;ROUNDUP(MONTH(MES_CIERRE)/3,0)*3-2+3&amp;"/"&amp;YEAR(MES_CIERRE),"MMMM")),BDPP!$10:$10,0),,,"BDPP"))+INDIRECT(ADDRESS(MATCH($B$33,BDPP!$B:$B,0)+6,MATCH(PROPER(TEXT("01/"&amp;ROUNDUP(MONTH(MES_CIERRE)/3,0)*3-1+3&amp;"/"&amp;YEAR(MES_CIERRE),"MMMM")),BDPP!$10:$10,0),,,"BDPP"))+INDIRECT(ADDRESS(MATCH($B$33,BDPP!$B:$B,0)+6,MATCH(PROPER(TEXT("01/"&amp;ROUNDUP(MONTH(MES_CIERRE)/3,0)*3-0+3&amp;"/"&amp;YEAR(MES_CIERRE),"MMMM")),BDPP!$10:$10,0),,,"BDPP")))/1000</f>
        <v>4523.3739999999998</v>
      </c>
      <c r="R36" s="131">
        <f ca="1">IF(Q$36=0, 0, Q36/Q36)</f>
        <v>1</v>
      </c>
      <c r="S36" s="130">
        <f ca="1">INDIRECT(ADDRESS(MATCH($B$33,INDIRECT("'"&amp;IF(MONTH(MES_CIERRE)=12,"ER ACT","ER AA")&amp;"'!$B:$B"),0)+1,MATCH(PROPER(TEXT("01/"&amp;ROUNDUP(MONTH(MES_CIERRE)/3,0)*3-2+3&amp;"/"&amp;YEAR(MES_CIERRE),"MMMM")),'ER AA'!$10:$10,0),,,IF(MONTH(MES_CIERRE)=12,"ER ACT","ER AA")))+INDIRECT(ADDRESS(MATCH($B$33,INDIRECT("'"&amp;IF(MONTH(MES_CIERRE)=12,"ER ACT","ER AA")&amp;"'!$B:$B"),0)+1,MATCH(PROPER(TEXT("01/"&amp;ROUNDUP(MONTH(MES_CIERRE)/3,0)*3-1+3&amp;"/"&amp;YEAR(MES_CIERRE),"MMMM")),'ER AA'!$10:$10,0),,,IF(MONTH(MES_CIERRE)=12,"ER ACT","ER AA")))+INDIRECT(ADDRESS(MATCH($B$33,INDIRECT("'"&amp;IF(MONTH(MES_CIERRE)=12,"ER ACT","ER AA")&amp;"'!$B:$B"),0)+1,MATCH(PROPER(TEXT("01/"&amp;ROUNDUP(MONTH(MES_CIERRE)/3,0)*3-0+3&amp;"/"&amp;YEAR(MES_CIERRE),"MMMM")),'ER AA'!$10:$10,0),,,IF(MONTH(MES_CIERRE)=12,"ER ACT","ER AA")))</f>
        <v>14990.439999999999</v>
      </c>
      <c r="T36" s="131">
        <f ca="1">IF(S$36=0, 0, S36/S36)</f>
        <v>1</v>
      </c>
      <c r="U36" s="133">
        <f ca="1">O36-Q36</f>
        <v>6419.6260000000002</v>
      </c>
      <c r="V36" s="134">
        <f ca="1">IF(Q36=0,"N.D.",O36/Q36-1)</f>
        <v>1.4192118538064729</v>
      </c>
      <c r="W36" s="132">
        <f ca="1">O36-S36</f>
        <v>-4047.4399999999987</v>
      </c>
      <c r="X36" s="131">
        <f ca="1">IF(S36=0,"N.D.",O36/S36-1)</f>
        <v>-0.27000141423467217</v>
      </c>
    </row>
    <row r="37" spans="1:24" x14ac:dyDescent="0.25">
      <c r="A37" s="235"/>
      <c r="B37" s="129" t="s">
        <v>145</v>
      </c>
      <c r="C37" s="135">
        <f ca="1">INDIRECT(ADDRESS(MATCH($B$33,'ER Act'!$B:$B,0)+2,MATCH(PROPER(TEXT("01/"&amp;ROUNDUP(MONTH(MES_CIERRE)/3,0)*3-2&amp;"/"&amp;YEAR(MES_CIERRE),"MMMM")),'ER Act'!$10:$10,0),,,"ER Act"))+INDIRECT(ADDRESS(MATCH($B$33,'ER Act'!$B:$B,0)+2,MATCH(PROPER(TEXT("01/"&amp;ROUNDUP(MONTH(MES_CIERRE)/3,0)*3-1&amp;"/"&amp;YEAR(MES_CIERRE),"MMMM")),'ER Act'!$10:$10,0),,,"ER Act"))+INDIRECT(ADDRESS(MATCH($B$33,'ER Act'!$B:$B,0)+2,MATCH(PROPER(TEXT("01/"&amp;ROUNDUP(MONTH(MES_CIERRE)/3,0)*3-0&amp;"/"&amp;YEAR(MES_CIERRE),"MMMM")),'ER Act'!$10:$10,0),,,"ER Act"))</f>
        <v>0</v>
      </c>
      <c r="D37" s="136" t="str">
        <f ca="1">IF(C36=0,"N.D.",C37/C36)</f>
        <v>N.D.</v>
      </c>
      <c r="E37" s="135">
        <f ca="1">INDIRECT(ADDRESS(MATCH($B$33,'ER Ppto'!$B:$B,0)+2,MATCH(PROPER(TEXT("01/"&amp;ROUNDUP(MONTH(MES_CIERRE)/3,0)*3-2&amp;"/"&amp;YEAR(MES_CIERRE),"MMMM")),'ER Ppto'!$10:$10,0),,,"ER Ppto"))+INDIRECT(ADDRESS(MATCH($B$33,'ER Ppto'!$B:$B,0)+2,MATCH(PROPER(TEXT("01/"&amp;ROUNDUP(MONTH(MES_CIERRE)/3,0)*3-1&amp;"/"&amp;YEAR(MES_CIERRE),"MMMM")),'ER Ppto'!$10:$10,0),,,"ER Ppto"))+INDIRECT(ADDRESS(MATCH($B$33,'ER Ppto'!$B:$B,0)+2,MATCH(PROPER(TEXT("01/"&amp;ROUNDUP(MONTH(MES_CIERRE)/3,0)*3-0&amp;"/"&amp;YEAR(MES_CIERRE),"MMMM")),'ER Ppto'!$10:$10,0),,,"ER Ppto"))</f>
        <v>0</v>
      </c>
      <c r="F37" s="136">
        <f ca="1">IF(E$36=0, 0, E37/$E$36)</f>
        <v>0</v>
      </c>
      <c r="G37" s="135">
        <f ca="1">INDIRECT(ADDRESS(MATCH($B$33,'ER AA'!$B:$B,0)+2,MATCH(PROPER(TEXT("01/"&amp;ROUNDUP(MONTH(MES_CIERRE)/3,0)*3-2&amp;"/"&amp;YEAR(MES_CIERRE),"MMMM")),'ER AA'!$10:$10,0),,,"ER AA"))+INDIRECT(ADDRESS(MATCH($B$33,'ER AA'!$B:$B,0)+2,MATCH(PROPER(TEXT("01/"&amp;ROUNDUP(MONTH(MES_CIERRE)/3,0)*3-1&amp;"/"&amp;YEAR(MES_CIERRE),"MMMM")),'ER AA'!$10:$10,0),,,"ER AA"))+INDIRECT(ADDRESS(MATCH($B$33,'ER AA'!$B:$B,0)+2,MATCH(PROPER(TEXT("01/"&amp;ROUNDUP(MONTH(MES_CIERRE)/3,0)*3-0&amp;"/"&amp;YEAR(MES_CIERRE),"MMMM")),'ER AA'!$10:$10,0),,,"ER AA"))</f>
        <v>3002.723</v>
      </c>
      <c r="H37" s="136">
        <f ca="1">IF(G$36=0, 0, G37/$G$36)</f>
        <v>0.44395034867289035</v>
      </c>
      <c r="I37" s="137">
        <f ca="1">C37-E37</f>
        <v>0</v>
      </c>
      <c r="J37" s="138" t="str">
        <f ca="1">IF(E37=0,"N.D.",C37/E37-1)</f>
        <v>N.D.</v>
      </c>
      <c r="K37" s="135">
        <f ca="1">C37-G37</f>
        <v>-3002.723</v>
      </c>
      <c r="L37" s="136">
        <f ca="1">IF(G37=0,"N.D.",C37/G37-1)</f>
        <v>-1</v>
      </c>
      <c r="N37" s="129" t="s">
        <v>145</v>
      </c>
      <c r="O37" s="135">
        <v>4924</v>
      </c>
      <c r="P37" s="136">
        <f>IF(O36=0,"N.D.",O37/O36)</f>
        <v>0.44996801608334097</v>
      </c>
      <c r="Q37" s="135">
        <f ca="1">(INDIRECT(ADDRESS(MATCH($B$33,BDPP!$B:$B,0)+7,MATCH(PROPER(TEXT("01/"&amp;ROUNDUP(MONTH(MES_CIERRE)/3,0)*3-2+3&amp;"/"&amp;YEAR(MES_CIERRE),"MMMM")),BDPP!$10:$10,0),,,"BDPP"))+INDIRECT(ADDRESS(MATCH($B$33,BDPP!$B:$B,0)+7,MATCH(PROPER(TEXT("01/"&amp;ROUNDUP(MONTH(MES_CIERRE)/3,0)*3-1+3&amp;"/"&amp;YEAR(MES_CIERRE),"MMMM")),BDPP!$10:$10,0),,,"BDPP"))+INDIRECT(ADDRESS(MATCH($B$33,BDPP!$B:$B,0)+7,MATCH(PROPER(TEXT("01/"&amp;ROUNDUP(MONTH(MES_CIERRE)/3,0)*3-0+3&amp;"/"&amp;YEAR(MES_CIERRE),"MMMM")),BDPP!$10:$10,0),,,"BDPP")))/1000</f>
        <v>1988.751</v>
      </c>
      <c r="R37" s="136">
        <f ca="1">IF(Q$36=0, 0, Q37/$Q$36)</f>
        <v>0.43966096988663772</v>
      </c>
      <c r="S37" s="135">
        <f ca="1">INDIRECT(ADDRESS(MATCH($B$33,INDIRECT("'"&amp;IF(MONTH(MES_CIERRE)=12,"ER ACT","ER AA")&amp;"'!$B:$B"),0)+2,MATCH(PROPER(TEXT("01/"&amp;ROUNDUP(MONTH(MES_CIERRE)/3,0)*3-2+3&amp;"/"&amp;YEAR(MES_CIERRE),"MMMM")),'ER AA'!$10:$10,0),,,IF(MONTH(MES_CIERRE)=12,"ER ACT","ER AA")))+INDIRECT(ADDRESS(MATCH($B$33,INDIRECT("'"&amp;IF(MONTH(MES_CIERRE)=12,"ER ACT","ER AA")&amp;"'!$B:$B"),0)+2,MATCH(PROPER(TEXT("01/"&amp;ROUNDUP(MONTH(MES_CIERRE)/3,0)*3-1+3&amp;"/"&amp;YEAR(MES_CIERRE),"MMMM")),'ER AA'!$10:$10,0),,,IF(MONTH(MES_CIERRE)=12,"ER ACT","ER AA")))+INDIRECT(ADDRESS(MATCH($B$33,INDIRECT("'"&amp;IF(MONTH(MES_CIERRE)=12,"ER ACT","ER AA")&amp;"'!$B:$B"),0)+2,MATCH(PROPER(TEXT("01/"&amp;ROUNDUP(MONTH(MES_CIERRE)/3,0)*3-0+3&amp;"/"&amp;YEAR(MES_CIERRE),"MMMM")),'ER AA'!$10:$10,0),,,IF(MONTH(MES_CIERRE)=12,"ER ACT","ER AA")))</f>
        <v>7077.3969999999999</v>
      </c>
      <c r="T37" s="136">
        <f ca="1">IF(S$36=0, 0, S37/$G$36)</f>
        <v>1.0463878505764495</v>
      </c>
      <c r="U37" s="137">
        <f ca="1">O37-Q37</f>
        <v>2935.2489999999998</v>
      </c>
      <c r="V37" s="138">
        <f ca="1">IF(Q37=0,"N.D.",O37/Q37-1)</f>
        <v>1.4759258449147228</v>
      </c>
      <c r="W37" s="135">
        <f ca="1">O37-S37</f>
        <v>-2153.3969999999999</v>
      </c>
      <c r="X37" s="136">
        <f ca="1">IF(S37=0,"N.D.",O37/S37-1)</f>
        <v>-0.30426398293044743</v>
      </c>
    </row>
    <row r="38" spans="1:24" ht="13" x14ac:dyDescent="0.3">
      <c r="A38" s="235"/>
      <c r="B38" s="139" t="s">
        <v>237</v>
      </c>
      <c r="C38" s="140">
        <f ca="1">+C36-C37</f>
        <v>0</v>
      </c>
      <c r="D38" s="141" t="str">
        <f ca="1">IF(C36=0,"N.D.",C38/C36)</f>
        <v>N.D.</v>
      </c>
      <c r="E38" s="140">
        <f ca="1">+E36-E37</f>
        <v>0</v>
      </c>
      <c r="F38" s="141">
        <f ca="1">IF(E$36=0, 0, E38/$E$36)</f>
        <v>0</v>
      </c>
      <c r="G38" s="140">
        <f ca="1">+G36-G37</f>
        <v>3760.9229999999998</v>
      </c>
      <c r="H38" s="141">
        <f ca="1">IF(G$36=0, 0, G38/$G$36)</f>
        <v>0.55604965132710971</v>
      </c>
      <c r="I38" s="143">
        <f ca="1">C38-E38</f>
        <v>0</v>
      </c>
      <c r="J38" s="144" t="str">
        <f ca="1">IF(E38=0,"N.D.",C38/E38-1)</f>
        <v>N.D.</v>
      </c>
      <c r="K38" s="142">
        <f ca="1">C38-G38</f>
        <v>-3760.9229999999998</v>
      </c>
      <c r="L38" s="141">
        <f ca="1">IF(G38=0,"N.D.",C38/G38-1)</f>
        <v>-1</v>
      </c>
      <c r="N38" s="139" t="s">
        <v>237</v>
      </c>
      <c r="O38" s="140">
        <f>+O36-O37</f>
        <v>6019</v>
      </c>
      <c r="P38" s="141">
        <f>IF(O36=0,"N.D.",O38/O36)</f>
        <v>0.55003198391665908</v>
      </c>
      <c r="Q38" s="140">
        <f ca="1">+Q36-Q37</f>
        <v>2534.6229999999996</v>
      </c>
      <c r="R38" s="141">
        <f ca="1">IF(Q$36=0, 0, Q38/$Q$36)</f>
        <v>0.56033903011336217</v>
      </c>
      <c r="S38" s="140">
        <f ca="1">+S36-S37</f>
        <v>7913.0429999999988</v>
      </c>
      <c r="T38" s="141">
        <f ca="1">IF(S$36=0, 0, S38/$G$36)</f>
        <v>1.1699374863793877</v>
      </c>
      <c r="U38" s="143">
        <f ca="1">O38-Q38</f>
        <v>3484.3770000000004</v>
      </c>
      <c r="V38" s="144">
        <f ca="1">IF(Q38=0,"N.D.",O38/Q38-1)</f>
        <v>1.3747121366767368</v>
      </c>
      <c r="W38" s="142">
        <f ca="1">O38-S38</f>
        <v>-1894.0429999999988</v>
      </c>
      <c r="X38" s="141">
        <f ca="1">IF(S38=0,"N.D.",O38/S38-1)</f>
        <v>-0.23935709688422002</v>
      </c>
    </row>
    <row r="39" spans="1:24" x14ac:dyDescent="0.25">
      <c r="A39" s="235"/>
      <c r="B39" s="129"/>
      <c r="C39" s="127"/>
      <c r="D39" s="124"/>
      <c r="E39" s="127"/>
      <c r="F39" s="124"/>
      <c r="G39" s="127"/>
      <c r="H39" s="124"/>
      <c r="I39" s="127"/>
      <c r="J39" s="145"/>
      <c r="K39" s="127"/>
      <c r="L39" s="124"/>
      <c r="N39" s="129"/>
      <c r="O39" s="127"/>
      <c r="P39" s="124"/>
      <c r="Q39" s="127"/>
      <c r="R39" s="124"/>
      <c r="S39" s="127"/>
      <c r="T39" s="124"/>
      <c r="U39" s="127"/>
      <c r="V39" s="145"/>
      <c r="W39" s="127"/>
      <c r="X39" s="124"/>
    </row>
    <row r="40" spans="1:24" x14ac:dyDescent="0.25">
      <c r="A40" s="235"/>
      <c r="B40" s="129" t="s">
        <v>238</v>
      </c>
      <c r="C40" s="132">
        <f ca="1">INDIRECT(ADDRESS(MATCH($B$33,'ER Act'!$B:$B,0)+5,MATCH(PROPER(TEXT("01/"&amp;ROUNDUP(MONTH(MES_CIERRE)/3,0)*3-2&amp;"/"&amp;YEAR(MES_CIERRE),"MMMM")),'ER Act'!$10:$10,0),,,"ER Act"))+INDIRECT(ADDRESS(MATCH($B$33,'ER Act'!$B:$B,0)+5,MATCH(PROPER(TEXT("01/"&amp;ROUNDUP(MONTH(MES_CIERRE)/3,0)*3-1&amp;"/"&amp;YEAR(MES_CIERRE),"MMMM")),'ER Act'!$10:$10,0),,,"ER Act"))+INDIRECT(ADDRESS(MATCH($B$33,'ER Act'!$B:$B,0)+5,MATCH(PROPER(TEXT("01/"&amp;ROUNDUP(MONTH(MES_CIERRE)/3,0)*3-0&amp;"/"&amp;YEAR(MES_CIERRE),"MMMM")),'ER Act'!$10:$10,0),,,"ER Act"))</f>
        <v>0</v>
      </c>
      <c r="D40" s="131" t="str">
        <f ca="1">IF(C36=0,"N.D.",C40/C36)</f>
        <v>N.D.</v>
      </c>
      <c r="E40" s="132">
        <f ca="1">INDIRECT(ADDRESS(MATCH($B$33,'ER Ppto'!$B:$B,0)+5,MATCH(PROPER(TEXT("01/"&amp;ROUNDUP(MONTH(MES_CIERRE)/3,0)*3-2&amp;"/"&amp;YEAR(MES_CIERRE),"MMMM")),'ER Ppto'!$10:$10,0),,,"ER Ppto"))+INDIRECT(ADDRESS(MATCH($B$33,'ER Ppto'!$B:$B,0)+5,MATCH(PROPER(TEXT("01/"&amp;ROUNDUP(MONTH(MES_CIERRE)/3,0)*3-1&amp;"/"&amp;YEAR(MES_CIERRE),"MMMM")),'ER Ppto'!$10:$10,0),,,"ER Ppto"))+INDIRECT(ADDRESS(MATCH($B$33,'ER Ppto'!$B:$B,0)+5,MATCH(PROPER(TEXT("01/"&amp;ROUNDUP(MONTH(MES_CIERRE)/3,0)*3-0&amp;"/"&amp;YEAR(MES_CIERRE),"MMMM")),'ER Ppto'!$10:$10,0),,,"ER Ppto"))</f>
        <v>0</v>
      </c>
      <c r="F40" s="131">
        <f ca="1">IF(E$36=0, 0, E40/$E$36)</f>
        <v>0</v>
      </c>
      <c r="G40" s="132">
        <f ca="1">INDIRECT(ADDRESS(MATCH($B$33,'ER AA'!$B:$B,0)+5,MATCH(PROPER(TEXT("01/"&amp;ROUNDUP(MONTH(MES_CIERRE)/3,0)*3-2&amp;"/"&amp;YEAR(MES_CIERRE),"MMMM")),'ER AA'!$10:$10,0),,,"ER AA"))+INDIRECT(ADDRESS(MATCH($B$33,'ER AA'!$B:$B,0)+5,MATCH(PROPER(TEXT("01/"&amp;ROUNDUP(MONTH(MES_CIERRE)/3,0)*3-1&amp;"/"&amp;YEAR(MES_CIERRE),"MMMM")),'ER AA'!$10:$10,0),,,"ER AA"))+INDIRECT(ADDRESS(MATCH($B$33,'ER AA'!$B:$B,0)+5,MATCH(PROPER(TEXT("01/"&amp;ROUNDUP(MONTH(MES_CIERRE)/3,0)*3-0&amp;"/"&amp;YEAR(MES_CIERRE),"MMMM")),'ER AA'!$10:$10,0),,,"ER AA"))</f>
        <v>282.78999999999996</v>
      </c>
      <c r="H40" s="131">
        <f ca="1">IF(G$36=0, 0, G40/$G$36)</f>
        <v>4.1810289893941817E-2</v>
      </c>
      <c r="I40" s="133">
        <f ca="1">C40-E40</f>
        <v>0</v>
      </c>
      <c r="J40" s="134" t="str">
        <f ca="1">IF(E40=0,"N.D.",C40/E40-1)</f>
        <v>N.D.</v>
      </c>
      <c r="K40" s="132">
        <f ca="1">C40-G40</f>
        <v>-282.78999999999996</v>
      </c>
      <c r="L40" s="131">
        <f ca="1">IF(G40=0,"N.D.",C40/G40-1)</f>
        <v>-1</v>
      </c>
      <c r="N40" s="129" t="s">
        <v>238</v>
      </c>
      <c r="O40" s="132">
        <v>383</v>
      </c>
      <c r="P40" s="131">
        <f>IF(O36=0,"N.D.",O40/O36)</f>
        <v>3.4999543086904873E-2</v>
      </c>
      <c r="Q40" s="132">
        <f ca="1">(INDIRECT(ADDRESS(MATCH($B$33,BDPP!$B:$B,0)+9,MATCH(PROPER(TEXT("01/"&amp;ROUNDUP(MONTH(MES_CIERRE)/3,0)*3-2+3&amp;"/"&amp;YEAR(MES_CIERRE),"MMMM")),BDPP!$10:$10,0),,,"BDPP"))+INDIRECT(ADDRESS(MATCH($B$33,BDPP!$B:$B,0)+9,MATCH(PROPER(TEXT("01/"&amp;ROUNDUP(MONTH(MES_CIERRE)/3,0)*3-1+3&amp;"/"&amp;YEAR(MES_CIERRE),"MMMM")),BDPP!$10:$10,0),,,"BDPP"))+INDIRECT(ADDRESS(MATCH($B$33,BDPP!$B:$B,0)+9,MATCH(PROPER(TEXT("01/"&amp;ROUNDUP(MONTH(MES_CIERRE)/3,0)*3-0+3&amp;"/"&amp;YEAR(MES_CIERRE),"MMMM")),BDPP!$10:$10,0),,,"BDPP")))/1000</f>
        <v>258.464</v>
      </c>
      <c r="R40" s="131">
        <f ca="1">IF(Q$36=0, 0, Q40/$Q$36)</f>
        <v>5.713964841288826E-2</v>
      </c>
      <c r="S40" s="132">
        <f ca="1">INDIRECT(ADDRESS(MATCH($B$33,INDIRECT("'"&amp;IF(MONTH(MES_CIERRE)=12,"ER ACT","ER AA")&amp;"'!$B:$B"),0)+5,MATCH(PROPER(TEXT("01/"&amp;ROUNDUP(MONTH(MES_CIERRE)/3,0)*3-2+3&amp;"/"&amp;YEAR(MES_CIERRE),"MMMM")),'ER AA'!$10:$10,0),,,IF(MONTH(MES_CIERRE)=12,"ER ACT","ER AA")))+INDIRECT(ADDRESS(MATCH($B$33,INDIRECT("'"&amp;IF(MONTH(MES_CIERRE)=12,"ER ACT","ER AA")&amp;"'!$B:$B"),0)+5,MATCH(PROPER(TEXT("01/"&amp;ROUNDUP(MONTH(MES_CIERRE)/3,0)*3-1+3&amp;"/"&amp;YEAR(MES_CIERRE),"MMMM")),'ER AA'!$10:$10,0),,,IF(MONTH(MES_CIERRE)=12,"ER ACT","ER AA")))+INDIRECT(ADDRESS(MATCH($B$33,INDIRECT("'"&amp;IF(MONTH(MES_CIERRE)=12,"ER ACT","ER AA")&amp;"'!$B:$B"),0)+5,MATCH(PROPER(TEXT("01/"&amp;ROUNDUP(MONTH(MES_CIERRE)/3,0)*3-0+3&amp;"/"&amp;YEAR(MES_CIERRE),"MMMM")),'ER AA'!$10:$10,0),,,IF(MONTH(MES_CIERRE)=12,"ER ACT","ER AA")))</f>
        <v>1020.867</v>
      </c>
      <c r="T40" s="131">
        <f ca="1">IF(S$36=0, 0, S40/$G$36)</f>
        <v>0.15093442205579655</v>
      </c>
      <c r="U40" s="133">
        <f ca="1">O40-Q40</f>
        <v>124.536</v>
      </c>
      <c r="V40" s="134">
        <f ca="1">IF(Q40=0,"N.D.",O40/Q40-1)</f>
        <v>0.48183112541785311</v>
      </c>
      <c r="W40" s="132">
        <f ca="1">O40-S40</f>
        <v>-637.86699999999996</v>
      </c>
      <c r="X40" s="131">
        <f ca="1">IF(S40=0,"N.D.",O40/S40-1)</f>
        <v>-0.62482869952697073</v>
      </c>
    </row>
    <row r="41" spans="1:24" x14ac:dyDescent="0.25">
      <c r="A41" s="235"/>
      <c r="B41" s="129" t="s">
        <v>239</v>
      </c>
      <c r="C41" s="135">
        <f ca="1">INDIRECT(ADDRESS(MATCH($B$33,'ER Act'!$B:$B,0)+6,MATCH(PROPER(TEXT("01/"&amp;ROUNDUP(MONTH(MES_CIERRE)/3,0)*3-2&amp;"/"&amp;YEAR(MES_CIERRE),"MMMM")),'ER Act'!$10:$10,0),,,"ER Act"))+INDIRECT(ADDRESS(MATCH($B$33,'ER Act'!$B:$B,0)+6,MATCH(PROPER(TEXT("01/"&amp;ROUNDUP(MONTH(MES_CIERRE)/3,0)*3-1&amp;"/"&amp;YEAR(MES_CIERRE),"MMMM")),'ER Act'!$10:$10,0),,,"ER Act"))+INDIRECT(ADDRESS(MATCH($B$33,'ER Act'!$B:$B,0)+6,MATCH(PROPER(TEXT("01/"&amp;ROUNDUP(MONTH(MES_CIERRE)/3,0)*3-0&amp;"/"&amp;YEAR(MES_CIERRE),"MMMM")),'ER Act'!$10:$10,0),,,"ER Act"))</f>
        <v>0</v>
      </c>
      <c r="D41" s="146" t="str">
        <f ca="1">IF(C36=0,"N.D.",C41/C36)</f>
        <v>N.D.</v>
      </c>
      <c r="E41" s="135">
        <f ca="1">INDIRECT(ADDRESS(MATCH($B$33,'ER Ppto'!$B:$B,0)+6,MATCH(PROPER(TEXT("01/"&amp;ROUNDUP(MONTH(MES_CIERRE)/3,0)*3-2&amp;"/"&amp;YEAR(MES_CIERRE),"MMMM")),'ER Ppto'!$10:$10,0),,,"ER Ppto"))+INDIRECT(ADDRESS(MATCH($B$33,'ER Ppto'!$B:$B,0)+6,MATCH(PROPER(TEXT("01/"&amp;ROUNDUP(MONTH(MES_CIERRE)/3,0)*3-1&amp;"/"&amp;YEAR(MES_CIERRE),"MMMM")),'ER Ppto'!$10:$10,0),,,"ER Ppto"))+INDIRECT(ADDRESS(MATCH($B$33,'ER Ppto'!$B:$B,0)+6,MATCH(PROPER(TEXT("01/"&amp;ROUNDUP(MONTH(MES_CIERRE)/3,0)*3-0&amp;"/"&amp;YEAR(MES_CIERRE),"MMMM")),'ER Ppto'!$10:$10,0),,,"ER Ppto"))</f>
        <v>0</v>
      </c>
      <c r="F41" s="146">
        <f ca="1">IF(E$36=0, 0, E41/$E$36)</f>
        <v>0</v>
      </c>
      <c r="G41" s="135">
        <f ca="1">INDIRECT(ADDRESS(MATCH($B$33,'ER AA'!$B:$B,0)+6,MATCH(PROPER(TEXT("01/"&amp;ROUNDUP(MONTH(MES_CIERRE)/3,0)*3-2&amp;"/"&amp;YEAR(MES_CIERRE),"MMMM")),'ER AA'!$10:$10,0),,,"ER AA"))+INDIRECT(ADDRESS(MATCH($B$33,'ER AA'!$B:$B,0)+6,MATCH(PROPER(TEXT("01/"&amp;ROUNDUP(MONTH(MES_CIERRE)/3,0)*3-1&amp;"/"&amp;YEAR(MES_CIERRE),"MMMM")),'ER AA'!$10:$10,0),,,"ER AA"))+INDIRECT(ADDRESS(MATCH($B$33,'ER AA'!$B:$B,0)+6,MATCH(PROPER(TEXT("01/"&amp;ROUNDUP(MONTH(MES_CIERRE)/3,0)*3-0&amp;"/"&amp;YEAR(MES_CIERRE),"MMMM")),'ER AA'!$10:$10,0),,,"ER AA"))</f>
        <v>616.29299999999989</v>
      </c>
      <c r="H41" s="146">
        <f ca="1">IF(G$36=0, 0, G41/$G$36)</f>
        <v>9.1118458890367696E-2</v>
      </c>
      <c r="I41" s="137">
        <f ca="1">C41-E41</f>
        <v>0</v>
      </c>
      <c r="J41" s="138" t="str">
        <f ca="1">IF(E41=0,"N.D.",C41/E41-1)</f>
        <v>N.D.</v>
      </c>
      <c r="K41" s="135">
        <f ca="1">C41-G41</f>
        <v>-616.29299999999989</v>
      </c>
      <c r="L41" s="146">
        <f ca="1">IF(G41=0,"N.D.",C41/G41-1)</f>
        <v>-1</v>
      </c>
      <c r="N41" s="129" t="s">
        <v>239</v>
      </c>
      <c r="O41" s="135">
        <v>292</v>
      </c>
      <c r="P41" s="146">
        <f>IF(O36=0,"N.D.",O41/O36)</f>
        <v>2.6683724755551495E-2</v>
      </c>
      <c r="Q41" s="135">
        <f ca="1">(INDIRECT(ADDRESS(MATCH($B$33,BDPP!$B:$B,0)+10,MATCH(PROPER(TEXT("01/"&amp;ROUNDUP(MONTH(MES_CIERRE)/3,0)*3-2+3&amp;"/"&amp;YEAR(MES_CIERRE),"MMMM")),BDPP!$10:$10,0),,,"BDPP"))+INDIRECT(ADDRESS(MATCH($B$33,BDPP!$B:$B,0)+10,MATCH(PROPER(TEXT("01/"&amp;ROUNDUP(MONTH(MES_CIERRE)/3,0)*3-1+3&amp;"/"&amp;YEAR(MES_CIERRE),"MMMM")),BDPP!$10:$10,0),,,"BDPP"))+INDIRECT(ADDRESS(MATCH($B$33,BDPP!$B:$B,0)+10,MATCH(PROPER(TEXT("01/"&amp;ROUNDUP(MONTH(MES_CIERRE)/3,0)*3-0+3&amp;"/"&amp;YEAR(MES_CIERRE),"MMMM")),BDPP!$10:$10,0),,,"BDPP")))/1000</f>
        <v>441</v>
      </c>
      <c r="R41" s="146">
        <f ca="1">IF(Q$36=0, 0, Q41/$Q$36)</f>
        <v>9.7493596594046841E-2</v>
      </c>
      <c r="S41" s="135">
        <f ca="1">INDIRECT(ADDRESS(MATCH($B$33,INDIRECT("'"&amp;IF(MONTH(MES_CIERRE)=12,"ER ACT","ER AA")&amp;"'!$B:$B"),0)+6,MATCH(PROPER(TEXT("01/"&amp;ROUNDUP(MONTH(MES_CIERRE)/3,0)*3-2+3&amp;"/"&amp;YEAR(MES_CIERRE),"MMMM")),'ER AA'!$10:$10,0),,,IF(MONTH(MES_CIERRE)=12,"ER ACT","ER AA")))+INDIRECT(ADDRESS(MATCH($B$33,INDIRECT("'"&amp;IF(MONTH(MES_CIERRE)=12,"ER ACT","ER AA")&amp;"'!$B:$B"),0)+6,MATCH(PROPER(TEXT("01/"&amp;ROUNDUP(MONTH(MES_CIERRE)/3,0)*3-1+3&amp;"/"&amp;YEAR(MES_CIERRE),"MMMM")),'ER AA'!$10:$10,0),,,IF(MONTH(MES_CIERRE)=12,"ER ACT","ER AA")))+INDIRECT(ADDRESS(MATCH($B$33,INDIRECT("'"&amp;IF(MONTH(MES_CIERRE)=12,"ER ACT","ER AA")&amp;"'!$B:$B"),0)+6,MATCH(PROPER(TEXT("01/"&amp;ROUNDUP(MONTH(MES_CIERRE)/3,0)*3-0+3&amp;"/"&amp;YEAR(MES_CIERRE),"MMMM")),'ER AA'!$10:$10,0),,,IF(MONTH(MES_CIERRE)=12,"ER ACT","ER AA")))</f>
        <v>453.08699999999999</v>
      </c>
      <c r="T41" s="146">
        <f ca="1">IF(S$36=0, 0, S41/$G$36)</f>
        <v>6.698857391412856E-2</v>
      </c>
      <c r="U41" s="137">
        <f ca="1">O41-Q41</f>
        <v>-149</v>
      </c>
      <c r="V41" s="138">
        <f ca="1">IF(Q41=0,"N.D.",O41/Q41-1)</f>
        <v>-0.33786848072562359</v>
      </c>
      <c r="W41" s="135">
        <f ca="1">O41-S41</f>
        <v>-161.08699999999999</v>
      </c>
      <c r="X41" s="146">
        <f ca="1">IF(S41=0,"N.D.",O41/S41-1)</f>
        <v>-0.35553216049014869</v>
      </c>
    </row>
    <row r="42" spans="1:24" x14ac:dyDescent="0.25">
      <c r="A42" s="235"/>
      <c r="B42" s="129" t="s">
        <v>240</v>
      </c>
      <c r="C42" s="147">
        <f ca="1">INDIRECT(ADDRESS(MATCH($B$33,'ER Act'!$B:$B,0)+7,MATCH(PROPER(TEXT("01/"&amp;ROUNDUP(MONTH(MES_CIERRE)/3,0)*3-2&amp;"/"&amp;YEAR(MES_CIERRE),"MMMM")),'ER Act'!$10:$10,0),,,"ER Act"))+INDIRECT(ADDRESS(MATCH($B$33,'ER Act'!$B:$B,0)+7,MATCH(PROPER(TEXT("01/"&amp;ROUNDUP(MONTH(MES_CIERRE)/3,0)*3-1&amp;"/"&amp;YEAR(MES_CIERRE),"MMMM")),'ER Act'!$10:$10,0),,,"ER Act"))+INDIRECT(ADDRESS(MATCH($B$33,'ER Act'!$B:$B,0)+7,MATCH(PROPER(TEXT("01/"&amp;ROUNDUP(MONTH(MES_CIERRE)/3,0)*3-0&amp;"/"&amp;YEAR(MES_CIERRE),"MMMM")),'ER Act'!$10:$10,0),,,"ER Act"))</f>
        <v>0</v>
      </c>
      <c r="D42" s="136" t="str">
        <f ca="1">IF(C36=0,"N.D.",C42/C36)</f>
        <v>N.D.</v>
      </c>
      <c r="E42" s="147">
        <f ca="1">INDIRECT(ADDRESS(MATCH($B$33,'ER Ppto'!$B:$B,0)+7,MATCH(PROPER(TEXT("01/"&amp;ROUNDUP(MONTH(MES_CIERRE)/3,0)*3-2&amp;"/"&amp;YEAR(MES_CIERRE),"MMMM")),'ER Ppto'!$10:$10,0),,,"ER Ppto"))+INDIRECT(ADDRESS(MATCH($B$33,'ER Ppto'!$B:$B,0)+7,MATCH(PROPER(TEXT("01/"&amp;ROUNDUP(MONTH(MES_CIERRE)/3,0)*3-1&amp;"/"&amp;YEAR(MES_CIERRE),"MMMM")),'ER Ppto'!$10:$10,0),,,"ER Ppto"))+INDIRECT(ADDRESS(MATCH($B$33,'ER Ppto'!$B:$B,0)+7,MATCH(PROPER(TEXT("01/"&amp;ROUNDUP(MONTH(MES_CIERRE)/3,0)*3-0&amp;"/"&amp;YEAR(MES_CIERRE),"MMMM")),'ER Ppto'!$10:$10,0),,,"ER Ppto"))</f>
        <v>0</v>
      </c>
      <c r="F42" s="136">
        <f ca="1">IF(E$36=0, 0, E42/$E$36)</f>
        <v>0</v>
      </c>
      <c r="G42" s="147">
        <f ca="1">INDIRECT(ADDRESS(MATCH($B$33,'ER AA'!$B:$B,0)+7,MATCH(PROPER(TEXT("01/"&amp;ROUNDUP(MONTH(MES_CIERRE)/3,0)*3-2&amp;"/"&amp;YEAR(MES_CIERRE),"MMMM")),'ER AA'!$10:$10,0),,,"ER AA"))+INDIRECT(ADDRESS(MATCH($B$33,'ER AA'!$B:$B,0)+7,MATCH(PROPER(TEXT("01/"&amp;ROUNDUP(MONTH(MES_CIERRE)/3,0)*3-1&amp;"/"&amp;YEAR(MES_CIERRE),"MMMM")),'ER AA'!$10:$10,0),,,"ER AA"))+INDIRECT(ADDRESS(MATCH($B$33,'ER AA'!$B:$B,0)+7,MATCH(PROPER(TEXT("01/"&amp;ROUNDUP(MONTH(MES_CIERRE)/3,0)*3-0&amp;"/"&amp;YEAR(MES_CIERRE),"MMMM")),'ER AA'!$10:$10,0),,,"ER AA"))</f>
        <v>2.306</v>
      </c>
      <c r="H42" s="136">
        <f ca="1">IF(G$36=0, 0, G42/$G$36)</f>
        <v>3.409403744666708E-4</v>
      </c>
      <c r="I42" s="137">
        <f ca="1">C42-E42</f>
        <v>0</v>
      </c>
      <c r="J42" s="138" t="str">
        <f ca="1">IF(E42=0,"N.D.",C42/E42-1)</f>
        <v>N.D.</v>
      </c>
      <c r="K42" s="147">
        <f ca="1">C42-G42</f>
        <v>-2.306</v>
      </c>
      <c r="L42" s="136">
        <f ca="1">IF(G42=0,"N.D.",C42/G42-1)</f>
        <v>-1</v>
      </c>
      <c r="N42" s="129" t="s">
        <v>240</v>
      </c>
      <c r="O42" s="147">
        <v>9</v>
      </c>
      <c r="P42" s="136">
        <f>IF(O36=0,"N.D.",O42/O36)</f>
        <v>8.2244357123275149E-4</v>
      </c>
      <c r="Q42" s="147">
        <f ca="1">(INDIRECT(ADDRESS(MATCH($B$33,BDPP!$B:$B,0)+11,MATCH(PROPER(TEXT("01/"&amp;ROUNDUP(MONTH(MES_CIERRE)/3,0)*3-2+3&amp;"/"&amp;YEAR(MES_CIERRE),"MMMM")),BDPP!$10:$10,0),,,"BDPP"))+INDIRECT(ADDRESS(MATCH($B$33,BDPP!$B:$B,0)+11,MATCH(PROPER(TEXT("01/"&amp;ROUNDUP(MONTH(MES_CIERRE)/3,0)*3-1+3&amp;"/"&amp;YEAR(MES_CIERRE),"MMMM")),BDPP!$10:$10,0),,,"BDPP"))+INDIRECT(ADDRESS(MATCH($B$33,BDPP!$B:$B,0)+11,MATCH(PROPER(TEXT("01/"&amp;ROUNDUP(MONTH(MES_CIERRE)/3,0)*3-0+3&amp;"/"&amp;YEAR(MES_CIERRE),"MMMM")),BDPP!$10:$10,0),,,"BDPP")))/1000</f>
        <v>10.875</v>
      </c>
      <c r="R42" s="136">
        <f ca="1">IF(Q$36=0, 0, Q42/$Q$36)</f>
        <v>2.4041788275742841E-3</v>
      </c>
      <c r="S42" s="147">
        <f ca="1">INDIRECT(ADDRESS(MATCH($B$33,INDIRECT("'"&amp;IF(MONTH(MES_CIERRE)=12,"ER ACT","ER AA")&amp;"'!$B:$B"),0)+7,MATCH(PROPER(TEXT("01/"&amp;ROUNDUP(MONTH(MES_CIERRE)/3,0)*3-2+3&amp;"/"&amp;YEAR(MES_CIERRE),"MMMM")),'ER AA'!$10:$10,0),,,IF(MONTH(MES_CIERRE)=12,"ER ACT","ER AA")))+INDIRECT(ADDRESS(MATCH($B$33,INDIRECT("'"&amp;IF(MONTH(MES_CIERRE)=12,"ER ACT","ER AA")&amp;"'!$B:$B"),0)+7,MATCH(PROPER(TEXT("01/"&amp;ROUNDUP(MONTH(MES_CIERRE)/3,0)*3-1+3&amp;"/"&amp;YEAR(MES_CIERRE),"MMMM")),'ER AA'!$10:$10,0),,,IF(MONTH(MES_CIERRE)=12,"ER ACT","ER AA")))+INDIRECT(ADDRESS(MATCH($B$33,INDIRECT("'"&amp;IF(MONTH(MES_CIERRE)=12,"ER ACT","ER AA")&amp;"'!$B:$B"),0)+7,MATCH(PROPER(TEXT("01/"&amp;ROUNDUP(MONTH(MES_CIERRE)/3,0)*3-0+3&amp;"/"&amp;YEAR(MES_CIERRE),"MMMM")),'ER AA'!$10:$10,0),,,IF(MONTH(MES_CIERRE)=12,"ER ACT","ER AA")))</f>
        <v>3.4590000000000001</v>
      </c>
      <c r="T42" s="136">
        <f ca="1">IF(S$36=0, 0, S42/$G$36)</f>
        <v>5.1141056170000618E-4</v>
      </c>
      <c r="U42" s="137">
        <f ca="1">O42-Q42</f>
        <v>-1.875</v>
      </c>
      <c r="V42" s="138">
        <f ca="1">IF(Q42=0,"N.D.",O42/Q42-1)</f>
        <v>-0.17241379310344829</v>
      </c>
      <c r="W42" s="147">
        <f ca="1">O42-S42</f>
        <v>5.5410000000000004</v>
      </c>
      <c r="X42" s="136">
        <f ca="1">IF(S42=0,"N.D.",O42/S42-1)</f>
        <v>1.6019080659150045</v>
      </c>
    </row>
    <row r="43" spans="1:24" ht="13" x14ac:dyDescent="0.3">
      <c r="A43" s="235"/>
      <c r="B43" s="139" t="s">
        <v>241</v>
      </c>
      <c r="C43" s="142">
        <f ca="1">+C40+C41+C42</f>
        <v>0</v>
      </c>
      <c r="D43" s="141" t="str">
        <f ca="1">IF(C36=0,"N.D.",C43/C36)</f>
        <v>N.D.</v>
      </c>
      <c r="E43" s="142">
        <f ca="1">+E40+E41+E42</f>
        <v>0</v>
      </c>
      <c r="F43" s="141">
        <f ca="1">IF(E$36=0, 0, E43/$E$36)</f>
        <v>0</v>
      </c>
      <c r="G43" s="142">
        <f ca="1">+G40+G41+G42</f>
        <v>901.3889999999999</v>
      </c>
      <c r="H43" s="141">
        <f ca="1">IF(G$36=0, 0, G43/$G$36)</f>
        <v>0.13326968915877618</v>
      </c>
      <c r="I43" s="143">
        <f ca="1">C43-E43</f>
        <v>0</v>
      </c>
      <c r="J43" s="144" t="str">
        <f ca="1">IF(E43=0,"N.D.",C43/E43-1)</f>
        <v>N.D.</v>
      </c>
      <c r="K43" s="142">
        <f ca="1">C43-G43</f>
        <v>-901.3889999999999</v>
      </c>
      <c r="L43" s="141">
        <f ca="1">IF(G43=0,"N.D.",C43/G43-1)</f>
        <v>-1</v>
      </c>
      <c r="N43" s="139" t="s">
        <v>241</v>
      </c>
      <c r="O43" s="142">
        <f>+O40+O41+O42</f>
        <v>684</v>
      </c>
      <c r="P43" s="141">
        <f>IF(O36=0,"N.D.",O43/O36)</f>
        <v>6.2505711413689116E-2</v>
      </c>
      <c r="Q43" s="142">
        <f ca="1">+Q40+Q41+Q42</f>
        <v>710.33899999999994</v>
      </c>
      <c r="R43" s="141">
        <f ca="1">IF(Q$36=0, 0, Q43/$Q$36)</f>
        <v>0.15703742383450936</v>
      </c>
      <c r="S43" s="142">
        <f ca="1">+S40+S41+S42</f>
        <v>1477.413</v>
      </c>
      <c r="T43" s="141">
        <f ca="1">IF(S$36=0, 0, S43/$G$36)</f>
        <v>0.2184344065316251</v>
      </c>
      <c r="U43" s="143">
        <f ca="1">O43-Q43</f>
        <v>-26.338999999999942</v>
      </c>
      <c r="V43" s="144">
        <f ca="1">IF(Q43=0,"N.D.",O43/Q43-1)</f>
        <v>-3.7079478953006895E-2</v>
      </c>
      <c r="W43" s="142">
        <f ca="1">O43-S43</f>
        <v>-793.41300000000001</v>
      </c>
      <c r="X43" s="141">
        <f ca="1">IF(S43=0,"N.D.",O43/S43-1)</f>
        <v>-0.53702857630195489</v>
      </c>
    </row>
    <row r="44" spans="1:24" ht="13" x14ac:dyDescent="0.3">
      <c r="A44" s="235"/>
      <c r="B44" s="139" t="s">
        <v>242</v>
      </c>
      <c r="C44" s="142">
        <f ca="1">+C38-C43</f>
        <v>0</v>
      </c>
      <c r="D44" s="141" t="str">
        <f ca="1">IF(C36=0,"N.D.",C44/C36)</f>
        <v>N.D.</v>
      </c>
      <c r="E44" s="142">
        <f ca="1">+E38-E43</f>
        <v>0</v>
      </c>
      <c r="F44" s="141">
        <f ca="1">IF(E$36=0, 0, E44/$E$36)</f>
        <v>0</v>
      </c>
      <c r="G44" s="142">
        <f ca="1">+G38-G43</f>
        <v>2859.5339999999997</v>
      </c>
      <c r="H44" s="141">
        <f ca="1">IF(G$36=0, 0, G44/$G$36)</f>
        <v>0.42277996216833341</v>
      </c>
      <c r="I44" s="143">
        <f ca="1">C44-E44</f>
        <v>0</v>
      </c>
      <c r="J44" s="144" t="str">
        <f ca="1">IF(E44=0,"N.D.",C44/E44-1)</f>
        <v>N.D.</v>
      </c>
      <c r="K44" s="142">
        <f ca="1">C44-G44</f>
        <v>-2859.5339999999997</v>
      </c>
      <c r="L44" s="141">
        <f ca="1">IF(G44=0,"N.D.",C44/G44-1)</f>
        <v>-1</v>
      </c>
      <c r="N44" s="139" t="s">
        <v>242</v>
      </c>
      <c r="O44" s="142">
        <f>+O38-O43</f>
        <v>5335</v>
      </c>
      <c r="P44" s="141">
        <f>IF(O36=0,"N.D.",O44/O36)</f>
        <v>0.48752627250296993</v>
      </c>
      <c r="Q44" s="142">
        <f ca="1">+Q38-Q43</f>
        <v>1824.2839999999997</v>
      </c>
      <c r="R44" s="141">
        <f ca="1">IF(Q$36=0, 0, Q44/$Q$36)</f>
        <v>0.40330160627885286</v>
      </c>
      <c r="S44" s="142">
        <f ca="1">+S38-S43</f>
        <v>6435.6299999999992</v>
      </c>
      <c r="T44" s="141">
        <f ca="1">IF(S$36=0, 0, S44/$G$36)</f>
        <v>0.9515030798477625</v>
      </c>
      <c r="U44" s="143">
        <f ca="1">O44-Q44</f>
        <v>3510.7160000000003</v>
      </c>
      <c r="V44" s="144">
        <f ca="1">IF(Q44=0,"N.D.",O44/Q44-1)</f>
        <v>1.9244350112153596</v>
      </c>
      <c r="W44" s="142">
        <f ca="1">O44-S44</f>
        <v>-1100.6299999999992</v>
      </c>
      <c r="X44" s="141">
        <f ca="1">IF(S44=0,"N.D.",O44/S44-1)</f>
        <v>-0.17102132969111017</v>
      </c>
    </row>
    <row r="45" spans="1:24" x14ac:dyDescent="0.25">
      <c r="A45" s="235"/>
      <c r="B45" s="129"/>
      <c r="C45" s="127"/>
      <c r="D45" s="124"/>
      <c r="E45" s="127"/>
      <c r="F45" s="124"/>
      <c r="G45" s="127"/>
      <c r="H45" s="124"/>
      <c r="I45" s="127"/>
      <c r="J45" s="145"/>
      <c r="K45" s="127"/>
      <c r="L45" s="124"/>
      <c r="N45" s="129"/>
      <c r="O45" s="127"/>
      <c r="P45" s="124"/>
      <c r="Q45" s="127"/>
      <c r="R45" s="124"/>
      <c r="S45" s="127"/>
      <c r="T45" s="124"/>
      <c r="U45" s="127"/>
      <c r="V45" s="145"/>
      <c r="W45" s="127"/>
      <c r="X45" s="124"/>
    </row>
    <row r="46" spans="1:24" x14ac:dyDescent="0.25">
      <c r="A46" s="235"/>
      <c r="B46" s="129" t="s">
        <v>243</v>
      </c>
      <c r="C46" s="132">
        <f ca="1">INDIRECT(ADDRESS(MATCH($B$33,'ER Act'!$B:$B,0)+11,MATCH(PROPER(TEXT("01/"&amp;ROUNDUP(MONTH(MES_CIERRE)/3,0)*3-2&amp;"/"&amp;YEAR(MES_CIERRE),"MMMM")),'ER Act'!$10:$10,0),,,"ER Act"))+INDIRECT(ADDRESS(MATCH($B$33,'ER Act'!$B:$B,0)+11,MATCH(PROPER(TEXT("01/"&amp;ROUNDUP(MONTH(MES_CIERRE)/3,0)*3-1&amp;"/"&amp;YEAR(MES_CIERRE),"MMMM")),'ER Act'!$10:$10,0),,,"ER Act"))+INDIRECT(ADDRESS(MATCH($B$33,'ER Act'!$B:$B,0)+11,MATCH(PROPER(TEXT("01/"&amp;ROUNDUP(MONTH(MES_CIERRE)/3,0)*3-0&amp;"/"&amp;YEAR(MES_CIERRE),"MMMM")),'ER Act'!$10:$10,0),,,"ER Act"))</f>
        <v>0</v>
      </c>
      <c r="D46" s="148" t="str">
        <f ca="1">IF(C36=0,"N.D.",C46/C36)</f>
        <v>N.D.</v>
      </c>
      <c r="E46" s="132">
        <f ca="1">INDIRECT(ADDRESS(MATCH($B$33,'ER Ppto'!$B:$B,0)+11,MATCH(PROPER(TEXT("01/"&amp;ROUNDUP(MONTH(MES_CIERRE)/3,0)*3-2&amp;"/"&amp;YEAR(MES_CIERRE),"MMMM")),'ER Ppto'!$10:$10,0),,,"ER Ppto"))+INDIRECT(ADDRESS(MATCH($B$33,'ER Ppto'!$B:$B,0)+11,MATCH(PROPER(TEXT("01/"&amp;ROUNDUP(MONTH(MES_CIERRE)/3,0)*3-1&amp;"/"&amp;YEAR(MES_CIERRE),"MMMM")),'ER Ppto'!$10:$10,0),,,"ER Ppto"))+INDIRECT(ADDRESS(MATCH($B$33,'ER Ppto'!$B:$B,0)+11,MATCH(PROPER(TEXT("01/"&amp;ROUNDUP(MONTH(MES_CIERRE)/3,0)*3-0&amp;"/"&amp;YEAR(MES_CIERRE),"MMMM")),'ER Ppto'!$10:$10,0),,,"ER Ppto"))</f>
        <v>0</v>
      </c>
      <c r="F46" s="131">
        <f t="shared" ref="F46:F52" ca="1" si="18">IF(E$36=0, 0, E46/$E$36)</f>
        <v>0</v>
      </c>
      <c r="G46" s="132">
        <f ca="1">INDIRECT(ADDRESS(MATCH($B$33,'ER AA'!$B:$B,0)+11,MATCH(PROPER(TEXT("01/"&amp;ROUNDUP(MONTH(MES_CIERRE)/3,0)*3-2&amp;"/"&amp;YEAR(MES_CIERRE),"MMMM")),'ER AA'!$10:$10,0),,,"ER AA"))+INDIRECT(ADDRESS(MATCH($B$33,'ER AA'!$B:$B,0)+11,MATCH(PROPER(TEXT("01/"&amp;ROUNDUP(MONTH(MES_CIERRE)/3,0)*3-1&amp;"/"&amp;YEAR(MES_CIERRE),"MMMM")),'ER AA'!$10:$10,0),,,"ER AA"))+INDIRECT(ADDRESS(MATCH($B$33,'ER AA'!$B:$B,0)+11,MATCH(PROPER(TEXT("01/"&amp;ROUNDUP(MONTH(MES_CIERRE)/3,0)*3-0&amp;"/"&amp;YEAR(MES_CIERRE),"MMMM")),'ER AA'!$10:$10,0),,,"ER AA"))</f>
        <v>-198.131</v>
      </c>
      <c r="H46" s="131">
        <f t="shared" ref="H46:H52" ca="1" si="19">IF(G$36=0, 0, G46/$G$36)</f>
        <v>-2.9293520092565462E-2</v>
      </c>
      <c r="I46" s="133">
        <f t="shared" ref="I46:I52" ca="1" si="20">C46-E46</f>
        <v>0</v>
      </c>
      <c r="J46" s="134" t="str">
        <f t="shared" ref="J46:J52" ca="1" si="21">IF(E46=0,"N.D.",C46/E46-1)</f>
        <v>N.D.</v>
      </c>
      <c r="K46" s="132">
        <f t="shared" ref="K46:K52" ca="1" si="22">C46-G46</f>
        <v>198.131</v>
      </c>
      <c r="L46" s="131">
        <f t="shared" ref="L46:L52" ca="1" si="23">IF(G46=0,"N.D.",C46/G46-1)</f>
        <v>-1</v>
      </c>
      <c r="N46" s="129" t="s">
        <v>243</v>
      </c>
      <c r="O46" s="132">
        <v>-279</v>
      </c>
      <c r="P46" s="148">
        <f>IF(O36=0,"N.D.",O46/O36)</f>
        <v>-2.5495750708215296E-2</v>
      </c>
      <c r="Q46" s="132">
        <f ca="1">(INDIRECT(ADDRESS(MATCH($B$33,BDPP!$B:$B,0)+14,MATCH(PROPER(TEXT("01/"&amp;ROUNDUP(MONTH(MES_CIERRE)/3,0)*3-2+3&amp;"/"&amp;YEAR(MES_CIERRE),"MMMM")),BDPP!$10:$10,0),,,"BDPP"))+INDIRECT(ADDRESS(MATCH($B$33,BDPP!$B:$B,0)+14,MATCH(PROPER(TEXT("01/"&amp;ROUNDUP(MONTH(MES_CIERRE)/3,0)*3-1+3&amp;"/"&amp;YEAR(MES_CIERRE),"MMMM")),BDPP!$10:$10,0),,,"BDPP"))+INDIRECT(ADDRESS(MATCH($B$33,BDPP!$B:$B,0)+14,MATCH(PROPER(TEXT("01/"&amp;ROUNDUP(MONTH(MES_CIERRE)/3,0)*3-0+3&amp;"/"&amp;YEAR(MES_CIERRE),"MMMM")),BDPP!$10:$10,0),,,"BDPP")))/1000</f>
        <v>-279</v>
      </c>
      <c r="R46" s="131">
        <f t="shared" ref="R46:R52" ca="1" si="24">IF(Q$36=0, 0, Q46/$Q$36)</f>
        <v>-6.1679622335009225E-2</v>
      </c>
      <c r="S46" s="132">
        <f ca="1">INDIRECT(ADDRESS(MATCH($B$33,INDIRECT("'"&amp;IF(MONTH(MES_CIERRE)=12,"ER ACT","ER AA")&amp;"'!$B:$B"),0)+11,MATCH(PROPER(TEXT("01/"&amp;ROUNDUP(MONTH(MES_CIERRE)/3,0)*3-2+3&amp;"/"&amp;YEAR(MES_CIERRE),"MMMM")),'ER AA'!$10:$10,0),,,IF(MONTH(MES_CIERRE)=12,"ER ACT","ER AA")))+INDIRECT(ADDRESS(MATCH($B$33,INDIRECT("'"&amp;IF(MONTH(MES_CIERRE)=12,"ER ACT","ER AA")&amp;"'!$B:$B"),0)+11,MATCH(PROPER(TEXT("01/"&amp;ROUNDUP(MONTH(MES_CIERRE)/3,0)*3-1+3&amp;"/"&amp;YEAR(MES_CIERRE),"MMMM")),'ER AA'!$10:$10,0),,,IF(MONTH(MES_CIERRE)=12,"ER ACT","ER AA")))+INDIRECT(ADDRESS(MATCH($B$33,INDIRECT("'"&amp;IF(MONTH(MES_CIERRE)=12,"ER ACT","ER AA")&amp;"'!$B:$B"),0)+11,MATCH(PROPER(TEXT("01/"&amp;ROUNDUP(MONTH(MES_CIERRE)/3,0)*3-0+3&amp;"/"&amp;YEAR(MES_CIERRE),"MMMM")),'ER AA'!$10:$10,0),,,IF(MONTH(MES_CIERRE)=12,"ER ACT","ER AA")))</f>
        <v>-279.37900000000002</v>
      </c>
      <c r="T46" s="131">
        <f t="shared" ref="T46:T52" ca="1" si="25">IF(S$36=0, 0, S46/$G$36)</f>
        <v>-4.130597609632438E-2</v>
      </c>
      <c r="U46" s="133">
        <f t="shared" ref="U46:U52" ca="1" si="26">O46-Q46</f>
        <v>0</v>
      </c>
      <c r="V46" s="134">
        <f t="shared" ref="V46:V52" ca="1" si="27">IF(Q46=0,"N.D.",O46/Q46-1)</f>
        <v>0</v>
      </c>
      <c r="W46" s="132">
        <f t="shared" ref="W46:W52" ca="1" si="28">O46-S46</f>
        <v>0.3790000000000191</v>
      </c>
      <c r="X46" s="131">
        <f t="shared" ref="X46:X52" ca="1" si="29">IF(S46=0,"N.D.",O46/S46-1)</f>
        <v>-1.3565801295015723E-3</v>
      </c>
    </row>
    <row r="47" spans="1:24" x14ac:dyDescent="0.25">
      <c r="A47" s="235"/>
      <c r="B47" s="129" t="s">
        <v>244</v>
      </c>
      <c r="C47" s="135">
        <f ca="1">INDIRECT(ADDRESS(MATCH($B$33,'ER Act'!$B:$B,0)+12,MATCH(PROPER(TEXT("01/"&amp;ROUNDUP(MONTH(MES_CIERRE)/3,0)*3-2&amp;"/"&amp;YEAR(MES_CIERRE),"MMMM")),'ER Act'!$10:$10,0),,,"ER Act"))+INDIRECT(ADDRESS(MATCH($B$33,'ER Act'!$B:$B,0)+12,MATCH(PROPER(TEXT("01/"&amp;ROUNDUP(MONTH(MES_CIERRE)/3,0)*3-1&amp;"/"&amp;YEAR(MES_CIERRE),"MMMM")),'ER Act'!$10:$10,0),,,"ER Act"))+INDIRECT(ADDRESS(MATCH($B$33,'ER Act'!$B:$B,0)+12,MATCH(PROPER(TEXT("01/"&amp;ROUNDUP(MONTH(MES_CIERRE)/3,0)*3-0&amp;"/"&amp;YEAR(MES_CIERRE),"MMMM")),'ER Act'!$10:$10,0),,,"ER Act"))</f>
        <v>0</v>
      </c>
      <c r="D47" s="149" t="str">
        <f ca="1">IF(C36=0,"N.D.",C47/C36)</f>
        <v>N.D.</v>
      </c>
      <c r="E47" s="135">
        <f ca="1">INDIRECT(ADDRESS(MATCH($B$33,'ER Ppto'!$B:$B,0)+12,MATCH(PROPER(TEXT("01/"&amp;ROUNDUP(MONTH(MES_CIERRE)/3,0)*3-2&amp;"/"&amp;YEAR(MES_CIERRE),"MMMM")),'ER Ppto'!$10:$10,0),,,"ER Ppto"))+INDIRECT(ADDRESS(MATCH($B$33,'ER Ppto'!$B:$B,0)+12,MATCH(PROPER(TEXT("01/"&amp;ROUNDUP(MONTH(MES_CIERRE)/3,0)*3-1&amp;"/"&amp;YEAR(MES_CIERRE),"MMMM")),'ER Ppto'!$10:$10,0),,,"ER Ppto"))+INDIRECT(ADDRESS(MATCH($B$33,'ER Ppto'!$B:$B,0)+12,MATCH(PROPER(TEXT("01/"&amp;ROUNDUP(MONTH(MES_CIERRE)/3,0)*3-0&amp;"/"&amp;YEAR(MES_CIERRE),"MMMM")),'ER Ppto'!$10:$10,0),,,"ER Ppto"))</f>
        <v>0</v>
      </c>
      <c r="F47" s="146">
        <f t="shared" ca="1" si="18"/>
        <v>0</v>
      </c>
      <c r="G47" s="135">
        <f ca="1">INDIRECT(ADDRESS(MATCH($B$33,'ER AA'!$B:$B,0)+12,MATCH(PROPER(TEXT("01/"&amp;ROUNDUP(MONTH(MES_CIERRE)/3,0)*3-2&amp;"/"&amp;YEAR(MES_CIERRE),"MMMM")),'ER AA'!$10:$10,0),,,"ER AA"))+INDIRECT(ADDRESS(MATCH($B$33,'ER AA'!$B:$B,0)+12,MATCH(PROPER(TEXT("01/"&amp;ROUNDUP(MONTH(MES_CIERRE)/3,0)*3-1&amp;"/"&amp;YEAR(MES_CIERRE),"MMMM")),'ER AA'!$10:$10,0),,,"ER AA"))+INDIRECT(ADDRESS(MATCH($B$33,'ER AA'!$B:$B,0)+12,MATCH(PROPER(TEXT("01/"&amp;ROUNDUP(MONTH(MES_CIERRE)/3,0)*3-0&amp;"/"&amp;YEAR(MES_CIERRE),"MMMM")),'ER AA'!$10:$10,0),,,"ER AA"))</f>
        <v>0</v>
      </c>
      <c r="H47" s="146">
        <f t="shared" ca="1" si="19"/>
        <v>0</v>
      </c>
      <c r="I47" s="137">
        <f t="shared" ca="1" si="20"/>
        <v>0</v>
      </c>
      <c r="J47" s="138" t="str">
        <f t="shared" ca="1" si="21"/>
        <v>N.D.</v>
      </c>
      <c r="K47" s="135">
        <f t="shared" ca="1" si="22"/>
        <v>0</v>
      </c>
      <c r="L47" s="146" t="str">
        <f t="shared" ca="1" si="23"/>
        <v>N.D.</v>
      </c>
      <c r="N47" s="129" t="s">
        <v>244</v>
      </c>
      <c r="O47" s="135">
        <v>0</v>
      </c>
      <c r="P47" s="149">
        <f>IF(O36=0,"N.D.",O47/O36)</f>
        <v>0</v>
      </c>
      <c r="Q47" s="135">
        <f ca="1">(INDIRECT(ADDRESS(MATCH($B$33,BDPP!$B:$B,0)+15,MATCH(PROPER(TEXT("01/"&amp;ROUNDUP(MONTH(MES_CIERRE)/3,0)*3-2+3&amp;"/"&amp;YEAR(MES_CIERRE),"MMMM")),BDPP!$10:$10,0),,,"BDPP"))+INDIRECT(ADDRESS(MATCH($B$33,BDPP!$B:$B,0)+15,MATCH(PROPER(TEXT("01/"&amp;ROUNDUP(MONTH(MES_CIERRE)/3,0)*3-1+3&amp;"/"&amp;YEAR(MES_CIERRE),"MMMM")),BDPP!$10:$10,0),,,"BDPP"))+INDIRECT(ADDRESS(MATCH($B$33,BDPP!$B:$B,0)+15,MATCH(PROPER(TEXT("01/"&amp;ROUNDUP(MONTH(MES_CIERRE)/3,0)*3-0+3&amp;"/"&amp;YEAR(MES_CIERRE),"MMMM")),BDPP!$10:$10,0),,,"BDPP")))/1000</f>
        <v>0</v>
      </c>
      <c r="R47" s="146">
        <f t="shared" ca="1" si="24"/>
        <v>0</v>
      </c>
      <c r="S47" s="135">
        <f ca="1">INDIRECT(ADDRESS(MATCH($B$33,INDIRECT("'"&amp;IF(MONTH(MES_CIERRE)=12,"ER ACT","ER AA")&amp;"'!$B:$B"),0)+12,MATCH(PROPER(TEXT("01/"&amp;ROUNDUP(MONTH(MES_CIERRE)/3,0)*3-2+3&amp;"/"&amp;YEAR(MES_CIERRE),"MMMM")),'ER AA'!$10:$10,0),,,IF(MONTH(MES_CIERRE)=12,"ER ACT","ER AA")))+INDIRECT(ADDRESS(MATCH($B$33,INDIRECT("'"&amp;IF(MONTH(MES_CIERRE)=12,"ER ACT","ER AA")&amp;"'!$B:$B"),0)+12,MATCH(PROPER(TEXT("01/"&amp;ROUNDUP(MONTH(MES_CIERRE)/3,0)*3-1+3&amp;"/"&amp;YEAR(MES_CIERRE),"MMMM")),'ER AA'!$10:$10,0),,,IF(MONTH(MES_CIERRE)=12,"ER ACT","ER AA")))+INDIRECT(ADDRESS(MATCH($B$33,INDIRECT("'"&amp;IF(MONTH(MES_CIERRE)=12,"ER ACT","ER AA")&amp;"'!$B:$B"),0)+12,MATCH(PROPER(TEXT("01/"&amp;ROUNDUP(MONTH(MES_CIERRE)/3,0)*3-0+3&amp;"/"&amp;YEAR(MES_CIERRE),"MMMM")),'ER AA'!$10:$10,0),,,IF(MONTH(MES_CIERRE)=12,"ER ACT","ER AA")))</f>
        <v>0</v>
      </c>
      <c r="T47" s="146">
        <f t="shared" ca="1" si="25"/>
        <v>0</v>
      </c>
      <c r="U47" s="137">
        <f t="shared" ca="1" si="26"/>
        <v>0</v>
      </c>
      <c r="V47" s="138" t="str">
        <f t="shared" ca="1" si="27"/>
        <v>N.D.</v>
      </c>
      <c r="W47" s="135">
        <f t="shared" ca="1" si="28"/>
        <v>0</v>
      </c>
      <c r="X47" s="146" t="str">
        <f t="shared" ca="1" si="29"/>
        <v>N.D.</v>
      </c>
    </row>
    <row r="48" spans="1:24" x14ac:dyDescent="0.25">
      <c r="A48" s="235"/>
      <c r="B48" s="129" t="s">
        <v>245</v>
      </c>
      <c r="C48" s="135">
        <f ca="1">INDIRECT(ADDRESS(MATCH($B$33,'ER Act'!$B:$B,0)+13,MATCH(PROPER(TEXT("01/"&amp;ROUNDUP(MONTH(MES_CIERRE)/3,0)*3-2&amp;"/"&amp;YEAR(MES_CIERRE),"MMMM")),'ER Act'!$10:$10,0),,,"ER Act"))+INDIRECT(ADDRESS(MATCH($B$33,'ER Act'!$B:$B,0)+13,MATCH(PROPER(TEXT("01/"&amp;ROUNDUP(MONTH(MES_CIERRE)/3,0)*3-1&amp;"/"&amp;YEAR(MES_CIERRE),"MMMM")),'ER Act'!$10:$10,0),,,"ER Act"))+INDIRECT(ADDRESS(MATCH($B$33,'ER Act'!$B:$B,0)+13,MATCH(PROPER(TEXT("01/"&amp;ROUNDUP(MONTH(MES_CIERRE)/3,0)*3-0&amp;"/"&amp;YEAR(MES_CIERRE),"MMMM")),'ER Act'!$10:$10,0),,,"ER Act"))</f>
        <v>0</v>
      </c>
      <c r="D48" s="149" t="str">
        <f ca="1">IF(C36=0,"N.D.",C48/C36)</f>
        <v>N.D.</v>
      </c>
      <c r="E48" s="135">
        <f ca="1">INDIRECT(ADDRESS(MATCH($B$33,'ER Ppto'!$B:$B,0)+13,MATCH(PROPER(TEXT("01/"&amp;ROUNDUP(MONTH(MES_CIERRE)/3,0)*3-2&amp;"/"&amp;YEAR(MES_CIERRE),"MMMM")),'ER Ppto'!$10:$10,0),,,"ER Ppto"))+INDIRECT(ADDRESS(MATCH($B$33,'ER Ppto'!$B:$B,0)+13,MATCH(PROPER(TEXT("01/"&amp;ROUNDUP(MONTH(MES_CIERRE)/3,0)*3-1&amp;"/"&amp;YEAR(MES_CIERRE),"MMMM")),'ER Ppto'!$10:$10,0),,,"ER Ppto"))+INDIRECT(ADDRESS(MATCH($B$33,'ER Ppto'!$B:$B,0)+13,MATCH(PROPER(TEXT("01/"&amp;ROUNDUP(MONTH(MES_CIERRE)/3,0)*3-0&amp;"/"&amp;YEAR(MES_CIERRE),"MMMM")),'ER Ppto'!$10:$10,0),,,"ER Ppto"))</f>
        <v>0</v>
      </c>
      <c r="F48" s="146">
        <f t="shared" ca="1" si="18"/>
        <v>0</v>
      </c>
      <c r="G48" s="135">
        <f ca="1">INDIRECT(ADDRESS(MATCH($B$33,'ER AA'!$B:$B,0)+13,MATCH(PROPER(TEXT("01/"&amp;ROUNDUP(MONTH(MES_CIERRE)/3,0)*3-2&amp;"/"&amp;YEAR(MES_CIERRE),"MMMM")),'ER AA'!$10:$10,0),,,"ER AA"))+INDIRECT(ADDRESS(MATCH($B$33,'ER AA'!$B:$B,0)+13,MATCH(PROPER(TEXT("01/"&amp;ROUNDUP(MONTH(MES_CIERRE)/3,0)*3-1&amp;"/"&amp;YEAR(MES_CIERRE),"MMMM")),'ER AA'!$10:$10,0),,,"ER AA"))+INDIRECT(ADDRESS(MATCH($B$33,'ER AA'!$B:$B,0)+13,MATCH(PROPER(TEXT("01/"&amp;ROUNDUP(MONTH(MES_CIERRE)/3,0)*3-0&amp;"/"&amp;YEAR(MES_CIERRE),"MMMM")),'ER AA'!$10:$10,0),,,"ER AA"))</f>
        <v>5.08</v>
      </c>
      <c r="H48" s="146">
        <f t="shared" ca="1" si="19"/>
        <v>7.5107419873837278E-4</v>
      </c>
      <c r="I48" s="137">
        <f t="shared" ca="1" si="20"/>
        <v>0</v>
      </c>
      <c r="J48" s="138" t="str">
        <f t="shared" ca="1" si="21"/>
        <v>N.D.</v>
      </c>
      <c r="K48" s="135">
        <f t="shared" ca="1" si="22"/>
        <v>-5.08</v>
      </c>
      <c r="L48" s="146">
        <f t="shared" ca="1" si="23"/>
        <v>-1</v>
      </c>
      <c r="N48" s="129" t="s">
        <v>245</v>
      </c>
      <c r="O48" s="135">
        <v>9</v>
      </c>
      <c r="P48" s="149">
        <f>IF(O36=0,"N.D.",O48/O36)</f>
        <v>8.2244357123275149E-4</v>
      </c>
      <c r="Q48" s="135">
        <f ca="1">(INDIRECT(ADDRESS(MATCH($B$33,BDPP!$B:$B,0)+16,MATCH(PROPER(TEXT("01/"&amp;ROUNDUP(MONTH(MES_CIERRE)/3,0)*3-2+3&amp;"/"&amp;YEAR(MES_CIERRE),"MMMM")),BDPP!$10:$10,0),,,"BDPP"))+INDIRECT(ADDRESS(MATCH($B$33,BDPP!$B:$B,0)+16,MATCH(PROPER(TEXT("01/"&amp;ROUNDUP(MONTH(MES_CIERRE)/3,0)*3-1+3&amp;"/"&amp;YEAR(MES_CIERRE),"MMMM")),BDPP!$10:$10,0),,,"BDPP"))+INDIRECT(ADDRESS(MATCH($B$33,BDPP!$B:$B,0)+16,MATCH(PROPER(TEXT("01/"&amp;ROUNDUP(MONTH(MES_CIERRE)/3,0)*3-0+3&amp;"/"&amp;YEAR(MES_CIERRE),"MMMM")),BDPP!$10:$10,0),,,"BDPP")))/1000</f>
        <v>9</v>
      </c>
      <c r="R48" s="146">
        <f t="shared" ca="1" si="24"/>
        <v>1.9896652366132007E-3</v>
      </c>
      <c r="S48" s="135">
        <f ca="1">INDIRECT(ADDRESS(MATCH($B$33,INDIRECT("'"&amp;IF(MONTH(MES_CIERRE)=12,"ER ACT","ER AA")&amp;"'!$B:$B"),0)+13,MATCH(PROPER(TEXT("01/"&amp;ROUNDUP(MONTH(MES_CIERRE)/3,0)*3-2+3&amp;"/"&amp;YEAR(MES_CIERRE),"MMMM")),'ER AA'!$10:$10,0),,,IF(MONTH(MES_CIERRE)=12,"ER ACT","ER AA")))+INDIRECT(ADDRESS(MATCH($B$33,INDIRECT("'"&amp;IF(MONTH(MES_CIERRE)=12,"ER ACT","ER AA")&amp;"'!$B:$B"),0)+13,MATCH(PROPER(TEXT("01/"&amp;ROUNDUP(MONTH(MES_CIERRE)/3,0)*3-1+3&amp;"/"&amp;YEAR(MES_CIERRE),"MMMM")),'ER AA'!$10:$10,0),,,IF(MONTH(MES_CIERRE)=12,"ER ACT","ER AA")))+INDIRECT(ADDRESS(MATCH($B$33,INDIRECT("'"&amp;IF(MONTH(MES_CIERRE)=12,"ER ACT","ER AA")&amp;"'!$B:$B"),0)+13,MATCH(PROPER(TEXT("01/"&amp;ROUNDUP(MONTH(MES_CIERRE)/3,0)*3-0+3&amp;"/"&amp;YEAR(MES_CIERRE),"MMMM")),'ER AA'!$10:$10,0),,,IF(MONTH(MES_CIERRE)=12,"ER ACT","ER AA")))</f>
        <v>4.7889999999999997</v>
      </c>
      <c r="T48" s="146">
        <f t="shared" ca="1" si="25"/>
        <v>7.0805006648780853E-4</v>
      </c>
      <c r="U48" s="137">
        <f t="shared" ca="1" si="26"/>
        <v>0</v>
      </c>
      <c r="V48" s="138">
        <f t="shared" ca="1" si="27"/>
        <v>0</v>
      </c>
      <c r="W48" s="135">
        <f t="shared" ca="1" si="28"/>
        <v>4.2110000000000003</v>
      </c>
      <c r="X48" s="146">
        <f t="shared" ca="1" si="29"/>
        <v>0.87930674462309466</v>
      </c>
    </row>
    <row r="49" spans="1:24" x14ac:dyDescent="0.25">
      <c r="A49" s="235"/>
      <c r="B49" s="129" t="s">
        <v>246</v>
      </c>
      <c r="C49" s="135">
        <f ca="1">INDIRECT(ADDRESS(MATCH($B$33,'ER Act'!$B:$B,0)+14,MATCH(PROPER(TEXT("01/"&amp;ROUNDUP(MONTH(MES_CIERRE)/3,0)*3-2&amp;"/"&amp;YEAR(MES_CIERRE),"MMMM")),'ER Act'!$10:$10,0),,,"ER Act"))+INDIRECT(ADDRESS(MATCH($B$33,'ER Act'!$B:$B,0)+14,MATCH(PROPER(TEXT("01/"&amp;ROUNDUP(MONTH(MES_CIERRE)/3,0)*3-1&amp;"/"&amp;YEAR(MES_CIERRE),"MMMM")),'ER Act'!$10:$10,0),,,"ER Act"))+INDIRECT(ADDRESS(MATCH($B$33,'ER Act'!$B:$B,0)+14,MATCH(PROPER(TEXT("01/"&amp;ROUNDUP(MONTH(MES_CIERRE)/3,0)*3-0&amp;"/"&amp;YEAR(MES_CIERRE),"MMMM")),'ER Act'!$10:$10,0),,,"ER Act"))</f>
        <v>0</v>
      </c>
      <c r="D49" s="149" t="str">
        <f ca="1">IF(C36=0,"N.D.",C49/C36)</f>
        <v>N.D.</v>
      </c>
      <c r="E49" s="135">
        <f ca="1">INDIRECT(ADDRESS(MATCH($B$33,'ER Ppto'!$B:$B,0)+14,MATCH(PROPER(TEXT("01/"&amp;ROUNDUP(MONTH(MES_CIERRE)/3,0)*3-2&amp;"/"&amp;YEAR(MES_CIERRE),"MMMM")),'ER Ppto'!$10:$10,0),,,"ER Ppto"))+INDIRECT(ADDRESS(MATCH($B$33,'ER Ppto'!$B:$B,0)+14,MATCH(PROPER(TEXT("01/"&amp;ROUNDUP(MONTH(MES_CIERRE)/3,0)*3-1&amp;"/"&amp;YEAR(MES_CIERRE),"MMMM")),'ER Ppto'!$10:$10,0),,,"ER Ppto"))+INDIRECT(ADDRESS(MATCH($B$33,'ER Ppto'!$B:$B,0)+14,MATCH(PROPER(TEXT("01/"&amp;ROUNDUP(MONTH(MES_CIERRE)/3,0)*3-0&amp;"/"&amp;YEAR(MES_CIERRE),"MMMM")),'ER Ppto'!$10:$10,0),,,"ER Ppto"))</f>
        <v>0</v>
      </c>
      <c r="F49" s="146">
        <f t="shared" ca="1" si="18"/>
        <v>0</v>
      </c>
      <c r="G49" s="135">
        <f ca="1">INDIRECT(ADDRESS(MATCH($B$33,'ER AA'!$B:$B,0)+14,MATCH(PROPER(TEXT("01/"&amp;ROUNDUP(MONTH(MES_CIERRE)/3,0)*3-2&amp;"/"&amp;YEAR(MES_CIERRE),"MMMM")),'ER AA'!$10:$10,0),,,"ER AA"))+INDIRECT(ADDRESS(MATCH($B$33,'ER AA'!$B:$B,0)+14,MATCH(PROPER(TEXT("01/"&amp;ROUNDUP(MONTH(MES_CIERRE)/3,0)*3-1&amp;"/"&amp;YEAR(MES_CIERRE),"MMMM")),'ER AA'!$10:$10,0),,,"ER AA"))+INDIRECT(ADDRESS(MATCH($B$33,'ER AA'!$B:$B,0)+14,MATCH(PROPER(TEXT("01/"&amp;ROUNDUP(MONTH(MES_CIERRE)/3,0)*3-0&amp;"/"&amp;YEAR(MES_CIERRE),"MMMM")),'ER AA'!$10:$10,0),,,"ER AA"))</f>
        <v>939.58999999999992</v>
      </c>
      <c r="H49" s="146">
        <f t="shared" ca="1" si="19"/>
        <v>0.13891767842373773</v>
      </c>
      <c r="I49" s="137">
        <f t="shared" ca="1" si="20"/>
        <v>0</v>
      </c>
      <c r="J49" s="138" t="str">
        <f t="shared" ca="1" si="21"/>
        <v>N.D.</v>
      </c>
      <c r="K49" s="135">
        <f t="shared" ca="1" si="22"/>
        <v>-939.58999999999992</v>
      </c>
      <c r="L49" s="146">
        <f t="shared" ca="1" si="23"/>
        <v>-1</v>
      </c>
      <c r="N49" s="129" t="s">
        <v>246</v>
      </c>
      <c r="O49" s="135">
        <v>795</v>
      </c>
      <c r="P49" s="149">
        <f>IF(O36=0,"N.D.",O49/O36)</f>
        <v>7.2649182125559722E-2</v>
      </c>
      <c r="Q49" s="135">
        <f ca="1">(INDIRECT(ADDRESS(MATCH($B$33,BDPP!$B:$B,0)+17,MATCH(PROPER(TEXT("01/"&amp;ROUNDUP(MONTH(MES_CIERRE)/3,0)*3-2+3&amp;"/"&amp;YEAR(MES_CIERRE),"MMMM")),BDPP!$10:$10,0),,,"BDPP"))+INDIRECT(ADDRESS(MATCH($B$33,BDPP!$B:$B,0)+17,MATCH(PROPER(TEXT("01/"&amp;ROUNDUP(MONTH(MES_CIERRE)/3,0)*3-1+3&amp;"/"&amp;YEAR(MES_CIERRE),"MMMM")),BDPP!$10:$10,0),,,"BDPP"))+INDIRECT(ADDRESS(MATCH($B$33,BDPP!$B:$B,0)+17,MATCH(PROPER(TEXT("01/"&amp;ROUNDUP(MONTH(MES_CIERRE)/3,0)*3-0+3&amp;"/"&amp;YEAR(MES_CIERRE),"MMMM")),BDPP!$10:$10,0),,,"BDPP")))/1000</f>
        <v>750</v>
      </c>
      <c r="R49" s="146">
        <f t="shared" ca="1" si="24"/>
        <v>0.1658054363844334</v>
      </c>
      <c r="S49" s="135">
        <f ca="1">INDIRECT(ADDRESS(MATCH($B$33,INDIRECT("'"&amp;IF(MONTH(MES_CIERRE)=12,"ER ACT","ER AA")&amp;"'!$B:$B"),0)+14,MATCH(PROPER(TEXT("01/"&amp;ROUNDUP(MONTH(MES_CIERRE)/3,0)*3-2+3&amp;"/"&amp;YEAR(MES_CIERRE),"MMMM")),'ER AA'!$10:$10,0),,,IF(MONTH(MES_CIERRE)=12,"ER ACT","ER AA")))+INDIRECT(ADDRESS(MATCH($B$33,INDIRECT("'"&amp;IF(MONTH(MES_CIERRE)=12,"ER ACT","ER AA")&amp;"'!$B:$B"),0)+14,MATCH(PROPER(TEXT("01/"&amp;ROUNDUP(MONTH(MES_CIERRE)/3,0)*3-1+3&amp;"/"&amp;YEAR(MES_CIERRE),"MMMM")),'ER AA'!$10:$10,0),,,IF(MONTH(MES_CIERRE)=12,"ER ACT","ER AA")))+INDIRECT(ADDRESS(MATCH($B$33,INDIRECT("'"&amp;IF(MONTH(MES_CIERRE)=12,"ER ACT","ER AA")&amp;"'!$B:$B"),0)+14,MATCH(PROPER(TEXT("01/"&amp;ROUNDUP(MONTH(MES_CIERRE)/3,0)*3-0+3&amp;"/"&amp;YEAR(MES_CIERRE),"MMMM")),'ER AA'!$10:$10,0),,,IF(MONTH(MES_CIERRE)=12,"ER ACT","ER AA")))</f>
        <v>1004.9749999999999</v>
      </c>
      <c r="T49" s="146">
        <f t="shared" ca="1" si="25"/>
        <v>0.14858480174745986</v>
      </c>
      <c r="U49" s="137">
        <f t="shared" ca="1" si="26"/>
        <v>45</v>
      </c>
      <c r="V49" s="138">
        <f t="shared" ca="1" si="27"/>
        <v>6.0000000000000053E-2</v>
      </c>
      <c r="W49" s="135">
        <f t="shared" ca="1" si="28"/>
        <v>-209.97499999999991</v>
      </c>
      <c r="X49" s="146">
        <f t="shared" ca="1" si="29"/>
        <v>-0.20893554566033978</v>
      </c>
    </row>
    <row r="50" spans="1:24" hidden="1" x14ac:dyDescent="0.25">
      <c r="A50" s="235"/>
      <c r="B50" s="129"/>
      <c r="C50" s="147">
        <f ca="1">INDIRECT(ADDRESS(MATCH($B$33,'ER Act'!$B:$B,0)+15,MATCH(PROPER(TEXT("01/"&amp;ROUNDUP(MONTH(MES_CIERRE)/3,0)*3-2&amp;"/"&amp;YEAR(MES_CIERRE),"MMMM")),'ER Act'!$10:$10,0),,,"ER Act"))+INDIRECT(ADDRESS(MATCH($B$33,'ER Act'!$B:$B,0)+15,MATCH(PROPER(TEXT("01/"&amp;ROUNDUP(MONTH(MES_CIERRE)/3,0)*3-1&amp;"/"&amp;YEAR(MES_CIERRE),"MMMM")),'ER Act'!$10:$10,0),,,"ER Act"))+INDIRECT(ADDRESS(MATCH($B$33,'ER Act'!$B:$B,0)+15,MATCH(PROPER(TEXT("01/"&amp;ROUNDUP(MONTH(MES_CIERRE)/3,0)*3-0&amp;"/"&amp;YEAR(MES_CIERRE),"MMMM")),'ER Act'!$10:$10,0),,,"ER Act"))</f>
        <v>0</v>
      </c>
      <c r="D50" s="150" t="str">
        <f ca="1">IF(C36=0,"N.D.",C50/C36)</f>
        <v>N.D.</v>
      </c>
      <c r="E50" s="147">
        <f ca="1">INDIRECT(ADDRESS(MATCH($B$33,'ER Ppto'!$B:$B,0)+15,MATCH(PROPER(TEXT("01/"&amp;ROUNDUP(MONTH(MES_CIERRE)/3,0)*3-2&amp;"/"&amp;YEAR(MES_CIERRE),"MMMM")),'ER Ppto'!$10:$10,0),,,"ER Ppto"))+INDIRECT(ADDRESS(MATCH($B$33,'ER Ppto'!$B:$B,0)+15,MATCH(PROPER(TEXT("01/"&amp;ROUNDUP(MONTH(MES_CIERRE)/3,0)*3-1&amp;"/"&amp;YEAR(MES_CIERRE),"MMMM")),'ER Ppto'!$10:$10,0),,,"ER Ppto"))+INDIRECT(ADDRESS(MATCH($B$33,'ER Ppto'!$B:$B,0)+15,MATCH(PROPER(TEXT("01/"&amp;ROUNDUP(MONTH(MES_CIERRE)/3,0)*3-0&amp;"/"&amp;YEAR(MES_CIERRE),"MMMM")),'ER Ppto'!$10:$10,0),,,"ER Ppto"))</f>
        <v>0</v>
      </c>
      <c r="F50" s="136">
        <f t="shared" ca="1" si="18"/>
        <v>0</v>
      </c>
      <c r="G50" s="147">
        <f ca="1">INDIRECT(ADDRESS(MATCH($B$33,'ER AA'!$B:$B,0)+15,MATCH(PROPER(TEXT("01/"&amp;ROUNDUP(MONTH(MES_CIERRE)/3,0)*3-2&amp;"/"&amp;YEAR(MES_CIERRE),"MMMM")),'ER AA'!$10:$10,0),,,"ER AA"))+INDIRECT(ADDRESS(MATCH($B$33,'ER AA'!$B:$B,0)+15,MATCH(PROPER(TEXT("01/"&amp;ROUNDUP(MONTH(MES_CIERRE)/3,0)*3-1&amp;"/"&amp;YEAR(MES_CIERRE),"MMMM")),'ER AA'!$10:$10,0),,,"ER AA"))+INDIRECT(ADDRESS(MATCH($B$33,'ER AA'!$B:$B,0)+15,MATCH(PROPER(TEXT("01/"&amp;ROUNDUP(MONTH(MES_CIERRE)/3,0)*3-0&amp;"/"&amp;YEAR(MES_CIERRE),"MMMM")),'ER AA'!$10:$10,0),,,"ER AA"))</f>
        <v>0</v>
      </c>
      <c r="H50" s="136">
        <f t="shared" ca="1" si="19"/>
        <v>0</v>
      </c>
      <c r="I50" s="137">
        <f t="shared" ca="1" si="20"/>
        <v>0</v>
      </c>
      <c r="J50" s="138" t="str">
        <f t="shared" ca="1" si="21"/>
        <v>N.D.</v>
      </c>
      <c r="K50" s="147">
        <f t="shared" ca="1" si="22"/>
        <v>0</v>
      </c>
      <c r="L50" s="136" t="str">
        <f t="shared" ca="1" si="23"/>
        <v>N.D.</v>
      </c>
      <c r="N50" s="129"/>
      <c r="O50" s="147"/>
      <c r="P50" s="150">
        <f>IF(O36=0,"N.D.",O50/O36)</f>
        <v>0</v>
      </c>
      <c r="Q50" s="147">
        <f ca="1">(INDIRECT(ADDRESS(MATCH($B$33,BDPP!$B:$B,0)+18,MATCH(PROPER(TEXT("01/"&amp;ROUNDUP(MONTH(MES_CIERRE)/3,0)*3-2+3&amp;"/"&amp;YEAR(MES_CIERRE),"MMMM")),BDPP!$10:$10,0),,,"BDPP"))+INDIRECT(ADDRESS(MATCH($B$33,BDPP!$B:$B,0)+18,MATCH(PROPER(TEXT("01/"&amp;ROUNDUP(MONTH(MES_CIERRE)/3,0)*3-1+3&amp;"/"&amp;YEAR(MES_CIERRE),"MMMM")),BDPP!$10:$10,0),,,"BDPP"))+INDIRECT(ADDRESS(MATCH($B$33,BDPP!$B:$B,0)+18,MATCH(PROPER(TEXT("01/"&amp;ROUNDUP(MONTH(MES_CIERRE)/3,0)*3-0+3&amp;"/"&amp;YEAR(MES_CIERRE),"MMMM")),BDPP!$10:$10,0),,,"BDPP")))/1000</f>
        <v>0</v>
      </c>
      <c r="R50" s="136">
        <f t="shared" ca="1" si="24"/>
        <v>0</v>
      </c>
      <c r="S50" s="147">
        <f ca="1">INDIRECT(ADDRESS(MATCH($B$33,INDIRECT("'"&amp;IF(MONTH(MES_CIERRE)=12,"ER ACT","ER AA")&amp;"'!$B:$B"),0)+15,MATCH(PROPER(TEXT("01/"&amp;ROUNDUP(MONTH(MES_CIERRE)/3,0)*3-2+3&amp;"/"&amp;YEAR(MES_CIERRE),"MMMM")),'ER AA'!$10:$10,0),,,IF(MONTH(MES_CIERRE)=12,"ER ACT","ER AA")))+INDIRECT(ADDRESS(MATCH($B$33,INDIRECT("'"&amp;IF(MONTH(MES_CIERRE)=12,"ER ACT","ER AA")&amp;"'!$B:$B"),0)+15,MATCH(PROPER(TEXT("01/"&amp;ROUNDUP(MONTH(MES_CIERRE)/3,0)*3-1+3&amp;"/"&amp;YEAR(MES_CIERRE),"MMMM")),'ER AA'!$10:$10,0),,,IF(MONTH(MES_CIERRE)=12,"ER ACT","ER AA")))+INDIRECT(ADDRESS(MATCH($B$33,INDIRECT("'"&amp;IF(MONTH(MES_CIERRE)=12,"ER ACT","ER AA")&amp;"'!$B:$B"),0)+15,MATCH(PROPER(TEXT("01/"&amp;ROUNDUP(MONTH(MES_CIERRE)/3,0)*3-0+3&amp;"/"&amp;YEAR(MES_CIERRE),"MMMM")),'ER AA'!$10:$10,0),,,IF(MONTH(MES_CIERRE)=12,"ER ACT","ER AA")))</f>
        <v>0</v>
      </c>
      <c r="T50" s="136">
        <f t="shared" ca="1" si="25"/>
        <v>0</v>
      </c>
      <c r="U50" s="137">
        <f t="shared" ca="1" si="26"/>
        <v>0</v>
      </c>
      <c r="V50" s="138" t="str">
        <f t="shared" ca="1" si="27"/>
        <v>N.D.</v>
      </c>
      <c r="W50" s="147">
        <f t="shared" ca="1" si="28"/>
        <v>0</v>
      </c>
      <c r="X50" s="136" t="str">
        <f t="shared" ca="1" si="29"/>
        <v>N.D.</v>
      </c>
    </row>
    <row r="51" spans="1:24" ht="13" x14ac:dyDescent="0.3">
      <c r="A51" s="235"/>
      <c r="B51" s="139" t="s">
        <v>143</v>
      </c>
      <c r="C51" s="160">
        <f ca="1">+C46+C47+C48-C49-C50</f>
        <v>0</v>
      </c>
      <c r="D51" s="141" t="str">
        <f ca="1">IF(C36=0,"N.D.",C51/C36)</f>
        <v>N.D.</v>
      </c>
      <c r="E51" s="160">
        <f ca="1">+E46+E47+E48-E49-E50</f>
        <v>0</v>
      </c>
      <c r="F51" s="141">
        <f t="shared" ca="1" si="18"/>
        <v>0</v>
      </c>
      <c r="G51" s="160">
        <f ca="1">+G46+G47+G48-G49-G50</f>
        <v>-1132.6409999999998</v>
      </c>
      <c r="H51" s="141">
        <f t="shared" ca="1" si="19"/>
        <v>-0.1674601243175648</v>
      </c>
      <c r="I51" s="143">
        <f t="shared" ca="1" si="20"/>
        <v>0</v>
      </c>
      <c r="J51" s="144" t="str">
        <f t="shared" ca="1" si="21"/>
        <v>N.D.</v>
      </c>
      <c r="K51" s="142">
        <f t="shared" ca="1" si="22"/>
        <v>1132.6409999999998</v>
      </c>
      <c r="L51" s="141">
        <f t="shared" ca="1" si="23"/>
        <v>-1</v>
      </c>
      <c r="N51" s="139" t="s">
        <v>143</v>
      </c>
      <c r="O51" s="160">
        <f>+O46+O47+O48-O49-O50</f>
        <v>-1065</v>
      </c>
      <c r="P51" s="141">
        <f>IF(O36=0,"N.D.",O51/O36)</f>
        <v>-9.7322489262542264E-2</v>
      </c>
      <c r="Q51" s="160">
        <f ca="1">+Q46+Q47+Q48-Q49-Q50</f>
        <v>-1020</v>
      </c>
      <c r="R51" s="141">
        <f t="shared" ca="1" si="24"/>
        <v>-0.22549539348282943</v>
      </c>
      <c r="S51" s="160">
        <f ca="1">+S46+S47+S48-S49-S50</f>
        <v>-1279.5650000000001</v>
      </c>
      <c r="T51" s="141">
        <f t="shared" ca="1" si="25"/>
        <v>-0.18918272777729647</v>
      </c>
      <c r="U51" s="143">
        <f t="shared" ca="1" si="26"/>
        <v>-45</v>
      </c>
      <c r="V51" s="144">
        <f t="shared" ca="1" si="27"/>
        <v>4.4117647058823595E-2</v>
      </c>
      <c r="W51" s="142">
        <f t="shared" ca="1" si="28"/>
        <v>214.56500000000005</v>
      </c>
      <c r="X51" s="141">
        <f t="shared" ca="1" si="29"/>
        <v>-0.16768589325278516</v>
      </c>
    </row>
    <row r="52" spans="1:24" ht="13" x14ac:dyDescent="0.3">
      <c r="A52" s="235"/>
      <c r="B52" s="139" t="s">
        <v>247</v>
      </c>
      <c r="C52" s="142">
        <f ca="1">+C44-C51</f>
        <v>0</v>
      </c>
      <c r="D52" s="141" t="str">
        <f ca="1">IF(C36=0,"N.D.",C52/C36)</f>
        <v>N.D.</v>
      </c>
      <c r="E52" s="142">
        <f ca="1">+E44-E51</f>
        <v>0</v>
      </c>
      <c r="F52" s="141">
        <f t="shared" ca="1" si="18"/>
        <v>0</v>
      </c>
      <c r="G52" s="142">
        <f ca="1">+G44-G51</f>
        <v>3992.1749999999993</v>
      </c>
      <c r="H52" s="141">
        <f t="shared" ca="1" si="19"/>
        <v>0.59024008648589821</v>
      </c>
      <c r="I52" s="143">
        <f t="shared" ca="1" si="20"/>
        <v>0</v>
      </c>
      <c r="J52" s="144" t="str">
        <f t="shared" ca="1" si="21"/>
        <v>N.D.</v>
      </c>
      <c r="K52" s="142">
        <f t="shared" ca="1" si="22"/>
        <v>-3992.1749999999993</v>
      </c>
      <c r="L52" s="141">
        <f t="shared" ca="1" si="23"/>
        <v>-1</v>
      </c>
      <c r="N52" s="139" t="s">
        <v>247</v>
      </c>
      <c r="O52" s="142">
        <f>+O44-O51</f>
        <v>6400</v>
      </c>
      <c r="P52" s="141">
        <f>IF(O36=0,"N.D.",O52/O36)</f>
        <v>0.58484876176551215</v>
      </c>
      <c r="Q52" s="142">
        <f ca="1">+Q44-Q51</f>
        <v>2844.2839999999997</v>
      </c>
      <c r="R52" s="141">
        <f t="shared" ca="1" si="24"/>
        <v>0.62879699976168224</v>
      </c>
      <c r="S52" s="142">
        <f ca="1">+S44-S51</f>
        <v>7715.1949999999997</v>
      </c>
      <c r="T52" s="141">
        <f t="shared" ca="1" si="25"/>
        <v>1.140685807625059</v>
      </c>
      <c r="U52" s="143">
        <f t="shared" ca="1" si="26"/>
        <v>3555.7160000000003</v>
      </c>
      <c r="V52" s="144">
        <f t="shared" ca="1" si="27"/>
        <v>1.2501269212216504</v>
      </c>
      <c r="W52" s="142">
        <f t="shared" ca="1" si="28"/>
        <v>-1315.1949999999997</v>
      </c>
      <c r="X52" s="141">
        <f t="shared" ca="1" si="29"/>
        <v>-0.17046814759704709</v>
      </c>
    </row>
    <row r="53" spans="1:24" x14ac:dyDescent="0.25">
      <c r="A53" s="235"/>
      <c r="B53" s="129"/>
      <c r="C53" s="127"/>
      <c r="D53" s="124"/>
      <c r="E53" s="127"/>
      <c r="F53" s="124"/>
      <c r="G53" s="127"/>
      <c r="H53" s="124"/>
      <c r="I53" s="127"/>
      <c r="J53" s="145"/>
      <c r="K53" s="127"/>
      <c r="L53" s="124"/>
      <c r="N53" s="129"/>
      <c r="O53" s="127"/>
      <c r="P53" s="124"/>
      <c r="Q53" s="127"/>
      <c r="R53" s="124"/>
      <c r="S53" s="127"/>
      <c r="T53" s="124"/>
      <c r="U53" s="127"/>
      <c r="V53" s="145"/>
      <c r="W53" s="127"/>
      <c r="X53" s="124"/>
    </row>
    <row r="54" spans="1:24" x14ac:dyDescent="0.25">
      <c r="A54" s="235"/>
      <c r="B54" s="129" t="s">
        <v>397</v>
      </c>
      <c r="C54" s="132">
        <f ca="1">INDIRECT(ADDRESS(MATCH($B$33,'ER Act'!$B:$B,0)+19,MATCH(PROPER(TEXT("01/"&amp;ROUNDUP(MONTH(MES_CIERRE)/3,0)*3-2&amp;"/"&amp;YEAR(MES_CIERRE),"MMMM")),'ER Act'!$10:$10,0),,,"ER Act"))+INDIRECT(ADDRESS(MATCH($B$33,'ER Act'!$B:$B,0)+19,MATCH(PROPER(TEXT("01/"&amp;ROUNDUP(MONTH(MES_CIERRE)/3,0)*3-1&amp;"/"&amp;YEAR(MES_CIERRE),"MMMM")),'ER Act'!$10:$10,0),,,"ER Act"))+INDIRECT(ADDRESS(MATCH($B$33,'ER Act'!$B:$B,0)+19,MATCH(PROPER(TEXT("01/"&amp;ROUNDUP(MONTH(MES_CIERRE)/3,0)*3-0&amp;"/"&amp;YEAR(MES_CIERRE),"MMMM")),'ER Act'!$10:$10,0),,,"ER Act"))</f>
        <v>0</v>
      </c>
      <c r="D54" s="148" t="str">
        <f ca="1">IF(C36=0,"N.D.",C54/C36)</f>
        <v>N.D.</v>
      </c>
      <c r="E54" s="132">
        <f ca="1">INDIRECT(ADDRESS(MATCH($B$33,'ER Ppto'!$B:$B,0)+19,MATCH(PROPER(TEXT("01/"&amp;ROUNDUP(MONTH(MES_CIERRE)/3,0)*3-2&amp;"/"&amp;YEAR(MES_CIERRE),"MMMM")),'ER Ppto'!$10:$10,0),,,"ER Ppto"))+INDIRECT(ADDRESS(MATCH($B$33,'ER Ppto'!$B:$B,0)+19,MATCH(PROPER(TEXT("01/"&amp;ROUNDUP(MONTH(MES_CIERRE)/3,0)*3-1&amp;"/"&amp;YEAR(MES_CIERRE),"MMMM")),'ER Ppto'!$10:$10,0),,,"ER Ppto"))+INDIRECT(ADDRESS(MATCH($B$33,'ER Ppto'!$B:$B,0)+19,MATCH(PROPER(TEXT("01/"&amp;ROUNDUP(MONTH(MES_CIERRE)/3,0)*3-0&amp;"/"&amp;YEAR(MES_CIERRE),"MMMM")),'ER Ppto'!$10:$10,0),,,"ER Ppto"))</f>
        <v>0</v>
      </c>
      <c r="F54" s="131">
        <f ca="1">IF(E$36=0, 0, E54/$E$36)</f>
        <v>0</v>
      </c>
      <c r="G54" s="132">
        <f ca="1">INDIRECT(ADDRESS(MATCH($B$33,'ER AA'!$B:$B,0)+19,MATCH(PROPER(TEXT("01/"&amp;ROUNDUP(MONTH(MES_CIERRE)/3,0)*3-2&amp;"/"&amp;YEAR(MES_CIERRE),"MMMM")),'ER AA'!$10:$10,0),,,"ER AA"))+INDIRECT(ADDRESS(MATCH($B$33,'ER AA'!$B:$B,0)+19,MATCH(PROPER(TEXT("01/"&amp;ROUNDUP(MONTH(MES_CIERRE)/3,0)*3-1&amp;"/"&amp;YEAR(MES_CIERRE),"MMMM")),'ER AA'!$10:$10,0),,,"ER AA"))+INDIRECT(ADDRESS(MATCH($B$33,'ER AA'!$B:$B,0)+19,MATCH(PROPER(TEXT("01/"&amp;ROUNDUP(MONTH(MES_CIERRE)/3,0)*3-0&amp;"/"&amp;YEAR(MES_CIERRE),"MMMM")),'ER AA'!$10:$10,0),,,"ER AA"))</f>
        <v>0</v>
      </c>
      <c r="H54" s="131">
        <f ca="1">IF(G$36=0, 0, G54/$G$36)</f>
        <v>0</v>
      </c>
      <c r="I54" s="133">
        <f ca="1">C54-E54</f>
        <v>0</v>
      </c>
      <c r="J54" s="134" t="str">
        <f ca="1">IF(E54=0,"N.D.",C54/E54-1)</f>
        <v>N.D.</v>
      </c>
      <c r="K54" s="132">
        <f ca="1">C54-G54</f>
        <v>0</v>
      </c>
      <c r="L54" s="131" t="str">
        <f ca="1">IF(G54=0,"N.D.",C54/G54-1)</f>
        <v>N.D.</v>
      </c>
      <c r="N54" s="129" t="s">
        <v>397</v>
      </c>
      <c r="O54" s="132">
        <v>657</v>
      </c>
      <c r="P54" s="148">
        <f>IF(O36=0,"N.D.",O54/O36)</f>
        <v>6.0038380699990859E-2</v>
      </c>
      <c r="Q54" s="132">
        <f ca="1">(INDIRECT(ADDRESS(MATCH($B$33,BDPP!$B:$B,0)+21,MATCH(PROPER(TEXT("01/"&amp;ROUNDUP(MONTH(MES_CIERRE)/3,0)*3-2+3&amp;"/"&amp;YEAR(MES_CIERRE),"MMMM")),BDPP!$10:$10,0),,,"BDPP"))+INDIRECT(ADDRESS(MATCH($B$33,BDPP!$B:$B,0)+21,MATCH(PROPER(TEXT("01/"&amp;ROUNDUP(MONTH(MES_CIERRE)/3,0)*3-1+3&amp;"/"&amp;YEAR(MES_CIERRE),"MMMM")),BDPP!$10:$10,0),,,"BDPP"))+INDIRECT(ADDRESS(MATCH($B$33,BDPP!$B:$B,0)+21,MATCH(PROPER(TEXT("01/"&amp;ROUNDUP(MONTH(MES_CIERRE)/3,0)*3-0+3&amp;"/"&amp;YEAR(MES_CIERRE),"MMMM")),BDPP!$10:$10,0),,,"BDPP")))/1000</f>
        <v>135.70099999999999</v>
      </c>
      <c r="R54" s="131">
        <f ca="1">IF(Q$36=0, 0, Q54/$Q$36)</f>
        <v>2.9999951363738661E-2</v>
      </c>
      <c r="S54" s="132">
        <f ca="1">INDIRECT(ADDRESS(MATCH($B$33,INDIRECT("'"&amp;IF(MONTH(MES_CIERRE)=12,"ER ACT","ER AA")&amp;"'!$B:$B"),0)+19,MATCH(PROPER(TEXT("01/"&amp;ROUNDUP(MONTH(MES_CIERRE)/3,0)*3-2+3&amp;"/"&amp;YEAR(MES_CIERRE),"MMMM")),'ER AA'!$10:$10,0),,,IF(MONTH(MES_CIERRE)=12,"ER ACT","ER AA")))+INDIRECT(ADDRESS(MATCH($B$33,INDIRECT("'"&amp;IF(MONTH(MES_CIERRE)=12,"ER ACT","ER AA")&amp;"'!$B:$B"),0)+19,MATCH(PROPER(TEXT("01/"&amp;ROUNDUP(MONTH(MES_CIERRE)/3,0)*3-1+3&amp;"/"&amp;YEAR(MES_CIERRE),"MMMM")),'ER AA'!$10:$10,0),,,IF(MONTH(MES_CIERRE)=12,"ER ACT","ER AA")))+INDIRECT(ADDRESS(MATCH($B$33,INDIRECT("'"&amp;IF(MONTH(MES_CIERRE)=12,"ER ACT","ER AA")&amp;"'!$B:$B"),0)+19,MATCH(PROPER(TEXT("01/"&amp;ROUNDUP(MONTH(MES_CIERRE)/3,0)*3-0+3&amp;"/"&amp;YEAR(MES_CIERRE),"MMMM")),'ER AA'!$10:$10,0),,,IF(MONTH(MES_CIERRE)=12,"ER ACT","ER AA")))</f>
        <v>0</v>
      </c>
      <c r="T54" s="131">
        <f ca="1">IF(S$36=0, 0, S54/$G$36)</f>
        <v>0</v>
      </c>
      <c r="U54" s="133">
        <f ca="1">O54-Q54</f>
        <v>521.29899999999998</v>
      </c>
      <c r="V54" s="134">
        <f ca="1">IF(Q54=0,"N.D.",O54/Q54-1)</f>
        <v>3.8415265915505419</v>
      </c>
      <c r="W54" s="132">
        <f ca="1">O54-S54</f>
        <v>657</v>
      </c>
      <c r="X54" s="131" t="str">
        <f ca="1">IF(S54=0,"N.D.",O54/S54-1)</f>
        <v>N.D.</v>
      </c>
    </row>
    <row r="55" spans="1:24" x14ac:dyDescent="0.25">
      <c r="A55" s="235"/>
      <c r="B55" s="129" t="s">
        <v>395</v>
      </c>
      <c r="C55" s="147">
        <f ca="1">INDIRECT(ADDRESS(MATCH($B$33,'ER Act'!$B:$B,0)+20,MATCH(PROPER(TEXT("01/"&amp;ROUNDUP(MONTH(MES_CIERRE)/3,0)*3-2&amp;"/"&amp;YEAR(MES_CIERRE),"MMMM")),'ER Act'!$10:$10,0),,,"ER Act"))+INDIRECT(ADDRESS(MATCH($B$33,'ER Act'!$B:$B,0)+20,MATCH(PROPER(TEXT("01/"&amp;ROUNDUP(MONTH(MES_CIERRE)/3,0)*3-1&amp;"/"&amp;YEAR(MES_CIERRE),"MMMM")),'ER Act'!$10:$10,0),,,"ER Act"))+INDIRECT(ADDRESS(MATCH($B$33,'ER Act'!$B:$B,0)+20,MATCH(PROPER(TEXT("01/"&amp;ROUNDUP(MONTH(MES_CIERRE)/3,0)*3-0&amp;"/"&amp;YEAR(MES_CIERRE),"MMMM")),'ER Act'!$10:$10,0),,,"ER Act"))</f>
        <v>0</v>
      </c>
      <c r="D55" s="150" t="str">
        <f ca="1">IF(C36=0,"N.D.",C55/C36)</f>
        <v>N.D.</v>
      </c>
      <c r="E55" s="147">
        <f ca="1">INDIRECT(ADDRESS(MATCH($B$33,'ER Ppto'!$B:$B,0)+20,MATCH(PROPER(TEXT("01/"&amp;ROUNDUP(MONTH(MES_CIERRE)/3,0)*3-2&amp;"/"&amp;YEAR(MES_CIERRE),"MMMM")),'ER Ppto'!$10:$10,0),,,"ER Ppto"))+INDIRECT(ADDRESS(MATCH($B$33,'ER Ppto'!$B:$B,0)+20,MATCH(PROPER(TEXT("01/"&amp;ROUNDUP(MONTH(MES_CIERRE)/3,0)*3-1&amp;"/"&amp;YEAR(MES_CIERRE),"MMMM")),'ER Ppto'!$10:$10,0),,,"ER Ppto"))+INDIRECT(ADDRESS(MATCH($B$33,'ER Ppto'!$B:$B,0)+20,MATCH(PROPER(TEXT("01/"&amp;ROUNDUP(MONTH(MES_CIERRE)/3,0)*3-0&amp;"/"&amp;YEAR(MES_CIERRE),"MMMM")),'ER Ppto'!$10:$10,0),,,"ER Ppto"))</f>
        <v>0</v>
      </c>
      <c r="F55" s="136">
        <f ca="1">IF(E$36=0, 0, E55/$E$36)</f>
        <v>0</v>
      </c>
      <c r="G55" s="147">
        <f ca="1">INDIRECT(ADDRESS(MATCH($B$33,'ER AA'!$B:$B,0)+20,MATCH(PROPER(TEXT("01/"&amp;ROUNDUP(MONTH(MES_CIERRE)/3,0)*3-2&amp;"/"&amp;YEAR(MES_CIERRE),"MMMM")),'ER AA'!$10:$10,0),,,"ER AA"))+INDIRECT(ADDRESS(MATCH($B$33,'ER AA'!$B:$B,0)+20,MATCH(PROPER(TEXT("01/"&amp;ROUNDUP(MONTH(MES_CIERRE)/3,0)*3-1&amp;"/"&amp;YEAR(MES_CIERRE),"MMMM")),'ER AA'!$10:$10,0),,,"ER AA"))+INDIRECT(ADDRESS(MATCH($B$33,'ER AA'!$B:$B,0)+20,MATCH(PROPER(TEXT("01/"&amp;ROUNDUP(MONTH(MES_CIERRE)/3,0)*3-0&amp;"/"&amp;YEAR(MES_CIERRE),"MMMM")),'ER AA'!$10:$10,0),,,"ER AA"))</f>
        <v>0</v>
      </c>
      <c r="H55" s="136">
        <f ca="1">IF(G$36=0, 0, G55/$G$36)</f>
        <v>0</v>
      </c>
      <c r="I55" s="137">
        <f ca="1">C55-E55</f>
        <v>0</v>
      </c>
      <c r="J55" s="138" t="str">
        <f ca="1">IF(E55=0,"N.D.",C55/E55-1)</f>
        <v>N.D.</v>
      </c>
      <c r="K55" s="147">
        <f ca="1">C55-G55</f>
        <v>0</v>
      </c>
      <c r="L55" s="136" t="str">
        <f ca="1">IF(G55=0,"N.D.",C55/G55-1)</f>
        <v>N.D.</v>
      </c>
      <c r="N55" s="129" t="s">
        <v>395</v>
      </c>
      <c r="O55" s="147">
        <f ca="1">INDIRECT(ADDRESS(MATCH($B$33,'ER Act'!$B:$B,0)+20,MATCH(TEXT(EOMONTH(MES_CIERRE,-2),"MMMM"),'ER Act'!$10:$10,0),,,"ER Act"))+INDIRECT(ADDRESS(MATCH($B$33,'ER Act'!$B:$B,0)+20,MATCH(TEXT(EOMONTH(MES_CIERRE,-2),"MMMM"),'ER Act'!$10:$10,0)+2,,,"ER Act"))+INDIRECT(ADDRESS(MATCH($B$33,'ER Act'!$B:$B,0)+20,MATCH(TEXT(EOMONTH(MES_CIERRE,-2),"MMMM"),'ER Act'!$10:$10,0)+4,,,"ER Act"))</f>
        <v>0</v>
      </c>
      <c r="P55" s="150">
        <f ca="1">IF(O36=0,"N.D.",O55/O36)</f>
        <v>0</v>
      </c>
      <c r="Q55" s="147">
        <f ca="1">(INDIRECT(ADDRESS(MATCH($B$33,BDPP!$B:$B,0)+22,MATCH(PROPER(TEXT("01/"&amp;ROUNDUP(MONTH(MES_CIERRE)/3,0)*3-2+3&amp;"/"&amp;YEAR(MES_CIERRE),"MMMM")),BDPP!$10:$10,0),,,"BDPP"))+INDIRECT(ADDRESS(MATCH($B$33,BDPP!$B:$B,0)+22,MATCH(PROPER(TEXT("01/"&amp;ROUNDUP(MONTH(MES_CIERRE)/3,0)*3-1+3&amp;"/"&amp;YEAR(MES_CIERRE),"MMMM")),BDPP!$10:$10,0),,,"BDPP"))+INDIRECT(ADDRESS(MATCH($B$33,BDPP!$B:$B,0)+22,MATCH(PROPER(TEXT("01/"&amp;ROUNDUP(MONTH(MES_CIERRE)/3,0)*3-0+3&amp;"/"&amp;YEAR(MES_CIERRE),"MMMM")),BDPP!$10:$10,0),,,"BDPP")))/1000</f>
        <v>0</v>
      </c>
      <c r="R55" s="136">
        <f ca="1">IF(Q$36=0, 0, Q55/$Q$36)</f>
        <v>0</v>
      </c>
      <c r="S55" s="147">
        <f ca="1">INDIRECT(ADDRESS(MATCH($B$33,INDIRECT("'"&amp;IF(MONTH(MES_CIERRE)=12,"ER ACT","ER AA")&amp;"'!$B:$B"),0)+20,MATCH(PROPER(TEXT("01/"&amp;ROUNDUP(MONTH(MES_CIERRE)/3,0)*3-2+3&amp;"/"&amp;YEAR(MES_CIERRE),"MMMM")),'ER AA'!$10:$10,0),,,IF(MONTH(MES_CIERRE)=12,"ER ACT","ER AA")))+INDIRECT(ADDRESS(MATCH($B$33,INDIRECT("'"&amp;IF(MONTH(MES_CIERRE)=12,"ER ACT","ER AA")&amp;"'!$B:$B"),0)+20,MATCH(PROPER(TEXT("01/"&amp;ROUNDUP(MONTH(MES_CIERRE)/3,0)*3-1+3&amp;"/"&amp;YEAR(MES_CIERRE),"MMMM")),'ER AA'!$10:$10,0),,,IF(MONTH(MES_CIERRE)=12,"ER ACT","ER AA")))+INDIRECT(ADDRESS(MATCH($B$33,INDIRECT("'"&amp;IF(MONTH(MES_CIERRE)=12,"ER ACT","ER AA")&amp;"'!$B:$B"),0)+20,MATCH(PROPER(TEXT("01/"&amp;ROUNDUP(MONTH(MES_CIERRE)/3,0)*3-0+3&amp;"/"&amp;YEAR(MES_CIERRE),"MMMM")),'ER AA'!$10:$10,0),,,IF(MONTH(MES_CIERRE)=12,"ER ACT","ER AA")))</f>
        <v>0</v>
      </c>
      <c r="T55" s="136">
        <f ca="1">IF(S$36=0, 0, S55/$G$36)</f>
        <v>0</v>
      </c>
      <c r="U55" s="137">
        <f ca="1">O55-Q55</f>
        <v>0</v>
      </c>
      <c r="V55" s="138" t="str">
        <f ca="1">IF(Q55=0,"N.D.",O55/Q55-1)</f>
        <v>N.D.</v>
      </c>
      <c r="W55" s="147">
        <f ca="1">O55-S55</f>
        <v>0</v>
      </c>
      <c r="X55" s="136" t="str">
        <f ca="1">IF(S55=0,"N.D.",O55/S55-1)</f>
        <v>N.D.</v>
      </c>
    </row>
    <row r="56" spans="1:24" ht="13" x14ac:dyDescent="0.3">
      <c r="A56" s="235"/>
      <c r="B56" s="139" t="s">
        <v>146</v>
      </c>
      <c r="C56" s="142">
        <f ca="1">+C52-C54-C55</f>
        <v>0</v>
      </c>
      <c r="D56" s="141" t="str">
        <f ca="1">IF(C36=0,"N.D.",C56/C36)</f>
        <v>N.D.</v>
      </c>
      <c r="E56" s="142">
        <f ca="1">+E52-E54-E55</f>
        <v>0</v>
      </c>
      <c r="F56" s="141">
        <f ca="1">IF(E$36=0, 0, E56/$E$36)</f>
        <v>0</v>
      </c>
      <c r="G56" s="142">
        <f ca="1">+G52-G54-G55</f>
        <v>3992.1749999999993</v>
      </c>
      <c r="H56" s="141">
        <f ca="1">IF(G$36=0, 0, G56/$G$36)</f>
        <v>0.59024008648589821</v>
      </c>
      <c r="I56" s="143">
        <f ca="1">C56-E56</f>
        <v>0</v>
      </c>
      <c r="J56" s="144" t="str">
        <f ca="1">IF(E56=0,"N.D.",C56/E56-1)</f>
        <v>N.D.</v>
      </c>
      <c r="K56" s="142">
        <f ca="1">C56-G56</f>
        <v>-3992.1749999999993</v>
      </c>
      <c r="L56" s="141">
        <f ca="1">IF(G56=0,"N.D.",C56/G56-1)</f>
        <v>-1</v>
      </c>
      <c r="N56" s="139" t="s">
        <v>146</v>
      </c>
      <c r="O56" s="142">
        <f ca="1">+O52-O54-O55</f>
        <v>5743</v>
      </c>
      <c r="P56" s="141">
        <f ca="1">IF(O36=0,"N.D.",O56/O36)</f>
        <v>0.52481038106552136</v>
      </c>
      <c r="Q56" s="142">
        <f ca="1">+Q52-Q54-Q55</f>
        <v>2708.5829999999996</v>
      </c>
      <c r="R56" s="141">
        <f ca="1">IF(Q$36=0, 0, Q56/$Q$36)</f>
        <v>0.59879704839794357</v>
      </c>
      <c r="S56" s="142">
        <f ca="1">+S52-S54-S55</f>
        <v>7715.1949999999997</v>
      </c>
      <c r="T56" s="141">
        <f ca="1">IF(S$36=0, 0, S56/$G$36)</f>
        <v>1.140685807625059</v>
      </c>
      <c r="U56" s="143">
        <f ca="1">O56-Q56</f>
        <v>3034.4170000000004</v>
      </c>
      <c r="V56" s="144">
        <f ca="1">IF(Q56=0,"N.D.",O56/Q56-1)</f>
        <v>1.1202968489427869</v>
      </c>
      <c r="W56" s="142">
        <f ca="1">O56-S56</f>
        <v>-1972.1949999999997</v>
      </c>
      <c r="X56" s="141">
        <f ca="1">IF(S56=0,"N.D.",O56/S56-1)</f>
        <v>-0.25562477682028772</v>
      </c>
    </row>
    <row r="57" spans="1:24" ht="13" x14ac:dyDescent="0.3">
      <c r="A57" s="235"/>
      <c r="B57" s="139" t="s">
        <v>248</v>
      </c>
      <c r="C57" s="142">
        <f ca="1">+C44+C42</f>
        <v>0</v>
      </c>
      <c r="D57" s="141" t="str">
        <f ca="1">IF(C36=0,"N.D.",C57/C36)</f>
        <v>N.D.</v>
      </c>
      <c r="E57" s="142">
        <f ca="1">+E44+E42</f>
        <v>0</v>
      </c>
      <c r="F57" s="141">
        <f ca="1">IF(E$36=0, 0, E57/$E$36)</f>
        <v>0</v>
      </c>
      <c r="G57" s="142">
        <f ca="1">+G44+G42</f>
        <v>2861.8399999999997</v>
      </c>
      <c r="H57" s="141">
        <f ca="1">IF(G$36=0, 0, G57/$G$36)</f>
        <v>0.4231209025428001</v>
      </c>
      <c r="I57" s="143">
        <f ca="1">C57-E57</f>
        <v>0</v>
      </c>
      <c r="J57" s="144" t="str">
        <f ca="1">IF(E57=0,"N.D.",C57/E57-1)</f>
        <v>N.D.</v>
      </c>
      <c r="K57" s="142">
        <f ca="1">C57-G57</f>
        <v>-2861.8399999999997</v>
      </c>
      <c r="L57" s="141">
        <f ca="1">IF(G57=0,"N.D.",C57/G57-1)</f>
        <v>-1</v>
      </c>
      <c r="N57" s="139" t="s">
        <v>248</v>
      </c>
      <c r="O57" s="142">
        <f>+O44+O42</f>
        <v>5344</v>
      </c>
      <c r="P57" s="141">
        <f>IF(O36=0,"N.D.",O57/O36)</f>
        <v>0.48834871607420266</v>
      </c>
      <c r="Q57" s="142">
        <f ca="1">+Q44+Q42</f>
        <v>1835.1589999999997</v>
      </c>
      <c r="R57" s="141">
        <f ca="1">IF(Q$36=0, 0, Q57/$Q$36)</f>
        <v>0.40570578510642713</v>
      </c>
      <c r="S57" s="142">
        <f ca="1">+S44+S42</f>
        <v>6439.088999999999</v>
      </c>
      <c r="T57" s="141">
        <f ca="1">IF(S$36=0, 0, S57/$G$36)</f>
        <v>0.95201449040946251</v>
      </c>
      <c r="U57" s="143">
        <f ca="1">O57-Q57</f>
        <v>3508.8410000000003</v>
      </c>
      <c r="V57" s="144">
        <f ca="1">IF(Q57=0,"N.D.",O57/Q57-1)</f>
        <v>1.9120092591432138</v>
      </c>
      <c r="W57" s="142">
        <f ca="1">O57-S57</f>
        <v>-1095.088999999999</v>
      </c>
      <c r="X57" s="141">
        <f ca="1">IF(S57=0,"N.D.",O57/S57-1)</f>
        <v>-0.17006893366437381</v>
      </c>
    </row>
    <row r="59" spans="1:24" ht="13" x14ac:dyDescent="0.3">
      <c r="A59" s="323"/>
      <c r="B59" s="128" t="str">
        <f>+'ER Act'!B62</f>
        <v>SILN</v>
      </c>
      <c r="C59" s="121"/>
      <c r="D59" s="120"/>
      <c r="E59" s="121"/>
      <c r="F59" s="120"/>
      <c r="G59" s="121"/>
      <c r="H59" s="120"/>
      <c r="I59" s="121"/>
      <c r="J59" s="120"/>
      <c r="K59" s="121"/>
      <c r="L59" s="120"/>
      <c r="N59" s="128" t="str">
        <f>+B59</f>
        <v>SILN</v>
      </c>
      <c r="O59" s="121"/>
      <c r="P59" s="120"/>
      <c r="Q59" s="121"/>
      <c r="R59" s="120"/>
      <c r="S59" s="121"/>
      <c r="T59" s="120"/>
      <c r="U59" s="121"/>
      <c r="V59" s="120"/>
      <c r="W59" s="121"/>
      <c r="X59" s="120"/>
    </row>
    <row r="60" spans="1:24" ht="13" x14ac:dyDescent="0.3">
      <c r="A60" s="323"/>
      <c r="B60" s="128" t="s">
        <v>392</v>
      </c>
      <c r="C60" s="121"/>
      <c r="D60" s="120"/>
      <c r="E60" s="121"/>
      <c r="F60" s="120"/>
      <c r="G60" s="121"/>
      <c r="H60" s="120"/>
      <c r="I60" s="121"/>
      <c r="J60" s="120"/>
      <c r="K60" s="121"/>
      <c r="L60" s="120"/>
      <c r="N60" s="128" t="s">
        <v>393</v>
      </c>
      <c r="O60" s="121"/>
      <c r="P60" s="120"/>
      <c r="Q60" s="121"/>
      <c r="R60" s="120"/>
      <c r="S60" s="121"/>
      <c r="T60" s="120"/>
      <c r="U60" s="121"/>
      <c r="V60" s="120"/>
      <c r="W60" s="121"/>
      <c r="X60" s="120"/>
    </row>
    <row r="61" spans="1:24" ht="13" x14ac:dyDescent="0.3">
      <c r="B61" s="121"/>
      <c r="C61" s="201" t="s">
        <v>2</v>
      </c>
      <c r="D61" s="234"/>
      <c r="E61" s="201" t="s">
        <v>10</v>
      </c>
      <c r="F61" s="234"/>
      <c r="G61" s="201" t="s">
        <v>110</v>
      </c>
      <c r="H61" s="234"/>
      <c r="I61" s="201" t="s">
        <v>111</v>
      </c>
      <c r="J61" s="234"/>
      <c r="K61" s="201" t="s">
        <v>112</v>
      </c>
      <c r="L61" s="120"/>
      <c r="N61" s="121"/>
      <c r="O61" s="201" t="s">
        <v>2</v>
      </c>
      <c r="P61" s="234"/>
      <c r="Q61" s="201" t="s">
        <v>10</v>
      </c>
      <c r="R61" s="234"/>
      <c r="S61" s="201" t="s">
        <v>110</v>
      </c>
      <c r="T61" s="234"/>
      <c r="U61" s="201" t="s">
        <v>111</v>
      </c>
      <c r="V61" s="234"/>
      <c r="W61" s="201" t="s">
        <v>112</v>
      </c>
      <c r="X61" s="120"/>
    </row>
    <row r="62" spans="1:24" x14ac:dyDescent="0.25">
      <c r="A62" s="235"/>
      <c r="B62" s="129" t="s">
        <v>236</v>
      </c>
      <c r="C62" s="130">
        <f ca="1">INDIRECT(ADDRESS(MATCH($B$59,'ER Act'!$B:$B,0)+1,MATCH(PROPER(TEXT("01/"&amp;ROUNDUP(MONTH(MES_CIERRE)/3,0)*3-2&amp;"/"&amp;YEAR(MES_CIERRE),"MMMM")),'ER Act'!$10:$10,0),,,"ER Act"))+INDIRECT(ADDRESS(MATCH($B$59,'ER Act'!$B:$B,0)+1,MATCH(PROPER(TEXT("01/"&amp;ROUNDUP(MONTH(MES_CIERRE)/3,0)*3-1&amp;"/"&amp;YEAR(MES_CIERRE),"MMMM")),'ER Act'!$10:$10,0),,,"ER Act"))+INDIRECT(ADDRESS(MATCH($B$59,'ER Act'!$B:$B,0)+1,MATCH(PROPER(TEXT("01/"&amp;ROUNDUP(MONTH(MES_CIERRE)/3,0)*3-0&amp;"/"&amp;YEAR(MES_CIERRE),"MMMM")),'ER Act'!$10:$10,0),,,"ER Act"))</f>
        <v>0</v>
      </c>
      <c r="D62" s="131" t="str">
        <f ca="1">IF(C62=0,"N.D.",C62/C62)</f>
        <v>N.D.</v>
      </c>
      <c r="E62" s="130">
        <f ca="1">INDIRECT(ADDRESS(MATCH($B$59,'ER Ppto'!$B:$B,0)+1,MATCH(PROPER(TEXT("01/"&amp;ROUNDUP(MONTH(MES_CIERRE)/3,0)*3-2&amp;"/"&amp;YEAR(MES_CIERRE),"MMMM")),'ER Ppto'!$10:$10,0),,,"ER Ppto"))+INDIRECT(ADDRESS(MATCH($B$59,'ER Ppto'!$B:$B,0)+1,MATCH(PROPER(TEXT("01/"&amp;ROUNDUP(MONTH(MES_CIERRE)/3,0)*3-1&amp;"/"&amp;YEAR(MES_CIERRE),"MMMM")),'ER Ppto'!$10:$10,0),,,"ER Ppto"))+INDIRECT(ADDRESS(MATCH($B$59,'ER Ppto'!$B:$B,0)+1,MATCH(PROPER(TEXT("01/"&amp;ROUNDUP(MONTH(MES_CIERRE)/3,0)*3-0&amp;"/"&amp;YEAR(MES_CIERRE),"MMMM")),'ER Ppto'!$10:$10,0),,,"ER Ppto"))</f>
        <v>0</v>
      </c>
      <c r="F62" s="131">
        <f ca="1">IF(E$62=0, 0, E62/$E$62)</f>
        <v>0</v>
      </c>
      <c r="G62" s="130">
        <f ca="1">INDIRECT(ADDRESS(MATCH($B$59,'ER AA'!$B:$B,0)+1,MATCH(PROPER(TEXT("01/"&amp;ROUNDUP(MONTH(MES_CIERRE)/3,0)*3-2&amp;"/"&amp;YEAR(MES_CIERRE),"MMMM")),'ER AA'!$10:$10,0),,,"ER AA"))+INDIRECT(ADDRESS(MATCH($B$59,'ER AA'!$B:$B,0)+1,MATCH(PROPER(TEXT("01/"&amp;ROUNDUP(MONTH(MES_CIERRE)/3,0)*3-1&amp;"/"&amp;YEAR(MES_CIERRE),"MMMM")),'ER AA'!$10:$10,0),,,"ER AA"))+INDIRECT(ADDRESS(MATCH($B$59,'ER AA'!$B:$B,0)+1,MATCH(PROPER(TEXT("01/"&amp;ROUNDUP(MONTH(MES_CIERRE)/3,0)*3-0&amp;"/"&amp;YEAR(MES_CIERRE),"MMMM")),'ER AA'!$10:$10,0),,,"ER AA"))</f>
        <v>5540.2339999999995</v>
      </c>
      <c r="H62" s="131">
        <f ca="1">IF(G$62=0, 0, G62/$G$62)</f>
        <v>1</v>
      </c>
      <c r="I62" s="133">
        <f ca="1">C62-E62</f>
        <v>0</v>
      </c>
      <c r="J62" s="134" t="str">
        <f ca="1">IF(E62=0,"N.D.",C62/E62-1)</f>
        <v>N.D.</v>
      </c>
      <c r="K62" s="132">
        <f ca="1">C62-G62</f>
        <v>-5540.2339999999995</v>
      </c>
      <c r="L62" s="131">
        <f ca="1">IF(G62=0,"N.D.",C62/G62-1)</f>
        <v>-1</v>
      </c>
      <c r="N62" s="129" t="s">
        <v>236</v>
      </c>
      <c r="O62" s="130">
        <v>5094</v>
      </c>
      <c r="P62" s="131">
        <f>IF(O62=0,"N.D.",O62/O62)</f>
        <v>1</v>
      </c>
      <c r="Q62" s="130">
        <f ca="1">(INDIRECT(ADDRESS(MATCH($B$59,BDPP!$B:$B,0)+6,MATCH(PROPER(TEXT("01/"&amp;ROUNDUP(MONTH(MES_CIERRE)/3,0)*3-2+3&amp;"/"&amp;YEAR(MES_CIERRE),"MMMM")),BDPP!$10:$10,0),,,"BDPP"))+INDIRECT(ADDRESS(MATCH($B$59,BDPP!$B:$B,0)+6,MATCH(PROPER(TEXT("01/"&amp;ROUNDUP(MONTH(MES_CIERRE)/3,0)*3-1+3&amp;"/"&amp;YEAR(MES_CIERRE),"MMMM")),BDPP!$10:$10,0),,,"BDPP"))+INDIRECT(ADDRESS(MATCH($B$59,BDPP!$B:$B,0)+6,MATCH(PROPER(TEXT("01/"&amp;ROUNDUP(MONTH(MES_CIERRE)/3,0)*3-0+3&amp;"/"&amp;YEAR(MES_CIERRE),"MMMM")),BDPP!$10:$10,0),,,"BDPP")))/1000</f>
        <v>2982.32</v>
      </c>
      <c r="R62" s="131">
        <f ca="1">IF(Q$62=0, 0, Q62/Q62)</f>
        <v>1</v>
      </c>
      <c r="S62" s="130">
        <f ca="1">INDIRECT(ADDRESS(MATCH($B$59,INDIRECT("'"&amp;IF(MONTH(MES_CIERRE)=12,"ER ACT","ER AA")&amp;"'!$B:$B"),0)+1,MATCH(PROPER(TEXT("01/"&amp;ROUNDUP(MONTH(MES_CIERRE)/3,0)*3-2+3&amp;"/"&amp;YEAR(MES_CIERRE),"MMMM")),'ER AA'!$10:$10,0),,,IF(MONTH(MES_CIERRE)=12,"ER ACT","ER AA")))+INDIRECT(ADDRESS(MATCH($B$59,INDIRECT("'"&amp;IF(MONTH(MES_CIERRE)=12,"ER ACT","ER AA")&amp;"'!$B:$B"),0)+1,MATCH(PROPER(TEXT("01/"&amp;ROUNDUP(MONTH(MES_CIERRE)/3,0)*3-1+3&amp;"/"&amp;YEAR(MES_CIERRE),"MMMM")),'ER AA'!$10:$10,0),,,IF(MONTH(MES_CIERRE)=12,"ER ACT","ER AA")))+INDIRECT(ADDRESS(MATCH($B$59,INDIRECT("'"&amp;IF(MONTH(MES_CIERRE)=12,"ER ACT","ER AA")&amp;"'!$B:$B"),0)+1,MATCH(PROPER(TEXT("01/"&amp;ROUNDUP(MONTH(MES_CIERRE)/3,0)*3-0+3&amp;"/"&amp;YEAR(MES_CIERRE),"MMMM")),'ER AA'!$10:$10,0),,,IF(MONTH(MES_CIERRE)=12,"ER ACT","ER AA")))</f>
        <v>4026.895</v>
      </c>
      <c r="T62" s="131">
        <f ca="1">IF(S$62=0, 0, S62/S62)</f>
        <v>1</v>
      </c>
      <c r="U62" s="133">
        <f ca="1">O62-Q62</f>
        <v>2111.6799999999998</v>
      </c>
      <c r="V62" s="134">
        <f ca="1">IF(Q62=0,"N.D.",O62/Q62-1)</f>
        <v>0.70806620349258287</v>
      </c>
      <c r="W62" s="132">
        <f ca="1">O62-S62</f>
        <v>1067.105</v>
      </c>
      <c r="X62" s="131">
        <f ca="1">IF(S62=0,"N.D.",O62/S62-1)</f>
        <v>0.26499449327583657</v>
      </c>
    </row>
    <row r="63" spans="1:24" x14ac:dyDescent="0.25">
      <c r="A63" s="235"/>
      <c r="B63" s="129" t="s">
        <v>145</v>
      </c>
      <c r="C63" s="135">
        <f ca="1">INDIRECT(ADDRESS(MATCH($B$59,'ER Act'!$B:$B,0)+2,MATCH(PROPER(TEXT("01/"&amp;ROUNDUP(MONTH(MES_CIERRE)/3,0)*3-2&amp;"/"&amp;YEAR(MES_CIERRE),"MMMM")),'ER Act'!$10:$10,0),,,"ER Act"))+INDIRECT(ADDRESS(MATCH($B$59,'ER Act'!$B:$B,0)+2,MATCH(PROPER(TEXT("01/"&amp;ROUNDUP(MONTH(MES_CIERRE)/3,0)*3-1&amp;"/"&amp;YEAR(MES_CIERRE),"MMMM")),'ER Act'!$10:$10,0),,,"ER Act"))+INDIRECT(ADDRESS(MATCH($B$59,'ER Act'!$B:$B,0)+2,MATCH(PROPER(TEXT("01/"&amp;ROUNDUP(MONTH(MES_CIERRE)/3,0)*3-0&amp;"/"&amp;YEAR(MES_CIERRE),"MMMM")),'ER Act'!$10:$10,0),,,"ER Act"))</f>
        <v>0</v>
      </c>
      <c r="D63" s="136" t="str">
        <f ca="1">IF(C62=0,"N.D.",C63/C62)</f>
        <v>N.D.</v>
      </c>
      <c r="E63" s="135">
        <f ca="1">INDIRECT(ADDRESS(MATCH($B$59,'ER Ppto'!$B:$B,0)+2,MATCH(PROPER(TEXT("01/"&amp;ROUNDUP(MONTH(MES_CIERRE)/3,0)*3-2&amp;"/"&amp;YEAR(MES_CIERRE),"MMMM")),'ER Ppto'!$10:$10,0),,,"ER Ppto"))+INDIRECT(ADDRESS(MATCH($B$59,'ER Ppto'!$B:$B,0)+2,MATCH(PROPER(TEXT("01/"&amp;ROUNDUP(MONTH(MES_CIERRE)/3,0)*3-1&amp;"/"&amp;YEAR(MES_CIERRE),"MMMM")),'ER Ppto'!$10:$10,0),,,"ER Ppto"))+INDIRECT(ADDRESS(MATCH($B$59,'ER Ppto'!$B:$B,0)+2,MATCH(PROPER(TEXT("01/"&amp;ROUNDUP(MONTH(MES_CIERRE)/3,0)*3-0&amp;"/"&amp;YEAR(MES_CIERRE),"MMMM")),'ER Ppto'!$10:$10,0),,,"ER Ppto"))</f>
        <v>0</v>
      </c>
      <c r="F63" s="136">
        <f ca="1">IF(E$62=0, 0, E63/$E$62)</f>
        <v>0</v>
      </c>
      <c r="G63" s="135">
        <f ca="1">INDIRECT(ADDRESS(MATCH($B$59,'ER AA'!$B:$B,0)+2,MATCH(PROPER(TEXT("01/"&amp;ROUNDUP(MONTH(MES_CIERRE)/3,0)*3-2&amp;"/"&amp;YEAR(MES_CIERRE),"MMMM")),'ER AA'!$10:$10,0),,,"ER AA"))+INDIRECT(ADDRESS(MATCH($B$59,'ER AA'!$B:$B,0)+2,MATCH(PROPER(TEXT("01/"&amp;ROUNDUP(MONTH(MES_CIERRE)/3,0)*3-1&amp;"/"&amp;YEAR(MES_CIERRE),"MMMM")),'ER AA'!$10:$10,0),,,"ER AA"))+INDIRECT(ADDRESS(MATCH($B$59,'ER AA'!$B:$B,0)+2,MATCH(PROPER(TEXT("01/"&amp;ROUNDUP(MONTH(MES_CIERRE)/3,0)*3-0&amp;"/"&amp;YEAR(MES_CIERRE),"MMMM")),'ER AA'!$10:$10,0),,,"ER AA"))</f>
        <v>4176.83</v>
      </c>
      <c r="H63" s="136">
        <f ca="1">IF(G$62=0, 0, G63/$G$62)</f>
        <v>0.75390858942059136</v>
      </c>
      <c r="I63" s="137">
        <f ca="1">C63-E63</f>
        <v>0</v>
      </c>
      <c r="J63" s="138" t="str">
        <f ca="1">IF(E63=0,"N.D.",C63/E63-1)</f>
        <v>N.D.</v>
      </c>
      <c r="K63" s="135">
        <f ca="1">C63-G63</f>
        <v>-4176.83</v>
      </c>
      <c r="L63" s="136">
        <f ca="1">IF(G63=0,"N.D.",C63/G63-1)</f>
        <v>-1</v>
      </c>
      <c r="N63" s="129" t="s">
        <v>145</v>
      </c>
      <c r="O63" s="135">
        <v>3566</v>
      </c>
      <c r="P63" s="136">
        <f>IF(O62=0,"N.D.",O63/O62)</f>
        <v>0.70003926187671772</v>
      </c>
      <c r="Q63" s="135">
        <f ca="1">(INDIRECT(ADDRESS(MATCH($B$59,BDPP!$B:$B,0)+7,MATCH(PROPER(TEXT("01/"&amp;ROUNDUP(MONTH(MES_CIERRE)/3,0)*3-2+3&amp;"/"&amp;YEAR(MES_CIERRE),"MMMM")),BDPP!$10:$10,0),,,"BDPP"))+INDIRECT(ADDRESS(MATCH($B$59,BDPP!$B:$B,0)+7,MATCH(PROPER(TEXT("01/"&amp;ROUNDUP(MONTH(MES_CIERRE)/3,0)*3-1+3&amp;"/"&amp;YEAR(MES_CIERRE),"MMMM")),BDPP!$10:$10,0),,,"BDPP"))+INDIRECT(ADDRESS(MATCH($B$59,BDPP!$B:$B,0)+7,MATCH(PROPER(TEXT("01/"&amp;ROUNDUP(MONTH(MES_CIERRE)/3,0)*3-0+3&amp;"/"&amp;YEAR(MES_CIERRE),"MMMM")),BDPP!$10:$10,0),,,"BDPP")))/1000</f>
        <v>2049.25</v>
      </c>
      <c r="R63" s="136">
        <f ca="1">IF(Q$62=0, 0, Q63/$Q$62)</f>
        <v>0.687132836181228</v>
      </c>
      <c r="S63" s="135">
        <f ca="1">INDIRECT(ADDRESS(MATCH($B$59,INDIRECT("'"&amp;IF(MONTH(MES_CIERRE)=12,"ER ACT","ER AA")&amp;"'!$B:$B"),0)+2,MATCH(PROPER(TEXT("01/"&amp;ROUNDUP(MONTH(MES_CIERRE)/3,0)*3-2+3&amp;"/"&amp;YEAR(MES_CIERRE),"MMMM")),'ER AA'!$10:$10,0),,,IF(MONTH(MES_CIERRE)=12,"ER ACT","ER AA")))+INDIRECT(ADDRESS(MATCH($B$59,INDIRECT("'"&amp;IF(MONTH(MES_CIERRE)=12,"ER ACT","ER AA")&amp;"'!$B:$B"),0)+2,MATCH(PROPER(TEXT("01/"&amp;ROUNDUP(MONTH(MES_CIERRE)/3,0)*3-1+3&amp;"/"&amp;YEAR(MES_CIERRE),"MMMM")),'ER AA'!$10:$10,0),,,IF(MONTH(MES_CIERRE)=12,"ER ACT","ER AA")))+INDIRECT(ADDRESS(MATCH($B$59,INDIRECT("'"&amp;IF(MONTH(MES_CIERRE)=12,"ER ACT","ER AA")&amp;"'!$B:$B"),0)+2,MATCH(PROPER(TEXT("01/"&amp;ROUNDUP(MONTH(MES_CIERRE)/3,0)*3-0+3&amp;"/"&amp;YEAR(MES_CIERRE),"MMMM")),'ER AA'!$10:$10,0),,,IF(MONTH(MES_CIERRE)=12,"ER ACT","ER AA")))</f>
        <v>2947.4560000000001</v>
      </c>
      <c r="T63" s="136">
        <f ca="1">IF(S$62=0, 0, S63/$G$62)</f>
        <v>0.53200929780222284</v>
      </c>
      <c r="U63" s="137">
        <f ca="1">O63-Q63</f>
        <v>1516.75</v>
      </c>
      <c r="V63" s="138">
        <f ca="1">IF(Q63=0,"N.D.",O63/Q63-1)</f>
        <v>0.74014883493961214</v>
      </c>
      <c r="W63" s="135">
        <f ca="1">O63-S63</f>
        <v>618.54399999999987</v>
      </c>
      <c r="X63" s="136">
        <f ca="1">IF(S63=0,"N.D.",O63/S63-1)</f>
        <v>0.20985690710904592</v>
      </c>
    </row>
    <row r="64" spans="1:24" ht="13" x14ac:dyDescent="0.3">
      <c r="A64" s="235"/>
      <c r="B64" s="139" t="s">
        <v>237</v>
      </c>
      <c r="C64" s="140">
        <f ca="1">+C62-C63</f>
        <v>0</v>
      </c>
      <c r="D64" s="141" t="str">
        <f ca="1">IF(C62=0,"N.D.",C64/C62)</f>
        <v>N.D.</v>
      </c>
      <c r="E64" s="140">
        <f ca="1">+E62-E63</f>
        <v>0</v>
      </c>
      <c r="F64" s="141">
        <f ca="1">IF(E$62=0, 0, E64/$E$62)</f>
        <v>0</v>
      </c>
      <c r="G64" s="140">
        <f ca="1">+G62-G63</f>
        <v>1363.4039999999995</v>
      </c>
      <c r="H64" s="141">
        <f ca="1">IF(G$62=0, 0, G64/$G$62)</f>
        <v>0.24609141057940867</v>
      </c>
      <c r="I64" s="143">
        <f ca="1">C64-E64</f>
        <v>0</v>
      </c>
      <c r="J64" s="144" t="str">
        <f ca="1">IF(E64=0,"N.D.",C64/E64-1)</f>
        <v>N.D.</v>
      </c>
      <c r="K64" s="142">
        <f ca="1">C64-G64</f>
        <v>-1363.4039999999995</v>
      </c>
      <c r="L64" s="141">
        <f ca="1">IF(G64=0,"N.D.",C64/G64-1)</f>
        <v>-1</v>
      </c>
      <c r="N64" s="139" t="s">
        <v>237</v>
      </c>
      <c r="O64" s="140">
        <f>+O62-O63</f>
        <v>1528</v>
      </c>
      <c r="P64" s="141">
        <f>IF(O62=0,"N.D.",O64/O62)</f>
        <v>0.29996073812328228</v>
      </c>
      <c r="Q64" s="140">
        <f ca="1">+Q62-Q63</f>
        <v>933.07000000000016</v>
      </c>
      <c r="R64" s="141">
        <f ca="1">IF(Q$62=0, 0, Q64/$Q$62)</f>
        <v>0.312867163818772</v>
      </c>
      <c r="S64" s="140">
        <f ca="1">+S62-S63</f>
        <v>1079.4389999999999</v>
      </c>
      <c r="T64" s="141">
        <f ca="1">IF(S$62=0, 0, S64/$G$62)</f>
        <v>0.19483635528752033</v>
      </c>
      <c r="U64" s="143">
        <f ca="1">O64-Q64</f>
        <v>594.92999999999984</v>
      </c>
      <c r="V64" s="144">
        <f ca="1">IF(Q64=0,"N.D.",O64/Q64-1)</f>
        <v>0.63760489566699152</v>
      </c>
      <c r="W64" s="142">
        <f ca="1">O64-S64</f>
        <v>448.56100000000015</v>
      </c>
      <c r="X64" s="141">
        <f ca="1">IF(S64=0,"N.D.",O64/S64-1)</f>
        <v>0.41555011445760281</v>
      </c>
    </row>
    <row r="65" spans="1:24" x14ac:dyDescent="0.25">
      <c r="A65" s="235"/>
      <c r="B65" s="129"/>
      <c r="C65" s="127"/>
      <c r="D65" s="124"/>
      <c r="E65" s="127"/>
      <c r="F65" s="124"/>
      <c r="G65" s="127"/>
      <c r="H65" s="124"/>
      <c r="I65" s="127"/>
      <c r="J65" s="145"/>
      <c r="K65" s="127"/>
      <c r="L65" s="124"/>
      <c r="N65" s="129"/>
      <c r="O65" s="127"/>
      <c r="P65" s="124"/>
      <c r="Q65" s="127"/>
      <c r="R65" s="124"/>
      <c r="S65" s="127"/>
      <c r="T65" s="124"/>
      <c r="U65" s="127"/>
      <c r="V65" s="145"/>
      <c r="W65" s="127"/>
      <c r="X65" s="124"/>
    </row>
    <row r="66" spans="1:24" x14ac:dyDescent="0.25">
      <c r="A66" s="235"/>
      <c r="B66" s="129" t="s">
        <v>238</v>
      </c>
      <c r="C66" s="132">
        <f ca="1">INDIRECT(ADDRESS(MATCH($B$59,'ER Act'!$B:$B,0)+5,MATCH(PROPER(TEXT("01/"&amp;ROUNDUP(MONTH(MES_CIERRE)/3,0)*3-2&amp;"/"&amp;YEAR(MES_CIERRE),"MMMM")),'ER Act'!$10:$10,0),,,"ER Act"))+INDIRECT(ADDRESS(MATCH($B$59,'ER Act'!$B:$B,0)+5,MATCH(PROPER(TEXT("01/"&amp;ROUNDUP(MONTH(MES_CIERRE)/3,0)*3-1&amp;"/"&amp;YEAR(MES_CIERRE),"MMMM")),'ER Act'!$10:$10,0),,,"ER Act"))+INDIRECT(ADDRESS(MATCH($B$59,'ER Act'!$B:$B,0)+5,MATCH(PROPER(TEXT("01/"&amp;ROUNDUP(MONTH(MES_CIERRE)/3,0)*3-0&amp;"/"&amp;YEAR(MES_CIERRE),"MMMM")),'ER Act'!$10:$10,0),,,"ER Act"))</f>
        <v>0</v>
      </c>
      <c r="D66" s="131" t="str">
        <f ca="1">IF(C62=0,"N.D.",C66/C62)</f>
        <v>N.D.</v>
      </c>
      <c r="E66" s="132">
        <f ca="1">INDIRECT(ADDRESS(MATCH($B$59,'ER Ppto'!$B:$B,0)+5,MATCH(PROPER(TEXT("01/"&amp;ROUNDUP(MONTH(MES_CIERRE)/3,0)*3-2&amp;"/"&amp;YEAR(MES_CIERRE),"MMMM")),'ER Ppto'!$10:$10,0),,,"ER Ppto"))+INDIRECT(ADDRESS(MATCH($B$59,'ER Ppto'!$B:$B,0)+5,MATCH(PROPER(TEXT("01/"&amp;ROUNDUP(MONTH(MES_CIERRE)/3,0)*3-1&amp;"/"&amp;YEAR(MES_CIERRE),"MMMM")),'ER Ppto'!$10:$10,0),,,"ER Ppto"))+INDIRECT(ADDRESS(MATCH($B$59,'ER Ppto'!$B:$B,0)+5,MATCH(PROPER(TEXT("01/"&amp;ROUNDUP(MONTH(MES_CIERRE)/3,0)*3-0&amp;"/"&amp;YEAR(MES_CIERRE),"MMMM")),'ER Ppto'!$10:$10,0),,,"ER Ppto"))</f>
        <v>0</v>
      </c>
      <c r="F66" s="131">
        <f ca="1">IF(E$62=0, 0, E66/$E$62)</f>
        <v>0</v>
      </c>
      <c r="G66" s="132">
        <f ca="1">INDIRECT(ADDRESS(MATCH($B$59,'ER AA'!$B:$B,0)+5,MATCH(PROPER(TEXT("01/"&amp;ROUNDUP(MONTH(MES_CIERRE)/3,0)*3-2&amp;"/"&amp;YEAR(MES_CIERRE),"MMMM")),'ER AA'!$10:$10,0),,,"ER AA"))+INDIRECT(ADDRESS(MATCH($B$59,'ER AA'!$B:$B,0)+5,MATCH(PROPER(TEXT("01/"&amp;ROUNDUP(MONTH(MES_CIERRE)/3,0)*3-1&amp;"/"&amp;YEAR(MES_CIERRE),"MMMM")),'ER AA'!$10:$10,0),,,"ER AA"))+INDIRECT(ADDRESS(MATCH($B$59,'ER AA'!$B:$B,0)+5,MATCH(PROPER(TEXT("01/"&amp;ROUNDUP(MONTH(MES_CIERRE)/3,0)*3-0&amp;"/"&amp;YEAR(MES_CIERRE),"MMMM")),'ER AA'!$10:$10,0),,,"ER AA"))</f>
        <v>0</v>
      </c>
      <c r="H66" s="131">
        <f ca="1">IF(G$62=0, 0, G66/$G$62)</f>
        <v>0</v>
      </c>
      <c r="I66" s="133">
        <f ca="1">C66-E66</f>
        <v>0</v>
      </c>
      <c r="J66" s="134" t="str">
        <f ca="1">IF(E66=0,"N.D.",C66/E66-1)</f>
        <v>N.D.</v>
      </c>
      <c r="K66" s="132">
        <f ca="1">C66-G66</f>
        <v>0</v>
      </c>
      <c r="L66" s="131" t="str">
        <f ca="1">IF(G66=0,"N.D.",C66/G66-1)</f>
        <v>N.D.</v>
      </c>
      <c r="N66" s="129" t="s">
        <v>238</v>
      </c>
      <c r="O66" s="132">
        <v>0</v>
      </c>
      <c r="P66" s="131">
        <f>IF(O62=0,"N.D.",O66/O62)</f>
        <v>0</v>
      </c>
      <c r="Q66" s="132">
        <f ca="1">(INDIRECT(ADDRESS(MATCH($B$59,BDPP!$B:$B,0)+9,MATCH(PROPER(TEXT("01/"&amp;ROUNDUP(MONTH(MES_CIERRE)/3,0)*3-2+3&amp;"/"&amp;YEAR(MES_CIERRE),"MMMM")),BDPP!$10:$10,0),,,"BDPP"))+INDIRECT(ADDRESS(MATCH($B$59,BDPP!$B:$B,0)+9,MATCH(PROPER(TEXT("01/"&amp;ROUNDUP(MONTH(MES_CIERRE)/3,0)*3-1+3&amp;"/"&amp;YEAR(MES_CIERRE),"MMMM")),BDPP!$10:$10,0),,,"BDPP"))+INDIRECT(ADDRESS(MATCH($B$59,BDPP!$B:$B,0)+9,MATCH(PROPER(TEXT("01/"&amp;ROUNDUP(MONTH(MES_CIERRE)/3,0)*3-0+3&amp;"/"&amp;YEAR(MES_CIERRE),"MMMM")),BDPP!$10:$10,0),,,"BDPP")))/1000</f>
        <v>0</v>
      </c>
      <c r="R66" s="131">
        <f ca="1">IF(Q$62=0, 0, Q66/$Q$62)</f>
        <v>0</v>
      </c>
      <c r="S66" s="132">
        <f ca="1">INDIRECT(ADDRESS(MATCH($B$59,INDIRECT("'"&amp;IF(MONTH(MES_CIERRE)=12,"ER ACT","ER AA")&amp;"'!$B:$B"),0)+5,MATCH(PROPER(TEXT("01/"&amp;ROUNDUP(MONTH(MES_CIERRE)/3,0)*3-2+3&amp;"/"&amp;YEAR(MES_CIERRE),"MMMM")),'ER AA'!$10:$10,0),,,IF(MONTH(MES_CIERRE)=12,"ER ACT","ER AA")))+INDIRECT(ADDRESS(MATCH($B$59,INDIRECT("'"&amp;IF(MONTH(MES_CIERRE)=12,"ER ACT","ER AA")&amp;"'!$B:$B"),0)+5,MATCH(PROPER(TEXT("01/"&amp;ROUNDUP(MONTH(MES_CIERRE)/3,0)*3-1+3&amp;"/"&amp;YEAR(MES_CIERRE),"MMMM")),'ER AA'!$10:$10,0),,,IF(MONTH(MES_CIERRE)=12,"ER ACT","ER AA")))+INDIRECT(ADDRESS(MATCH($B$59,INDIRECT("'"&amp;IF(MONTH(MES_CIERRE)=12,"ER ACT","ER AA")&amp;"'!$B:$B"),0)+5,MATCH(PROPER(TEXT("01/"&amp;ROUNDUP(MONTH(MES_CIERRE)/3,0)*3-0+3&amp;"/"&amp;YEAR(MES_CIERRE),"MMMM")),'ER AA'!$10:$10,0),,,IF(MONTH(MES_CIERRE)=12,"ER ACT","ER AA")))</f>
        <v>0</v>
      </c>
      <c r="T66" s="131">
        <f ca="1">IF(S$62=0, 0, S66/$G$62)</f>
        <v>0</v>
      </c>
      <c r="U66" s="133">
        <f ca="1">O66-Q66</f>
        <v>0</v>
      </c>
      <c r="V66" s="134" t="str">
        <f ca="1">IF(Q66=0,"N.D.",O66/Q66-1)</f>
        <v>N.D.</v>
      </c>
      <c r="W66" s="132">
        <f ca="1">O66-S66</f>
        <v>0</v>
      </c>
      <c r="X66" s="131" t="str">
        <f ca="1">IF(S66=0,"N.D.",O66/S66-1)</f>
        <v>N.D.</v>
      </c>
    </row>
    <row r="67" spans="1:24" x14ac:dyDescent="0.25">
      <c r="A67" s="235"/>
      <c r="B67" s="129" t="s">
        <v>239</v>
      </c>
      <c r="C67" s="135">
        <f ca="1">INDIRECT(ADDRESS(MATCH($B$59,'ER Act'!$B:$B,0)+6,MATCH(PROPER(TEXT("01/"&amp;ROUNDUP(MONTH(MES_CIERRE)/3,0)*3-2&amp;"/"&amp;YEAR(MES_CIERRE),"MMMM")),'ER Act'!$10:$10,0),,,"ER Act"))+INDIRECT(ADDRESS(MATCH($B$59,'ER Act'!$B:$B,0)+6,MATCH(PROPER(TEXT("01/"&amp;ROUNDUP(MONTH(MES_CIERRE)/3,0)*3-1&amp;"/"&amp;YEAR(MES_CIERRE),"MMMM")),'ER Act'!$10:$10,0),,,"ER Act"))+INDIRECT(ADDRESS(MATCH($B$59,'ER Act'!$B:$B,0)+6,MATCH(PROPER(TEXT("01/"&amp;ROUNDUP(MONTH(MES_CIERRE)/3,0)*3-0&amp;"/"&amp;YEAR(MES_CIERRE),"MMMM")),'ER Act'!$10:$10,0),,,"ER Act"))</f>
        <v>0</v>
      </c>
      <c r="D67" s="146" t="str">
        <f ca="1">IF(C62=0,"N.D.",C67/C62)</f>
        <v>N.D.</v>
      </c>
      <c r="E67" s="135">
        <f ca="1">INDIRECT(ADDRESS(MATCH($B$59,'ER Ppto'!$B:$B,0)+6,MATCH(PROPER(TEXT("01/"&amp;ROUNDUP(MONTH(MES_CIERRE)/3,0)*3-2&amp;"/"&amp;YEAR(MES_CIERRE),"MMMM")),'ER Ppto'!$10:$10,0),,,"ER Ppto"))+INDIRECT(ADDRESS(MATCH($B$59,'ER Ppto'!$B:$B,0)+6,MATCH(PROPER(TEXT("01/"&amp;ROUNDUP(MONTH(MES_CIERRE)/3,0)*3-1&amp;"/"&amp;YEAR(MES_CIERRE),"MMMM")),'ER Ppto'!$10:$10,0),,,"ER Ppto"))+INDIRECT(ADDRESS(MATCH($B$59,'ER Ppto'!$B:$B,0)+6,MATCH(PROPER(TEXT("01/"&amp;ROUNDUP(MONTH(MES_CIERRE)/3,0)*3-0&amp;"/"&amp;YEAR(MES_CIERRE),"MMMM")),'ER Ppto'!$10:$10,0),,,"ER Ppto"))</f>
        <v>0</v>
      </c>
      <c r="F67" s="146">
        <f ca="1">IF(E$62=0, 0, E67/$E$62)</f>
        <v>0</v>
      </c>
      <c r="G67" s="135">
        <f ca="1">INDIRECT(ADDRESS(MATCH($B$59,'ER AA'!$B:$B,0)+6,MATCH(PROPER(TEXT("01/"&amp;ROUNDUP(MONTH(MES_CIERRE)/3,0)*3-2&amp;"/"&amp;YEAR(MES_CIERRE),"MMMM")),'ER AA'!$10:$10,0),,,"ER AA"))+INDIRECT(ADDRESS(MATCH($B$59,'ER AA'!$B:$B,0)+6,MATCH(PROPER(TEXT("01/"&amp;ROUNDUP(MONTH(MES_CIERRE)/3,0)*3-1&amp;"/"&amp;YEAR(MES_CIERRE),"MMMM")),'ER AA'!$10:$10,0),,,"ER AA"))+INDIRECT(ADDRESS(MATCH($B$59,'ER AA'!$B:$B,0)+6,MATCH(PROPER(TEXT("01/"&amp;ROUNDUP(MONTH(MES_CIERRE)/3,0)*3-0&amp;"/"&amp;YEAR(MES_CIERRE),"MMMM")),'ER AA'!$10:$10,0),,,"ER AA"))</f>
        <v>383.83899999999994</v>
      </c>
      <c r="H67" s="146">
        <f ca="1">IF(G$62=0, 0, G67/$G$62)</f>
        <v>6.9282091695043929E-2</v>
      </c>
      <c r="I67" s="137">
        <f ca="1">C67-E67</f>
        <v>0</v>
      </c>
      <c r="J67" s="138" t="str">
        <f ca="1">IF(E67=0,"N.D.",C67/E67-1)</f>
        <v>N.D.</v>
      </c>
      <c r="K67" s="135">
        <f ca="1">C67-G67</f>
        <v>-383.83899999999994</v>
      </c>
      <c r="L67" s="146">
        <f ca="1">IF(G67=0,"N.D.",C67/G67-1)</f>
        <v>-1</v>
      </c>
      <c r="N67" s="129" t="s">
        <v>239</v>
      </c>
      <c r="O67" s="135">
        <v>299</v>
      </c>
      <c r="P67" s="146">
        <f>IF(O62=0,"N.D.",O67/O62)</f>
        <v>5.8696505692972127E-2</v>
      </c>
      <c r="Q67" s="135">
        <f ca="1">(INDIRECT(ADDRESS(MATCH($B$59,BDPP!$B:$B,0)+10,MATCH(PROPER(TEXT("01/"&amp;ROUNDUP(MONTH(MES_CIERRE)/3,0)*3-2+3&amp;"/"&amp;YEAR(MES_CIERRE),"MMMM")),BDPP!$10:$10,0),,,"BDPP"))+INDIRECT(ADDRESS(MATCH($B$59,BDPP!$B:$B,0)+10,MATCH(PROPER(TEXT("01/"&amp;ROUNDUP(MONTH(MES_CIERRE)/3,0)*3-1+3&amp;"/"&amp;YEAR(MES_CIERRE),"MMMM")),BDPP!$10:$10,0),,,"BDPP"))+INDIRECT(ADDRESS(MATCH($B$59,BDPP!$B:$B,0)+10,MATCH(PROPER(TEXT("01/"&amp;ROUNDUP(MONTH(MES_CIERRE)/3,0)*3-0+3&amp;"/"&amp;YEAR(MES_CIERRE),"MMMM")),BDPP!$10:$10,0),,,"BDPP")))/1000</f>
        <v>369.65</v>
      </c>
      <c r="R67" s="146">
        <f ca="1">IF(Q$62=0, 0, Q67/$Q$62)</f>
        <v>0.12394712841009682</v>
      </c>
      <c r="S67" s="135">
        <f ca="1">INDIRECT(ADDRESS(MATCH($B$59,INDIRECT("'"&amp;IF(MONTH(MES_CIERRE)=12,"ER ACT","ER AA")&amp;"'!$B:$B"),0)+6,MATCH(PROPER(TEXT("01/"&amp;ROUNDUP(MONTH(MES_CIERRE)/3,0)*3-2+3&amp;"/"&amp;YEAR(MES_CIERRE),"MMMM")),'ER AA'!$10:$10,0),,,IF(MONTH(MES_CIERRE)=12,"ER ACT","ER AA")))+INDIRECT(ADDRESS(MATCH($B$59,INDIRECT("'"&amp;IF(MONTH(MES_CIERRE)=12,"ER ACT","ER AA")&amp;"'!$B:$B"),0)+6,MATCH(PROPER(TEXT("01/"&amp;ROUNDUP(MONTH(MES_CIERRE)/3,0)*3-1+3&amp;"/"&amp;YEAR(MES_CIERRE),"MMMM")),'ER AA'!$10:$10,0),,,IF(MONTH(MES_CIERRE)=12,"ER ACT","ER AA")))+INDIRECT(ADDRESS(MATCH($B$59,INDIRECT("'"&amp;IF(MONTH(MES_CIERRE)=12,"ER ACT","ER AA")&amp;"'!$B:$B"),0)+6,MATCH(PROPER(TEXT("01/"&amp;ROUNDUP(MONTH(MES_CIERRE)/3,0)*3-0+3&amp;"/"&amp;YEAR(MES_CIERRE),"MMMM")),'ER AA'!$10:$10,0),,,IF(MONTH(MES_CIERRE)=12,"ER ACT","ER AA")))</f>
        <v>407.52699999999993</v>
      </c>
      <c r="T67" s="146">
        <f ca="1">IF(S$62=0, 0, S67/$G$62)</f>
        <v>7.3557723374139058E-2</v>
      </c>
      <c r="U67" s="137">
        <f ca="1">O67-Q67</f>
        <v>-70.649999999999977</v>
      </c>
      <c r="V67" s="138">
        <f ca="1">IF(Q67=0,"N.D.",O67/Q67-1)</f>
        <v>-0.19112674151224129</v>
      </c>
      <c r="W67" s="135">
        <f ca="1">O67-S67</f>
        <v>-108.52699999999993</v>
      </c>
      <c r="X67" s="146">
        <f ca="1">IF(S67=0,"N.D.",O67/S67-1)</f>
        <v>-0.26630628154698943</v>
      </c>
    </row>
    <row r="68" spans="1:24" x14ac:dyDescent="0.25">
      <c r="A68" s="235"/>
      <c r="B68" s="129" t="s">
        <v>240</v>
      </c>
      <c r="C68" s="147">
        <f ca="1">INDIRECT(ADDRESS(MATCH($B$59,'ER Act'!$B:$B,0)+7,MATCH(PROPER(TEXT("01/"&amp;ROUNDUP(MONTH(MES_CIERRE)/3,0)*3-2&amp;"/"&amp;YEAR(MES_CIERRE),"MMMM")),'ER Act'!$10:$10,0),,,"ER Act"))+INDIRECT(ADDRESS(MATCH($B$59,'ER Act'!$B:$B,0)+7,MATCH(PROPER(TEXT("01/"&amp;ROUNDUP(MONTH(MES_CIERRE)/3,0)*3-1&amp;"/"&amp;YEAR(MES_CIERRE),"MMMM")),'ER Act'!$10:$10,0),,,"ER Act"))+INDIRECT(ADDRESS(MATCH($B$59,'ER Act'!$B:$B,0)+7,MATCH(PROPER(TEXT("01/"&amp;ROUNDUP(MONTH(MES_CIERRE)/3,0)*3-0&amp;"/"&amp;YEAR(MES_CIERRE),"MMMM")),'ER Act'!$10:$10,0),,,"ER Act"))</f>
        <v>0</v>
      </c>
      <c r="D68" s="136" t="str">
        <f ca="1">IF(C62=0,"N.D.",C68/C62)</f>
        <v>N.D.</v>
      </c>
      <c r="E68" s="147">
        <f ca="1">INDIRECT(ADDRESS(MATCH($B$59,'ER Ppto'!$B:$B,0)+7,MATCH(PROPER(TEXT("01/"&amp;ROUNDUP(MONTH(MES_CIERRE)/3,0)*3-2&amp;"/"&amp;YEAR(MES_CIERRE),"MMMM")),'ER Ppto'!$10:$10,0),,,"ER Ppto"))+INDIRECT(ADDRESS(MATCH($B$59,'ER Ppto'!$B:$B,0)+7,MATCH(PROPER(TEXT("01/"&amp;ROUNDUP(MONTH(MES_CIERRE)/3,0)*3-1&amp;"/"&amp;YEAR(MES_CIERRE),"MMMM")),'ER Ppto'!$10:$10,0),,,"ER Ppto"))+INDIRECT(ADDRESS(MATCH($B$59,'ER Ppto'!$B:$B,0)+7,MATCH(PROPER(TEXT("01/"&amp;ROUNDUP(MONTH(MES_CIERRE)/3,0)*3-0&amp;"/"&amp;YEAR(MES_CIERRE),"MMMM")),'ER Ppto'!$10:$10,0),,,"ER Ppto"))</f>
        <v>0</v>
      </c>
      <c r="F68" s="136">
        <f ca="1">IF(E$62=0, 0, E68/$E$62)</f>
        <v>0</v>
      </c>
      <c r="G68" s="147">
        <f ca="1">INDIRECT(ADDRESS(MATCH($B$59,'ER AA'!$B:$B,0)+7,MATCH(PROPER(TEXT("01/"&amp;ROUNDUP(MONTH(MES_CIERRE)/3,0)*3-2&amp;"/"&amp;YEAR(MES_CIERRE),"MMMM")),'ER AA'!$10:$10,0),,,"ER AA"))+INDIRECT(ADDRESS(MATCH($B$59,'ER AA'!$B:$B,0)+7,MATCH(PROPER(TEXT("01/"&amp;ROUNDUP(MONTH(MES_CIERRE)/3,0)*3-1&amp;"/"&amp;YEAR(MES_CIERRE),"MMMM")),'ER AA'!$10:$10,0),,,"ER AA"))+INDIRECT(ADDRESS(MATCH($B$59,'ER AA'!$B:$B,0)+7,MATCH(PROPER(TEXT("01/"&amp;ROUNDUP(MONTH(MES_CIERRE)/3,0)*3-0&amp;"/"&amp;YEAR(MES_CIERRE),"MMMM")),'ER AA'!$10:$10,0),,,"ER AA"))</f>
        <v>48.177999999999997</v>
      </c>
      <c r="H68" s="136">
        <f ca="1">IF(G$62=0, 0, G68/$G$62)</f>
        <v>8.6960225867716064E-3</v>
      </c>
      <c r="I68" s="137">
        <f ca="1">C68-E68</f>
        <v>0</v>
      </c>
      <c r="J68" s="138" t="str">
        <f ca="1">IF(E68=0,"N.D.",C68/E68-1)</f>
        <v>N.D.</v>
      </c>
      <c r="K68" s="147">
        <f ca="1">C68-G68</f>
        <v>-48.177999999999997</v>
      </c>
      <c r="L68" s="136">
        <f ca="1">IF(G68=0,"N.D.",C68/G68-1)</f>
        <v>-1</v>
      </c>
      <c r="N68" s="129" t="s">
        <v>240</v>
      </c>
      <c r="O68" s="147">
        <v>72</v>
      </c>
      <c r="P68" s="136">
        <f>IF(O62=0,"N.D.",O68/O62)</f>
        <v>1.4134275618374558E-2</v>
      </c>
      <c r="Q68" s="147">
        <f ca="1">(INDIRECT(ADDRESS(MATCH($B$59,BDPP!$B:$B,0)+11,MATCH(PROPER(TEXT("01/"&amp;ROUNDUP(MONTH(MES_CIERRE)/3,0)*3-2+3&amp;"/"&amp;YEAR(MES_CIERRE),"MMMM")),BDPP!$10:$10,0),,,"BDPP"))+INDIRECT(ADDRESS(MATCH($B$59,BDPP!$B:$B,0)+11,MATCH(PROPER(TEXT("01/"&amp;ROUNDUP(MONTH(MES_CIERRE)/3,0)*3-1+3&amp;"/"&amp;YEAR(MES_CIERRE),"MMMM")),BDPP!$10:$10,0),,,"BDPP"))+INDIRECT(ADDRESS(MATCH($B$59,BDPP!$B:$B,0)+11,MATCH(PROPER(TEXT("01/"&amp;ROUNDUP(MONTH(MES_CIERRE)/3,0)*3-0+3&amp;"/"&amp;YEAR(MES_CIERRE),"MMMM")),BDPP!$10:$10,0),,,"BDPP")))/1000</f>
        <v>72.900000000000006</v>
      </c>
      <c r="R68" s="136">
        <f ca="1">IF(Q$62=0, 0, Q68/$Q$62)</f>
        <v>2.4444056975777249E-2</v>
      </c>
      <c r="S68" s="147">
        <f ca="1">INDIRECT(ADDRESS(MATCH($B$59,INDIRECT("'"&amp;IF(MONTH(MES_CIERRE)=12,"ER ACT","ER AA")&amp;"'!$B:$B"),0)+7,MATCH(PROPER(TEXT("01/"&amp;ROUNDUP(MONTH(MES_CIERRE)/3,0)*3-2+3&amp;"/"&amp;YEAR(MES_CIERRE),"MMMM")),'ER AA'!$10:$10,0),,,IF(MONTH(MES_CIERRE)=12,"ER ACT","ER AA")))+INDIRECT(ADDRESS(MATCH($B$59,INDIRECT("'"&amp;IF(MONTH(MES_CIERRE)=12,"ER ACT","ER AA")&amp;"'!$B:$B"),0)+7,MATCH(PROPER(TEXT("01/"&amp;ROUNDUP(MONTH(MES_CIERRE)/3,0)*3-1+3&amp;"/"&amp;YEAR(MES_CIERRE),"MMMM")),'ER AA'!$10:$10,0),,,IF(MONTH(MES_CIERRE)=12,"ER ACT","ER AA")))+INDIRECT(ADDRESS(MATCH($B$59,INDIRECT("'"&amp;IF(MONTH(MES_CIERRE)=12,"ER ACT","ER AA")&amp;"'!$B:$B"),0)+7,MATCH(PROPER(TEXT("01/"&amp;ROUNDUP(MONTH(MES_CIERRE)/3,0)*3-0+3&amp;"/"&amp;YEAR(MES_CIERRE),"MMMM")),'ER AA'!$10:$10,0),,,IF(MONTH(MES_CIERRE)=12,"ER ACT","ER AA")))</f>
        <v>72.266999999999996</v>
      </c>
      <c r="T68" s="136">
        <f ca="1">IF(S$62=0, 0, S68/$G$62)</f>
        <v>1.3044033880157409E-2</v>
      </c>
      <c r="U68" s="137">
        <f ca="1">O68-Q68</f>
        <v>-0.90000000000000568</v>
      </c>
      <c r="V68" s="138">
        <f ca="1">IF(Q68=0,"N.D.",O68/Q68-1)</f>
        <v>-1.2345679012345734E-2</v>
      </c>
      <c r="W68" s="147">
        <f ca="1">O68-S68</f>
        <v>-0.26699999999999591</v>
      </c>
      <c r="X68" s="136">
        <f ca="1">IF(S68=0,"N.D.",O68/S68-1)</f>
        <v>-3.6946324048320323E-3</v>
      </c>
    </row>
    <row r="69" spans="1:24" ht="13" x14ac:dyDescent="0.3">
      <c r="A69" s="235"/>
      <c r="B69" s="139" t="s">
        <v>241</v>
      </c>
      <c r="C69" s="142">
        <f ca="1">+C66+C67+C68</f>
        <v>0</v>
      </c>
      <c r="D69" s="141" t="str">
        <f ca="1">IF(C62=0,"N.D.",C69/C62)</f>
        <v>N.D.</v>
      </c>
      <c r="E69" s="142">
        <f ca="1">+E66+E67+E68</f>
        <v>0</v>
      </c>
      <c r="F69" s="141">
        <f ca="1">IF(E$62=0, 0, E69/$E$62)</f>
        <v>0</v>
      </c>
      <c r="G69" s="142">
        <f ca="1">+G66+G67+G68</f>
        <v>432.01699999999994</v>
      </c>
      <c r="H69" s="141">
        <f ca="1">IF(G$62=0, 0, G69/$G$62)</f>
        <v>7.797811428181553E-2</v>
      </c>
      <c r="I69" s="143">
        <f ca="1">C69-E69</f>
        <v>0</v>
      </c>
      <c r="J69" s="144" t="str">
        <f ca="1">IF(E69=0,"N.D.",C69/E69-1)</f>
        <v>N.D.</v>
      </c>
      <c r="K69" s="142">
        <f ca="1">C69-G69</f>
        <v>-432.01699999999994</v>
      </c>
      <c r="L69" s="141">
        <f ca="1">IF(G69=0,"N.D.",C69/G69-1)</f>
        <v>-1</v>
      </c>
      <c r="N69" s="139" t="s">
        <v>241</v>
      </c>
      <c r="O69" s="142">
        <f>+O66+O67+O68</f>
        <v>371</v>
      </c>
      <c r="P69" s="141">
        <f>IF(O62=0,"N.D.",O69/O62)</f>
        <v>7.2830781311346682E-2</v>
      </c>
      <c r="Q69" s="142">
        <f ca="1">+Q66+Q67+Q68</f>
        <v>442.54999999999995</v>
      </c>
      <c r="R69" s="141">
        <f ca="1">IF(Q$62=0, 0, Q69/$Q$62)</f>
        <v>0.14839118538587406</v>
      </c>
      <c r="S69" s="142">
        <f ca="1">+S66+S67+S68</f>
        <v>479.79399999999993</v>
      </c>
      <c r="T69" s="141">
        <f ca="1">IF(S$62=0, 0, S69/$G$62)</f>
        <v>8.6601757254296474E-2</v>
      </c>
      <c r="U69" s="143">
        <f ca="1">O69-Q69</f>
        <v>-71.549999999999955</v>
      </c>
      <c r="V69" s="144">
        <f ca="1">IF(Q69=0,"N.D.",O69/Q69-1)</f>
        <v>-0.16167664670658677</v>
      </c>
      <c r="W69" s="142">
        <f ca="1">O69-S69</f>
        <v>-108.79399999999993</v>
      </c>
      <c r="X69" s="141">
        <f ca="1">IF(S69=0,"N.D.",O69/S69-1)</f>
        <v>-0.22675148084386199</v>
      </c>
    </row>
    <row r="70" spans="1:24" ht="13" x14ac:dyDescent="0.3">
      <c r="A70" s="235"/>
      <c r="B70" s="139" t="s">
        <v>242</v>
      </c>
      <c r="C70" s="142">
        <f ca="1">+C64-C69</f>
        <v>0</v>
      </c>
      <c r="D70" s="141" t="str">
        <f ca="1">IF(C62=0,"N.D.",C70/C62)</f>
        <v>N.D.</v>
      </c>
      <c r="E70" s="142">
        <f ca="1">+E64-E69</f>
        <v>0</v>
      </c>
      <c r="F70" s="141">
        <f ca="1">IF(E$62=0, 0, E70/$E$62)</f>
        <v>0</v>
      </c>
      <c r="G70" s="142">
        <f ca="1">+G64-G69</f>
        <v>931.3869999999996</v>
      </c>
      <c r="H70" s="141">
        <f ca="1">IF(G$62=0, 0, G70/$G$62)</f>
        <v>0.16811329629759314</v>
      </c>
      <c r="I70" s="143">
        <f ca="1">C70-E70</f>
        <v>0</v>
      </c>
      <c r="J70" s="144" t="str">
        <f ca="1">IF(E70=0,"N.D.",C70/E70-1)</f>
        <v>N.D.</v>
      </c>
      <c r="K70" s="142">
        <f ca="1">C70-G70</f>
        <v>-931.3869999999996</v>
      </c>
      <c r="L70" s="141">
        <f ca="1">IF(G70=0,"N.D.",C70/G70-1)</f>
        <v>-1</v>
      </c>
      <c r="N70" s="139" t="s">
        <v>242</v>
      </c>
      <c r="O70" s="142">
        <f>+O64-O69</f>
        <v>1157</v>
      </c>
      <c r="P70" s="141">
        <f>IF(O62=0,"N.D.",O70/O62)</f>
        <v>0.22712995681193562</v>
      </c>
      <c r="Q70" s="142">
        <f ca="1">+Q64-Q69</f>
        <v>490.52000000000021</v>
      </c>
      <c r="R70" s="141">
        <f ca="1">IF(Q$62=0, 0, Q70/$Q$62)</f>
        <v>0.16447597843289793</v>
      </c>
      <c r="S70" s="142">
        <f ca="1">+S64-S69</f>
        <v>599.64499999999998</v>
      </c>
      <c r="T70" s="141">
        <f ca="1">IF(S$62=0, 0, S70/$G$62)</f>
        <v>0.10823459803322387</v>
      </c>
      <c r="U70" s="143">
        <f ca="1">O70-Q70</f>
        <v>666.47999999999979</v>
      </c>
      <c r="V70" s="144">
        <f ca="1">IF(Q70=0,"N.D.",O70/Q70-1)</f>
        <v>1.3587213569273415</v>
      </c>
      <c r="W70" s="142">
        <f ca="1">O70-S70</f>
        <v>557.35500000000002</v>
      </c>
      <c r="X70" s="141">
        <f ca="1">IF(S70=0,"N.D.",O70/S70-1)</f>
        <v>0.92947493933910907</v>
      </c>
    </row>
    <row r="71" spans="1:24" x14ac:dyDescent="0.25">
      <c r="A71" s="235"/>
      <c r="B71" s="129"/>
      <c r="C71" s="127"/>
      <c r="D71" s="124"/>
      <c r="E71" s="127"/>
      <c r="F71" s="124"/>
      <c r="G71" s="127"/>
      <c r="H71" s="124"/>
      <c r="I71" s="127"/>
      <c r="J71" s="145"/>
      <c r="K71" s="127"/>
      <c r="L71" s="124"/>
      <c r="N71" s="129"/>
      <c r="O71" s="127"/>
      <c r="P71" s="124"/>
      <c r="Q71" s="127"/>
      <c r="R71" s="124"/>
      <c r="S71" s="127"/>
      <c r="T71" s="124"/>
      <c r="U71" s="127"/>
      <c r="V71" s="145"/>
      <c r="W71" s="127"/>
      <c r="X71" s="124"/>
    </row>
    <row r="72" spans="1:24" x14ac:dyDescent="0.25">
      <c r="A72" s="235"/>
      <c r="B72" s="129" t="s">
        <v>243</v>
      </c>
      <c r="C72" s="132">
        <f ca="1">INDIRECT(ADDRESS(MATCH($B$59,'ER Act'!$B:$B,0)+11,MATCH(PROPER(TEXT("01/"&amp;ROUNDUP(MONTH(MES_CIERRE)/3,0)*3-2&amp;"/"&amp;YEAR(MES_CIERRE),"MMMM")),'ER Act'!$10:$10,0),,,"ER Act"))+INDIRECT(ADDRESS(MATCH($B$59,'ER Act'!$B:$B,0)+11,MATCH(PROPER(TEXT("01/"&amp;ROUNDUP(MONTH(MES_CIERRE)/3,0)*3-1&amp;"/"&amp;YEAR(MES_CIERRE),"MMMM")),'ER Act'!$10:$10,0),,,"ER Act"))+INDIRECT(ADDRESS(MATCH($B$59,'ER Act'!$B:$B,0)+11,MATCH(PROPER(TEXT("01/"&amp;ROUNDUP(MONTH(MES_CIERRE)/3,0)*3-0&amp;"/"&amp;YEAR(MES_CIERRE),"MMMM")),'ER Act'!$10:$10,0),,,"ER Act"))</f>
        <v>0</v>
      </c>
      <c r="D72" s="148" t="str">
        <f ca="1">IF(C62=0,"N.D.",C72/C62)</f>
        <v>N.D.</v>
      </c>
      <c r="E72" s="132">
        <f ca="1">INDIRECT(ADDRESS(MATCH($B$59,'ER Ppto'!$B:$B,0)+11,MATCH(PROPER(TEXT("01/"&amp;ROUNDUP(MONTH(MES_CIERRE)/3,0)*3-2&amp;"/"&amp;YEAR(MES_CIERRE),"MMMM")),'ER Ppto'!$10:$10,0),,,"ER Ppto"))+INDIRECT(ADDRESS(MATCH($B$59,'ER Ppto'!$B:$B,0)+11,MATCH(PROPER(TEXT("01/"&amp;ROUNDUP(MONTH(MES_CIERRE)/3,0)*3-1&amp;"/"&amp;YEAR(MES_CIERRE),"MMMM")),'ER Ppto'!$10:$10,0),,,"ER Ppto"))+INDIRECT(ADDRESS(MATCH($B$59,'ER Ppto'!$B:$B,0)+11,MATCH(PROPER(TEXT("01/"&amp;ROUNDUP(MONTH(MES_CIERRE)/3,0)*3-0&amp;"/"&amp;YEAR(MES_CIERRE),"MMMM")),'ER Ppto'!$10:$10,0),,,"ER Ppto"))</f>
        <v>0</v>
      </c>
      <c r="F72" s="131">
        <f t="shared" ref="F72:F78" ca="1" si="30">IF(E$62=0, 0, E72/$E$62)</f>
        <v>0</v>
      </c>
      <c r="G72" s="132">
        <f ca="1">INDIRECT(ADDRESS(MATCH($B$59,'ER AA'!$B:$B,0)+11,MATCH(PROPER(TEXT("01/"&amp;ROUNDUP(MONTH(MES_CIERRE)/3,0)*3-2&amp;"/"&amp;YEAR(MES_CIERRE),"MMMM")),'ER AA'!$10:$10,0),,,"ER AA"))+INDIRECT(ADDRESS(MATCH($B$59,'ER AA'!$B:$B,0)+11,MATCH(PROPER(TEXT("01/"&amp;ROUNDUP(MONTH(MES_CIERRE)/3,0)*3-1&amp;"/"&amp;YEAR(MES_CIERRE),"MMMM")),'ER AA'!$10:$10,0),,,"ER AA"))+INDIRECT(ADDRESS(MATCH($B$59,'ER AA'!$B:$B,0)+11,MATCH(PROPER(TEXT("01/"&amp;ROUNDUP(MONTH(MES_CIERRE)/3,0)*3-0&amp;"/"&amp;YEAR(MES_CIERRE),"MMMM")),'ER AA'!$10:$10,0),,,"ER AA"))</f>
        <v>-325.53399999999999</v>
      </c>
      <c r="H72" s="131">
        <f t="shared" ref="H72:H78" ca="1" si="31">IF(G$62=0, 0, G72/$G$62)</f>
        <v>-5.875816797629848E-2</v>
      </c>
      <c r="I72" s="133">
        <f t="shared" ref="I72:I78" ca="1" si="32">C72-E72</f>
        <v>0</v>
      </c>
      <c r="J72" s="134" t="str">
        <f t="shared" ref="J72:J78" ca="1" si="33">IF(E72=0,"N.D.",C72/E72-1)</f>
        <v>N.D.</v>
      </c>
      <c r="K72" s="132">
        <f t="shared" ref="K72:K78" ca="1" si="34">C72-G72</f>
        <v>325.53399999999999</v>
      </c>
      <c r="L72" s="131">
        <f t="shared" ref="L72:L78" ca="1" si="35">IF(G72=0,"N.D.",C72/G72-1)</f>
        <v>-1</v>
      </c>
      <c r="N72" s="129" t="s">
        <v>243</v>
      </c>
      <c r="O72" s="132">
        <v>-288</v>
      </c>
      <c r="P72" s="148">
        <f>IF(O62=0,"N.D.",O72/O62)</f>
        <v>-5.6537102473498232E-2</v>
      </c>
      <c r="Q72" s="132">
        <f ca="1">(INDIRECT(ADDRESS(MATCH($B$59,BDPP!$B:$B,0)+14,MATCH(PROPER(TEXT("01/"&amp;ROUNDUP(MONTH(MES_CIERRE)/3,0)*3-2+3&amp;"/"&amp;YEAR(MES_CIERRE),"MMMM")),BDPP!$10:$10,0),,,"BDPP"))+INDIRECT(ADDRESS(MATCH($B$59,BDPP!$B:$B,0)+14,MATCH(PROPER(TEXT("01/"&amp;ROUNDUP(MONTH(MES_CIERRE)/3,0)*3-1+3&amp;"/"&amp;YEAR(MES_CIERRE),"MMMM")),BDPP!$10:$10,0),,,"BDPP"))+INDIRECT(ADDRESS(MATCH($B$59,BDPP!$B:$B,0)+14,MATCH(PROPER(TEXT("01/"&amp;ROUNDUP(MONTH(MES_CIERRE)/3,0)*3-0+3&amp;"/"&amp;YEAR(MES_CIERRE),"MMMM")),BDPP!$10:$10,0),,,"BDPP")))/1000</f>
        <v>54.8</v>
      </c>
      <c r="R72" s="131">
        <f t="shared" ref="R72:R78" ca="1" si="36">IF(Q$62=0, 0, Q72/$Q$62)</f>
        <v>1.8374956409774938E-2</v>
      </c>
      <c r="S72" s="132">
        <f ca="1">INDIRECT(ADDRESS(MATCH($B$59,INDIRECT("'"&amp;IF(MONTH(MES_CIERRE)=12,"ER ACT","ER AA")&amp;"'!$B:$B"),0)+11,MATCH(PROPER(TEXT("01/"&amp;ROUNDUP(MONTH(MES_CIERRE)/3,0)*3-2+3&amp;"/"&amp;YEAR(MES_CIERRE),"MMMM")),'ER AA'!$10:$10,0),,,IF(MONTH(MES_CIERRE)=12,"ER ACT","ER AA")))+INDIRECT(ADDRESS(MATCH($B$59,INDIRECT("'"&amp;IF(MONTH(MES_CIERRE)=12,"ER ACT","ER AA")&amp;"'!$B:$B"),0)+11,MATCH(PROPER(TEXT("01/"&amp;ROUNDUP(MONTH(MES_CIERRE)/3,0)*3-1+3&amp;"/"&amp;YEAR(MES_CIERRE),"MMMM")),'ER AA'!$10:$10,0),,,IF(MONTH(MES_CIERRE)=12,"ER ACT","ER AA")))+INDIRECT(ADDRESS(MATCH($B$59,INDIRECT("'"&amp;IF(MONTH(MES_CIERRE)=12,"ER ACT","ER AA")&amp;"'!$B:$B"),0)+11,MATCH(PROPER(TEXT("01/"&amp;ROUNDUP(MONTH(MES_CIERRE)/3,0)*3-0+3&amp;"/"&amp;YEAR(MES_CIERRE),"MMMM")),'ER AA'!$10:$10,0),,,IF(MONTH(MES_CIERRE)=12,"ER ACT","ER AA")))</f>
        <v>255.18799999999999</v>
      </c>
      <c r="T72" s="131">
        <f t="shared" ref="T72:T78" ca="1" si="37">IF(S$62=0, 0, S72/$G$62)</f>
        <v>4.6060870353129488E-2</v>
      </c>
      <c r="U72" s="133">
        <f t="shared" ref="U72:U78" ca="1" si="38">O72-Q72</f>
        <v>-342.8</v>
      </c>
      <c r="V72" s="134">
        <f t="shared" ref="V72:V78" ca="1" si="39">IF(Q72=0,"N.D.",O72/Q72-1)</f>
        <v>-6.2554744525547452</v>
      </c>
      <c r="W72" s="132">
        <f t="shared" ref="W72:W78" ca="1" si="40">O72-S72</f>
        <v>-543.18799999999999</v>
      </c>
      <c r="X72" s="131">
        <f t="shared" ref="X72:X78" ca="1" si="41">IF(S72=0,"N.D.",O72/S72-1)</f>
        <v>-2.1285797137796449</v>
      </c>
    </row>
    <row r="73" spans="1:24" x14ac:dyDescent="0.25">
      <c r="A73" s="235"/>
      <c r="B73" s="129" t="s">
        <v>244</v>
      </c>
      <c r="C73" s="135">
        <f ca="1">INDIRECT(ADDRESS(MATCH($B$59,'ER Act'!$B:$B,0)+12,MATCH(PROPER(TEXT("01/"&amp;ROUNDUP(MONTH(MES_CIERRE)/3,0)*3-2&amp;"/"&amp;YEAR(MES_CIERRE),"MMMM")),'ER Act'!$10:$10,0),,,"ER Act"))+INDIRECT(ADDRESS(MATCH($B$59,'ER Act'!$B:$B,0)+12,MATCH(PROPER(TEXT("01/"&amp;ROUNDUP(MONTH(MES_CIERRE)/3,0)*3-1&amp;"/"&amp;YEAR(MES_CIERRE),"MMMM")),'ER Act'!$10:$10,0),,,"ER Act"))+INDIRECT(ADDRESS(MATCH($B$59,'ER Act'!$B:$B,0)+12,MATCH(PROPER(TEXT("01/"&amp;ROUNDUP(MONTH(MES_CIERRE)/3,0)*3-0&amp;"/"&amp;YEAR(MES_CIERRE),"MMMM")),'ER Act'!$10:$10,0),,,"ER Act"))</f>
        <v>0</v>
      </c>
      <c r="D73" s="149" t="str">
        <f ca="1">IF(C62=0,"N.D.",C73/C62)</f>
        <v>N.D.</v>
      </c>
      <c r="E73" s="135">
        <f ca="1">INDIRECT(ADDRESS(MATCH($B$59,'ER Ppto'!$B:$B,0)+12,MATCH(PROPER(TEXT("01/"&amp;ROUNDUP(MONTH(MES_CIERRE)/3,0)*3-2&amp;"/"&amp;YEAR(MES_CIERRE),"MMMM")),'ER Ppto'!$10:$10,0),,,"ER Ppto"))+INDIRECT(ADDRESS(MATCH($B$59,'ER Ppto'!$B:$B,0)+12,MATCH(PROPER(TEXT("01/"&amp;ROUNDUP(MONTH(MES_CIERRE)/3,0)*3-1&amp;"/"&amp;YEAR(MES_CIERRE),"MMMM")),'ER Ppto'!$10:$10,0),,,"ER Ppto"))+INDIRECT(ADDRESS(MATCH($B$59,'ER Ppto'!$B:$B,0)+12,MATCH(PROPER(TEXT("01/"&amp;ROUNDUP(MONTH(MES_CIERRE)/3,0)*3-0&amp;"/"&amp;YEAR(MES_CIERRE),"MMMM")),'ER Ppto'!$10:$10,0),,,"ER Ppto"))</f>
        <v>0</v>
      </c>
      <c r="F73" s="146">
        <f t="shared" ca="1" si="30"/>
        <v>0</v>
      </c>
      <c r="G73" s="135">
        <f ca="1">INDIRECT(ADDRESS(MATCH($B$59,'ER AA'!$B:$B,0)+12,MATCH(PROPER(TEXT("01/"&amp;ROUNDUP(MONTH(MES_CIERRE)/3,0)*3-2&amp;"/"&amp;YEAR(MES_CIERRE),"MMMM")),'ER AA'!$10:$10,0),,,"ER AA"))+INDIRECT(ADDRESS(MATCH($B$59,'ER AA'!$B:$B,0)+12,MATCH(PROPER(TEXT("01/"&amp;ROUNDUP(MONTH(MES_CIERRE)/3,0)*3-1&amp;"/"&amp;YEAR(MES_CIERRE),"MMMM")),'ER AA'!$10:$10,0),,,"ER AA"))+INDIRECT(ADDRESS(MATCH($B$59,'ER AA'!$B:$B,0)+12,MATCH(PROPER(TEXT("01/"&amp;ROUNDUP(MONTH(MES_CIERRE)/3,0)*3-0&amp;"/"&amp;YEAR(MES_CIERRE),"MMMM")),'ER AA'!$10:$10,0),,,"ER AA"))</f>
        <v>0</v>
      </c>
      <c r="H73" s="146">
        <f t="shared" ca="1" si="31"/>
        <v>0</v>
      </c>
      <c r="I73" s="137">
        <f t="shared" ca="1" si="32"/>
        <v>0</v>
      </c>
      <c r="J73" s="138" t="str">
        <f t="shared" ca="1" si="33"/>
        <v>N.D.</v>
      </c>
      <c r="K73" s="135">
        <f t="shared" ca="1" si="34"/>
        <v>0</v>
      </c>
      <c r="L73" s="146" t="str">
        <f t="shared" ca="1" si="35"/>
        <v>N.D.</v>
      </c>
      <c r="N73" s="129" t="s">
        <v>244</v>
      </c>
      <c r="O73" s="135">
        <v>0</v>
      </c>
      <c r="P73" s="149">
        <f>IF(O62=0,"N.D.",O73/O62)</f>
        <v>0</v>
      </c>
      <c r="Q73" s="135">
        <f ca="1">(INDIRECT(ADDRESS(MATCH($B$59,BDPP!$B:$B,0)+15,MATCH(PROPER(TEXT("01/"&amp;ROUNDUP(MONTH(MES_CIERRE)/3,0)*3-2+3&amp;"/"&amp;YEAR(MES_CIERRE),"MMMM")),BDPP!$10:$10,0),,,"BDPP"))+INDIRECT(ADDRESS(MATCH($B$59,BDPP!$B:$B,0)+15,MATCH(PROPER(TEXT("01/"&amp;ROUNDUP(MONTH(MES_CIERRE)/3,0)*3-1+3&amp;"/"&amp;YEAR(MES_CIERRE),"MMMM")),BDPP!$10:$10,0),,,"BDPP"))+INDIRECT(ADDRESS(MATCH($B$59,BDPP!$B:$B,0)+15,MATCH(PROPER(TEXT("01/"&amp;ROUNDUP(MONTH(MES_CIERRE)/3,0)*3-0+3&amp;"/"&amp;YEAR(MES_CIERRE),"MMMM")),BDPP!$10:$10,0),,,"BDPP")))/1000</f>
        <v>115.20399999999999</v>
      </c>
      <c r="R73" s="146">
        <f t="shared" ca="1" si="36"/>
        <v>3.8628986829045836E-2</v>
      </c>
      <c r="S73" s="135">
        <f ca="1">INDIRECT(ADDRESS(MATCH($B$59,INDIRECT("'"&amp;IF(MONTH(MES_CIERRE)=12,"ER ACT","ER AA")&amp;"'!$B:$B"),0)+12,MATCH(PROPER(TEXT("01/"&amp;ROUNDUP(MONTH(MES_CIERRE)/3,0)*3-2+3&amp;"/"&amp;YEAR(MES_CIERRE),"MMMM")),'ER AA'!$10:$10,0),,,IF(MONTH(MES_CIERRE)=12,"ER ACT","ER AA")))+INDIRECT(ADDRESS(MATCH($B$59,INDIRECT("'"&amp;IF(MONTH(MES_CIERRE)=12,"ER ACT","ER AA")&amp;"'!$B:$B"),0)+12,MATCH(PROPER(TEXT("01/"&amp;ROUNDUP(MONTH(MES_CIERRE)/3,0)*3-1+3&amp;"/"&amp;YEAR(MES_CIERRE),"MMMM")),'ER AA'!$10:$10,0),,,IF(MONTH(MES_CIERRE)=12,"ER ACT","ER AA")))+INDIRECT(ADDRESS(MATCH($B$59,INDIRECT("'"&amp;IF(MONTH(MES_CIERRE)=12,"ER ACT","ER AA")&amp;"'!$B:$B"),0)+12,MATCH(PROPER(TEXT("01/"&amp;ROUNDUP(MONTH(MES_CIERRE)/3,0)*3-0+3&amp;"/"&amp;YEAR(MES_CIERRE),"MMMM")),'ER AA'!$10:$10,0),,,IF(MONTH(MES_CIERRE)=12,"ER ACT","ER AA")))</f>
        <v>0</v>
      </c>
      <c r="T73" s="146">
        <f t="shared" ca="1" si="37"/>
        <v>0</v>
      </c>
      <c r="U73" s="137">
        <f t="shared" ca="1" si="38"/>
        <v>-115.20399999999999</v>
      </c>
      <c r="V73" s="138">
        <f t="shared" ca="1" si="39"/>
        <v>-1</v>
      </c>
      <c r="W73" s="135">
        <f t="shared" ca="1" si="40"/>
        <v>0</v>
      </c>
      <c r="X73" s="146" t="str">
        <f t="shared" ca="1" si="41"/>
        <v>N.D.</v>
      </c>
    </row>
    <row r="74" spans="1:24" x14ac:dyDescent="0.25">
      <c r="A74" s="235"/>
      <c r="B74" s="129" t="s">
        <v>245</v>
      </c>
      <c r="C74" s="135">
        <f ca="1">INDIRECT(ADDRESS(MATCH($B$59,'ER Act'!$B:$B,0)+13,MATCH(PROPER(TEXT("01/"&amp;ROUNDUP(MONTH(MES_CIERRE)/3,0)*3-2&amp;"/"&amp;YEAR(MES_CIERRE),"MMMM")),'ER Act'!$10:$10,0),,,"ER Act"))+INDIRECT(ADDRESS(MATCH($B$59,'ER Act'!$B:$B,0)+13,MATCH(PROPER(TEXT("01/"&amp;ROUNDUP(MONTH(MES_CIERRE)/3,0)*3-1&amp;"/"&amp;YEAR(MES_CIERRE),"MMMM")),'ER Act'!$10:$10,0),,,"ER Act"))+INDIRECT(ADDRESS(MATCH($B$59,'ER Act'!$B:$B,0)+13,MATCH(PROPER(TEXT("01/"&amp;ROUNDUP(MONTH(MES_CIERRE)/3,0)*3-0&amp;"/"&amp;YEAR(MES_CIERRE),"MMMM")),'ER Act'!$10:$10,0),,,"ER Act"))</f>
        <v>0</v>
      </c>
      <c r="D74" s="149" t="str">
        <f ca="1">IF(C62=0,"N.D.",C74/C62)</f>
        <v>N.D.</v>
      </c>
      <c r="E74" s="135">
        <f ca="1">INDIRECT(ADDRESS(MATCH($B$59,'ER Ppto'!$B:$B,0)+13,MATCH(PROPER(TEXT("01/"&amp;ROUNDUP(MONTH(MES_CIERRE)/3,0)*3-2&amp;"/"&amp;YEAR(MES_CIERRE),"MMMM")),'ER Ppto'!$10:$10,0),,,"ER Ppto"))+INDIRECT(ADDRESS(MATCH($B$59,'ER Ppto'!$B:$B,0)+13,MATCH(PROPER(TEXT("01/"&amp;ROUNDUP(MONTH(MES_CIERRE)/3,0)*3-1&amp;"/"&amp;YEAR(MES_CIERRE),"MMMM")),'ER Ppto'!$10:$10,0),,,"ER Ppto"))+INDIRECT(ADDRESS(MATCH($B$59,'ER Ppto'!$B:$B,0)+13,MATCH(PROPER(TEXT("01/"&amp;ROUNDUP(MONTH(MES_CIERRE)/3,0)*3-0&amp;"/"&amp;YEAR(MES_CIERRE),"MMMM")),'ER Ppto'!$10:$10,0),,,"ER Ppto"))</f>
        <v>0</v>
      </c>
      <c r="F74" s="146">
        <f t="shared" ca="1" si="30"/>
        <v>0</v>
      </c>
      <c r="G74" s="135">
        <f ca="1">INDIRECT(ADDRESS(MATCH($B$59,'ER AA'!$B:$B,0)+13,MATCH(PROPER(TEXT("01/"&amp;ROUNDUP(MONTH(MES_CIERRE)/3,0)*3-2&amp;"/"&amp;YEAR(MES_CIERRE),"MMMM")),'ER AA'!$10:$10,0),,,"ER AA"))+INDIRECT(ADDRESS(MATCH($B$59,'ER AA'!$B:$B,0)+13,MATCH(PROPER(TEXT("01/"&amp;ROUNDUP(MONTH(MES_CIERRE)/3,0)*3-1&amp;"/"&amp;YEAR(MES_CIERRE),"MMMM")),'ER AA'!$10:$10,0),,,"ER AA"))+INDIRECT(ADDRESS(MATCH($B$59,'ER AA'!$B:$B,0)+13,MATCH(PROPER(TEXT("01/"&amp;ROUNDUP(MONTH(MES_CIERRE)/3,0)*3-0&amp;"/"&amp;YEAR(MES_CIERRE),"MMMM")),'ER AA'!$10:$10,0),,,"ER AA"))</f>
        <v>109.68099999999998</v>
      </c>
      <c r="H74" s="146">
        <f t="shared" ca="1" si="31"/>
        <v>1.9797178241929853E-2</v>
      </c>
      <c r="I74" s="137">
        <f t="shared" ca="1" si="32"/>
        <v>0</v>
      </c>
      <c r="J74" s="138" t="str">
        <f t="shared" ca="1" si="33"/>
        <v>N.D.</v>
      </c>
      <c r="K74" s="135">
        <f t="shared" ca="1" si="34"/>
        <v>-109.68099999999998</v>
      </c>
      <c r="L74" s="146">
        <f t="shared" ca="1" si="35"/>
        <v>-1</v>
      </c>
      <c r="N74" s="129" t="s">
        <v>245</v>
      </c>
      <c r="O74" s="135">
        <v>90</v>
      </c>
      <c r="P74" s="149">
        <f>IF(O62=0,"N.D.",O74/O62)</f>
        <v>1.7667844522968199E-2</v>
      </c>
      <c r="Q74" s="135">
        <f ca="1">(INDIRECT(ADDRESS(MATCH($B$59,BDPP!$B:$B,0)+16,MATCH(PROPER(TEXT("01/"&amp;ROUNDUP(MONTH(MES_CIERRE)/3,0)*3-2+3&amp;"/"&amp;YEAR(MES_CIERRE),"MMMM")),BDPP!$10:$10,0),,,"BDPP"))+INDIRECT(ADDRESS(MATCH($B$59,BDPP!$B:$B,0)+16,MATCH(PROPER(TEXT("01/"&amp;ROUNDUP(MONTH(MES_CIERRE)/3,0)*3-1+3&amp;"/"&amp;YEAR(MES_CIERRE),"MMMM")),BDPP!$10:$10,0),,,"BDPP"))+INDIRECT(ADDRESS(MATCH($B$59,BDPP!$B:$B,0)+16,MATCH(PROPER(TEXT("01/"&amp;ROUNDUP(MONTH(MES_CIERRE)/3,0)*3-0+3&amp;"/"&amp;YEAR(MES_CIERRE),"MMMM")),BDPP!$10:$10,0),,,"BDPP")))/1000</f>
        <v>115.20399999999999</v>
      </c>
      <c r="R74" s="146">
        <f t="shared" ca="1" si="36"/>
        <v>3.8628986829045836E-2</v>
      </c>
      <c r="S74" s="135">
        <f ca="1">INDIRECT(ADDRESS(MATCH($B$59,INDIRECT("'"&amp;IF(MONTH(MES_CIERRE)=12,"ER ACT","ER AA")&amp;"'!$B:$B"),0)+13,MATCH(PROPER(TEXT("01/"&amp;ROUNDUP(MONTH(MES_CIERRE)/3,0)*3-2+3&amp;"/"&amp;YEAR(MES_CIERRE),"MMMM")),'ER AA'!$10:$10,0),,,IF(MONTH(MES_CIERRE)=12,"ER ACT","ER AA")))+INDIRECT(ADDRESS(MATCH($B$59,INDIRECT("'"&amp;IF(MONTH(MES_CIERRE)=12,"ER ACT","ER AA")&amp;"'!$B:$B"),0)+13,MATCH(PROPER(TEXT("01/"&amp;ROUNDUP(MONTH(MES_CIERRE)/3,0)*3-1+3&amp;"/"&amp;YEAR(MES_CIERRE),"MMMM")),'ER AA'!$10:$10,0),,,IF(MONTH(MES_CIERRE)=12,"ER ACT","ER AA")))+INDIRECT(ADDRESS(MATCH($B$59,INDIRECT("'"&amp;IF(MONTH(MES_CIERRE)=12,"ER ACT","ER AA")&amp;"'!$B:$B"),0)+13,MATCH(PROPER(TEXT("01/"&amp;ROUNDUP(MONTH(MES_CIERRE)/3,0)*3-0+3&amp;"/"&amp;YEAR(MES_CIERRE),"MMMM")),'ER AA'!$10:$10,0),,,IF(MONTH(MES_CIERRE)=12,"ER ACT","ER AA")))</f>
        <v>102.30200000000002</v>
      </c>
      <c r="T74" s="146">
        <f t="shared" ca="1" si="37"/>
        <v>1.8465285040306968E-2</v>
      </c>
      <c r="U74" s="137">
        <f t="shared" ca="1" si="38"/>
        <v>-25.203999999999994</v>
      </c>
      <c r="V74" s="138">
        <f t="shared" ca="1" si="39"/>
        <v>-0.21877712579424324</v>
      </c>
      <c r="W74" s="135">
        <f t="shared" ca="1" si="40"/>
        <v>-12.302000000000021</v>
      </c>
      <c r="X74" s="146">
        <f t="shared" ca="1" si="41"/>
        <v>-0.12025180348380304</v>
      </c>
    </row>
    <row r="75" spans="1:24" x14ac:dyDescent="0.25">
      <c r="A75" s="235"/>
      <c r="B75" s="129" t="s">
        <v>246</v>
      </c>
      <c r="C75" s="135">
        <f ca="1">INDIRECT(ADDRESS(MATCH($B$59,'ER Act'!$B:$B,0)+14,MATCH(PROPER(TEXT("01/"&amp;ROUNDUP(MONTH(MES_CIERRE)/3,0)*3-2&amp;"/"&amp;YEAR(MES_CIERRE),"MMMM")),'ER Act'!$10:$10,0),,,"ER Act"))+INDIRECT(ADDRESS(MATCH($B$59,'ER Act'!$B:$B,0)+14,MATCH(PROPER(TEXT("01/"&amp;ROUNDUP(MONTH(MES_CIERRE)/3,0)*3-1&amp;"/"&amp;YEAR(MES_CIERRE),"MMMM")),'ER Act'!$10:$10,0),,,"ER Act"))+INDIRECT(ADDRESS(MATCH($B$59,'ER Act'!$B:$B,0)+14,MATCH(PROPER(TEXT("01/"&amp;ROUNDUP(MONTH(MES_CIERRE)/3,0)*3-0&amp;"/"&amp;YEAR(MES_CIERRE),"MMMM")),'ER Act'!$10:$10,0),,,"ER Act"))</f>
        <v>0</v>
      </c>
      <c r="D75" s="149" t="str">
        <f ca="1">IF(C62=0,"N.D.",C75/C62)</f>
        <v>N.D.</v>
      </c>
      <c r="E75" s="135">
        <f ca="1">INDIRECT(ADDRESS(MATCH($B$59,'ER Ppto'!$B:$B,0)+14,MATCH(PROPER(TEXT("01/"&amp;ROUNDUP(MONTH(MES_CIERRE)/3,0)*3-2&amp;"/"&amp;YEAR(MES_CIERRE),"MMMM")),'ER Ppto'!$10:$10,0),,,"ER Ppto"))+INDIRECT(ADDRESS(MATCH($B$59,'ER Ppto'!$B:$B,0)+14,MATCH(PROPER(TEXT("01/"&amp;ROUNDUP(MONTH(MES_CIERRE)/3,0)*3-1&amp;"/"&amp;YEAR(MES_CIERRE),"MMMM")),'ER Ppto'!$10:$10,0),,,"ER Ppto"))+INDIRECT(ADDRESS(MATCH($B$59,'ER Ppto'!$B:$B,0)+14,MATCH(PROPER(TEXT("01/"&amp;ROUNDUP(MONTH(MES_CIERRE)/3,0)*3-0&amp;"/"&amp;YEAR(MES_CIERRE),"MMMM")),'ER Ppto'!$10:$10,0),,,"ER Ppto"))</f>
        <v>0</v>
      </c>
      <c r="F75" s="146">
        <f t="shared" ca="1" si="30"/>
        <v>0</v>
      </c>
      <c r="G75" s="135">
        <f ca="1">INDIRECT(ADDRESS(MATCH($B$59,'ER AA'!$B:$B,0)+14,MATCH(PROPER(TEXT("01/"&amp;ROUNDUP(MONTH(MES_CIERRE)/3,0)*3-2&amp;"/"&amp;YEAR(MES_CIERRE),"MMMM")),'ER AA'!$10:$10,0),,,"ER AA"))+INDIRECT(ADDRESS(MATCH($B$59,'ER AA'!$B:$B,0)+14,MATCH(PROPER(TEXT("01/"&amp;ROUNDUP(MONTH(MES_CIERRE)/3,0)*3-1&amp;"/"&amp;YEAR(MES_CIERRE),"MMMM")),'ER AA'!$10:$10,0),,,"ER AA"))+INDIRECT(ADDRESS(MATCH($B$59,'ER AA'!$B:$B,0)+14,MATCH(PROPER(TEXT("01/"&amp;ROUNDUP(MONTH(MES_CIERRE)/3,0)*3-0&amp;"/"&amp;YEAR(MES_CIERRE),"MMMM")),'ER AA'!$10:$10,0),,,"ER AA"))</f>
        <v>0</v>
      </c>
      <c r="H75" s="146">
        <f t="shared" ca="1" si="31"/>
        <v>0</v>
      </c>
      <c r="I75" s="137">
        <f t="shared" ca="1" si="32"/>
        <v>0</v>
      </c>
      <c r="J75" s="138" t="str">
        <f t="shared" ca="1" si="33"/>
        <v>N.D.</v>
      </c>
      <c r="K75" s="135">
        <f t="shared" ca="1" si="34"/>
        <v>0</v>
      </c>
      <c r="L75" s="146" t="str">
        <f t="shared" ca="1" si="35"/>
        <v>N.D.</v>
      </c>
      <c r="N75" s="129" t="s">
        <v>246</v>
      </c>
      <c r="O75" s="135">
        <v>0</v>
      </c>
      <c r="P75" s="149">
        <f>IF(O62=0,"N.D.",O75/O62)</f>
        <v>0</v>
      </c>
      <c r="Q75" s="135">
        <f ca="1">(INDIRECT(ADDRESS(MATCH($B$59,BDPP!$B:$B,0)+17,MATCH(PROPER(TEXT("01/"&amp;ROUNDUP(MONTH(MES_CIERRE)/3,0)*3-2+3&amp;"/"&amp;YEAR(MES_CIERRE),"MMMM")),BDPP!$10:$10,0),,,"BDPP"))+INDIRECT(ADDRESS(MATCH($B$59,BDPP!$B:$B,0)+17,MATCH(PROPER(TEXT("01/"&amp;ROUNDUP(MONTH(MES_CIERRE)/3,0)*3-1+3&amp;"/"&amp;YEAR(MES_CIERRE),"MMMM")),BDPP!$10:$10,0),,,"BDPP"))+INDIRECT(ADDRESS(MATCH($B$59,BDPP!$B:$B,0)+17,MATCH(PROPER(TEXT("01/"&amp;ROUNDUP(MONTH(MES_CIERRE)/3,0)*3-0+3&amp;"/"&amp;YEAR(MES_CIERRE),"MMMM")),BDPP!$10:$10,0),,,"BDPP")))/1000</f>
        <v>69.906000000000006</v>
      </c>
      <c r="R75" s="146">
        <f t="shared" ca="1" si="36"/>
        <v>2.3440140561710347E-2</v>
      </c>
      <c r="S75" s="135">
        <f ca="1">INDIRECT(ADDRESS(MATCH($B$59,INDIRECT("'"&amp;IF(MONTH(MES_CIERRE)=12,"ER ACT","ER AA")&amp;"'!$B:$B"),0)+14,MATCH(PROPER(TEXT("01/"&amp;ROUNDUP(MONTH(MES_CIERRE)/3,0)*3-2+3&amp;"/"&amp;YEAR(MES_CIERRE),"MMMM")),'ER AA'!$10:$10,0),,,IF(MONTH(MES_CIERRE)=12,"ER ACT","ER AA")))+INDIRECT(ADDRESS(MATCH($B$59,INDIRECT("'"&amp;IF(MONTH(MES_CIERRE)=12,"ER ACT","ER AA")&amp;"'!$B:$B"),0)+14,MATCH(PROPER(TEXT("01/"&amp;ROUNDUP(MONTH(MES_CIERRE)/3,0)*3-1+3&amp;"/"&amp;YEAR(MES_CIERRE),"MMMM")),'ER AA'!$10:$10,0),,,IF(MONTH(MES_CIERRE)=12,"ER ACT","ER AA")))+INDIRECT(ADDRESS(MATCH($B$59,INDIRECT("'"&amp;IF(MONTH(MES_CIERRE)=12,"ER ACT","ER AA")&amp;"'!$B:$B"),0)+14,MATCH(PROPER(TEXT("01/"&amp;ROUNDUP(MONTH(MES_CIERRE)/3,0)*3-0+3&amp;"/"&amp;YEAR(MES_CIERRE),"MMMM")),'ER AA'!$10:$10,0),,,IF(MONTH(MES_CIERRE)=12,"ER ACT","ER AA")))</f>
        <v>0</v>
      </c>
      <c r="T75" s="146">
        <f t="shared" ca="1" si="37"/>
        <v>0</v>
      </c>
      <c r="U75" s="137">
        <f t="shared" ca="1" si="38"/>
        <v>-69.906000000000006</v>
      </c>
      <c r="V75" s="138">
        <f t="shared" ca="1" si="39"/>
        <v>-1</v>
      </c>
      <c r="W75" s="135">
        <f t="shared" ca="1" si="40"/>
        <v>0</v>
      </c>
      <c r="X75" s="146" t="str">
        <f t="shared" ca="1" si="41"/>
        <v>N.D.</v>
      </c>
    </row>
    <row r="76" spans="1:24" hidden="1" x14ac:dyDescent="0.25">
      <c r="A76" s="235"/>
      <c r="B76" s="129"/>
      <c r="C76" s="147">
        <f ca="1">INDIRECT(ADDRESS(MATCH($B$59,'ER Act'!$B:$B,0)+15,MATCH(PROPER(TEXT("01/"&amp;ROUNDUP(MONTH(MES_CIERRE)/3,0)*3-2&amp;"/"&amp;YEAR(MES_CIERRE),"MMMM")),'ER Act'!$10:$10,0),,,"ER Act"))+INDIRECT(ADDRESS(MATCH($B$59,'ER Act'!$B:$B,0)+15,MATCH(PROPER(TEXT("01/"&amp;ROUNDUP(MONTH(MES_CIERRE)/3,0)*3-1&amp;"/"&amp;YEAR(MES_CIERRE),"MMMM")),'ER Act'!$10:$10,0),,,"ER Act"))+INDIRECT(ADDRESS(MATCH($B$59,'ER Act'!$B:$B,0)+15,MATCH(PROPER(TEXT("01/"&amp;ROUNDUP(MONTH(MES_CIERRE)/3,0)*3-0&amp;"/"&amp;YEAR(MES_CIERRE),"MMMM")),'ER Act'!$10:$10,0),,,"ER Act"))</f>
        <v>0</v>
      </c>
      <c r="D76" s="150" t="str">
        <f ca="1">IF(C62=0,"N.D.",C76/C62)</f>
        <v>N.D.</v>
      </c>
      <c r="E76" s="147">
        <f ca="1">INDIRECT(ADDRESS(MATCH($B$59,'ER Ppto'!$B:$B,0)+15,MATCH(PROPER(TEXT("01/"&amp;ROUNDUP(MONTH(MES_CIERRE)/3,0)*3-2&amp;"/"&amp;YEAR(MES_CIERRE),"MMMM")),'ER Ppto'!$10:$10,0),,,"ER Ppto"))+INDIRECT(ADDRESS(MATCH($B$59,'ER Ppto'!$B:$B,0)+15,MATCH(PROPER(TEXT("01/"&amp;ROUNDUP(MONTH(MES_CIERRE)/3,0)*3-1&amp;"/"&amp;YEAR(MES_CIERRE),"MMMM")),'ER Ppto'!$10:$10,0),,,"ER Ppto"))+INDIRECT(ADDRESS(MATCH($B$59,'ER Ppto'!$B:$B,0)+15,MATCH(PROPER(TEXT("01/"&amp;ROUNDUP(MONTH(MES_CIERRE)/3,0)*3-0&amp;"/"&amp;YEAR(MES_CIERRE),"MMMM")),'ER Ppto'!$10:$10,0),,,"ER Ppto"))</f>
        <v>0</v>
      </c>
      <c r="F76" s="136">
        <f t="shared" ca="1" si="30"/>
        <v>0</v>
      </c>
      <c r="G76" s="147">
        <f ca="1">INDIRECT(ADDRESS(MATCH($B$59,'ER AA'!$B:$B,0)+15,MATCH(PROPER(TEXT("01/"&amp;ROUNDUP(MONTH(MES_CIERRE)/3,0)*3-2&amp;"/"&amp;YEAR(MES_CIERRE),"MMMM")),'ER AA'!$10:$10,0),,,"ER AA"))+INDIRECT(ADDRESS(MATCH($B$59,'ER AA'!$B:$B,0)+15,MATCH(PROPER(TEXT("01/"&amp;ROUNDUP(MONTH(MES_CIERRE)/3,0)*3-1&amp;"/"&amp;YEAR(MES_CIERRE),"MMMM")),'ER AA'!$10:$10,0),,,"ER AA"))+INDIRECT(ADDRESS(MATCH($B$59,'ER AA'!$B:$B,0)+15,MATCH(PROPER(TEXT("01/"&amp;ROUNDUP(MONTH(MES_CIERRE)/3,0)*3-0&amp;"/"&amp;YEAR(MES_CIERRE),"MMMM")),'ER AA'!$10:$10,0),,,"ER AA"))</f>
        <v>0</v>
      </c>
      <c r="H76" s="136">
        <f t="shared" ca="1" si="31"/>
        <v>0</v>
      </c>
      <c r="I76" s="137">
        <f t="shared" ca="1" si="32"/>
        <v>0</v>
      </c>
      <c r="J76" s="138" t="str">
        <f t="shared" ca="1" si="33"/>
        <v>N.D.</v>
      </c>
      <c r="K76" s="147">
        <f t="shared" ca="1" si="34"/>
        <v>0</v>
      </c>
      <c r="L76" s="136" t="str">
        <f t="shared" ca="1" si="35"/>
        <v>N.D.</v>
      </c>
      <c r="N76" s="129"/>
      <c r="O76" s="147"/>
      <c r="P76" s="150">
        <f>IF(O62=0,"N.D.",O76/O62)</f>
        <v>0</v>
      </c>
      <c r="Q76" s="147">
        <f ca="1">(INDIRECT(ADDRESS(MATCH($B$59,BDPP!$B:$B,0)+18,MATCH(PROPER(TEXT("01/"&amp;ROUNDUP(MONTH(MES_CIERRE)/3,0)*3-2+3&amp;"/"&amp;YEAR(MES_CIERRE),"MMMM")),BDPP!$10:$10,0),,,"BDPP"))+INDIRECT(ADDRESS(MATCH($B$59,BDPP!$B:$B,0)+18,MATCH(PROPER(TEXT("01/"&amp;ROUNDUP(MONTH(MES_CIERRE)/3,0)*3-1+3&amp;"/"&amp;YEAR(MES_CIERRE),"MMMM")),BDPP!$10:$10,0),,,"BDPP"))+INDIRECT(ADDRESS(MATCH($B$59,BDPP!$B:$B,0)+18,MATCH(PROPER(TEXT("01/"&amp;ROUNDUP(MONTH(MES_CIERRE)/3,0)*3-0+3&amp;"/"&amp;YEAR(MES_CIERRE),"MMMM")),BDPP!$10:$10,0),,,"BDPP")))/1000</f>
        <v>0</v>
      </c>
      <c r="R76" s="136">
        <f t="shared" ca="1" si="36"/>
        <v>0</v>
      </c>
      <c r="S76" s="147">
        <f ca="1">INDIRECT(ADDRESS(MATCH($B$59,INDIRECT("'"&amp;IF(MONTH(MES_CIERRE)=12,"ER ACT","ER AA")&amp;"'!$B:$B"),0)+15,MATCH(PROPER(TEXT("01/"&amp;ROUNDUP(MONTH(MES_CIERRE)/3,0)*3-2+3&amp;"/"&amp;YEAR(MES_CIERRE),"MMMM")),'ER AA'!$10:$10,0),,,IF(MONTH(MES_CIERRE)=12,"ER ACT","ER AA")))+INDIRECT(ADDRESS(MATCH($B$59,INDIRECT("'"&amp;IF(MONTH(MES_CIERRE)=12,"ER ACT","ER AA")&amp;"'!$B:$B"),0)+15,MATCH(PROPER(TEXT("01/"&amp;ROUNDUP(MONTH(MES_CIERRE)/3,0)*3-1+3&amp;"/"&amp;YEAR(MES_CIERRE),"MMMM")),'ER AA'!$10:$10,0),,,IF(MONTH(MES_CIERRE)=12,"ER ACT","ER AA")))+INDIRECT(ADDRESS(MATCH($B$59,INDIRECT("'"&amp;IF(MONTH(MES_CIERRE)=12,"ER ACT","ER AA")&amp;"'!$B:$B"),0)+15,MATCH(PROPER(TEXT("01/"&amp;ROUNDUP(MONTH(MES_CIERRE)/3,0)*3-0+3&amp;"/"&amp;YEAR(MES_CIERRE),"MMMM")),'ER AA'!$10:$10,0),,,IF(MONTH(MES_CIERRE)=12,"ER ACT","ER AA")))</f>
        <v>0</v>
      </c>
      <c r="T76" s="136">
        <f t="shared" ca="1" si="37"/>
        <v>0</v>
      </c>
      <c r="U76" s="137">
        <f t="shared" ca="1" si="38"/>
        <v>0</v>
      </c>
      <c r="V76" s="138" t="str">
        <f t="shared" ca="1" si="39"/>
        <v>N.D.</v>
      </c>
      <c r="W76" s="147">
        <f t="shared" ca="1" si="40"/>
        <v>0</v>
      </c>
      <c r="X76" s="136" t="str">
        <f t="shared" ca="1" si="41"/>
        <v>N.D.</v>
      </c>
    </row>
    <row r="77" spans="1:24" ht="13" x14ac:dyDescent="0.3">
      <c r="A77" s="235"/>
      <c r="B77" s="139" t="s">
        <v>143</v>
      </c>
      <c r="C77" s="160">
        <f ca="1">+C72+C73+C74-C75-C76</f>
        <v>0</v>
      </c>
      <c r="D77" s="141" t="str">
        <f ca="1">IF(C62=0,"N.D.",C77/C62)</f>
        <v>N.D.</v>
      </c>
      <c r="E77" s="160">
        <f ca="1">+E72+E73+E74-E75-E76</f>
        <v>0</v>
      </c>
      <c r="F77" s="141">
        <f t="shared" ca="1" si="30"/>
        <v>0</v>
      </c>
      <c r="G77" s="160">
        <f ca="1">+G72+G73+G74-G75-G76</f>
        <v>-215.85300000000001</v>
      </c>
      <c r="H77" s="141">
        <f t="shared" ca="1" si="31"/>
        <v>-3.8960989734368623E-2</v>
      </c>
      <c r="I77" s="143">
        <f t="shared" ca="1" si="32"/>
        <v>0</v>
      </c>
      <c r="J77" s="144" t="str">
        <f t="shared" ca="1" si="33"/>
        <v>N.D.</v>
      </c>
      <c r="K77" s="142">
        <f t="shared" ca="1" si="34"/>
        <v>215.85300000000001</v>
      </c>
      <c r="L77" s="141">
        <f t="shared" ca="1" si="35"/>
        <v>-1</v>
      </c>
      <c r="N77" s="139" t="s">
        <v>143</v>
      </c>
      <c r="O77" s="160">
        <f>+O72+O73+O74-O75-O76</f>
        <v>-198</v>
      </c>
      <c r="P77" s="141">
        <f>IF(O62=0,"N.D.",O77/O62)</f>
        <v>-3.8869257950530034E-2</v>
      </c>
      <c r="Q77" s="160">
        <f ca="1">+Q72+Q73+Q74-Q75-Q76</f>
        <v>215.30199999999996</v>
      </c>
      <c r="R77" s="141">
        <f t="shared" ca="1" si="36"/>
        <v>7.2192789506156263E-2</v>
      </c>
      <c r="S77" s="160">
        <f ca="1">+S72+S73+S74-S75-S76</f>
        <v>357.49</v>
      </c>
      <c r="T77" s="141">
        <f t="shared" ca="1" si="37"/>
        <v>6.4526155393436452E-2</v>
      </c>
      <c r="U77" s="143">
        <f t="shared" ca="1" si="38"/>
        <v>-413.30199999999996</v>
      </c>
      <c r="V77" s="144">
        <f t="shared" ca="1" si="39"/>
        <v>-1.9196384613240938</v>
      </c>
      <c r="W77" s="142">
        <f t="shared" ca="1" si="40"/>
        <v>-555.49</v>
      </c>
      <c r="X77" s="141">
        <f t="shared" ca="1" si="41"/>
        <v>-1.5538616464796218</v>
      </c>
    </row>
    <row r="78" spans="1:24" ht="13" x14ac:dyDescent="0.3">
      <c r="A78" s="235"/>
      <c r="B78" s="139" t="s">
        <v>247</v>
      </c>
      <c r="C78" s="142">
        <f ca="1">+C70-C77</f>
        <v>0</v>
      </c>
      <c r="D78" s="141" t="str">
        <f ca="1">IF(C62=0,"N.D.",C78/C62)</f>
        <v>N.D.</v>
      </c>
      <c r="E78" s="142">
        <f ca="1">+E70-E77</f>
        <v>0</v>
      </c>
      <c r="F78" s="141">
        <f t="shared" ca="1" si="30"/>
        <v>0</v>
      </c>
      <c r="G78" s="142">
        <f ca="1">+G70-G77</f>
        <v>1147.2399999999996</v>
      </c>
      <c r="H78" s="141">
        <f t="shared" ca="1" si="31"/>
        <v>0.20707428603196176</v>
      </c>
      <c r="I78" s="143">
        <f t="shared" ca="1" si="32"/>
        <v>0</v>
      </c>
      <c r="J78" s="144" t="str">
        <f t="shared" ca="1" si="33"/>
        <v>N.D.</v>
      </c>
      <c r="K78" s="142">
        <f t="shared" ca="1" si="34"/>
        <v>-1147.2399999999996</v>
      </c>
      <c r="L78" s="141">
        <f t="shared" ca="1" si="35"/>
        <v>-1</v>
      </c>
      <c r="N78" s="139" t="s">
        <v>247</v>
      </c>
      <c r="O78" s="142">
        <f>+O70-O77</f>
        <v>1355</v>
      </c>
      <c r="P78" s="141">
        <f>IF(O62=0,"N.D.",O78/O62)</f>
        <v>0.26599921476246563</v>
      </c>
      <c r="Q78" s="142">
        <f ca="1">+Q70-Q77</f>
        <v>275.21800000000025</v>
      </c>
      <c r="R78" s="141">
        <f t="shared" ca="1" si="36"/>
        <v>9.2283188926741672E-2</v>
      </c>
      <c r="S78" s="142">
        <f ca="1">+S70-S77</f>
        <v>242.15499999999997</v>
      </c>
      <c r="T78" s="141">
        <f t="shared" ca="1" si="37"/>
        <v>4.3708442639787418E-2</v>
      </c>
      <c r="U78" s="143">
        <f t="shared" ca="1" si="38"/>
        <v>1079.7819999999997</v>
      </c>
      <c r="V78" s="144">
        <f t="shared" ca="1" si="39"/>
        <v>3.9233698377286323</v>
      </c>
      <c r="W78" s="142">
        <f t="shared" ca="1" si="40"/>
        <v>1112.845</v>
      </c>
      <c r="X78" s="141">
        <f t="shared" ca="1" si="41"/>
        <v>4.5955896017013904</v>
      </c>
    </row>
    <row r="79" spans="1:24" x14ac:dyDescent="0.25">
      <c r="A79" s="235"/>
      <c r="B79" s="129"/>
      <c r="C79" s="127"/>
      <c r="D79" s="124"/>
      <c r="E79" s="127"/>
      <c r="F79" s="124"/>
      <c r="G79" s="127"/>
      <c r="H79" s="124"/>
      <c r="I79" s="127"/>
      <c r="J79" s="145"/>
      <c r="K79" s="127"/>
      <c r="L79" s="124"/>
      <c r="N79" s="129"/>
      <c r="O79" s="127"/>
      <c r="P79" s="124"/>
      <c r="Q79" s="127"/>
      <c r="R79" s="124"/>
      <c r="S79" s="127"/>
      <c r="T79" s="124"/>
      <c r="U79" s="127"/>
      <c r="V79" s="145"/>
      <c r="W79" s="127"/>
      <c r="X79" s="124"/>
    </row>
    <row r="80" spans="1:24" x14ac:dyDescent="0.25">
      <c r="A80" s="235"/>
      <c r="B80" s="129" t="s">
        <v>397</v>
      </c>
      <c r="C80" s="132">
        <f ca="1">INDIRECT(ADDRESS(MATCH($B$59,'ER Act'!$B:$B,0)+19,MATCH(PROPER(TEXT("01/"&amp;ROUNDUP(MONTH(MES_CIERRE)/3,0)*3-2&amp;"/"&amp;YEAR(MES_CIERRE),"MMMM")),'ER Act'!$10:$10,0),,,"ER Act"))+INDIRECT(ADDRESS(MATCH($B$59,'ER Act'!$B:$B,0)+19,MATCH(PROPER(TEXT("01/"&amp;ROUNDUP(MONTH(MES_CIERRE)/3,0)*3-1&amp;"/"&amp;YEAR(MES_CIERRE),"MMMM")),'ER Act'!$10:$10,0),,,"ER Act"))+INDIRECT(ADDRESS(MATCH($B$59,'ER Act'!$B:$B,0)+19,MATCH(PROPER(TEXT("01/"&amp;ROUNDUP(MONTH(MES_CIERRE)/3,0)*3-0&amp;"/"&amp;YEAR(MES_CIERRE),"MMMM")),'ER Act'!$10:$10,0),,,"ER Act"))</f>
        <v>0</v>
      </c>
      <c r="D80" s="148" t="str">
        <f ca="1">IF(C62=0,"N.D.",C80/C62)</f>
        <v>N.D.</v>
      </c>
      <c r="E80" s="132">
        <f ca="1">INDIRECT(ADDRESS(MATCH($B$59,'ER Ppto'!$B:$B,0)+19,MATCH(PROPER(TEXT("01/"&amp;ROUNDUP(MONTH(MES_CIERRE)/3,0)*3-2&amp;"/"&amp;YEAR(MES_CIERRE),"MMMM")),'ER Ppto'!$10:$10,0),,,"ER Ppto"))+INDIRECT(ADDRESS(MATCH($B$59,'ER Ppto'!$B:$B,0)+19,MATCH(PROPER(TEXT("01/"&amp;ROUNDUP(MONTH(MES_CIERRE)/3,0)*3-1&amp;"/"&amp;YEAR(MES_CIERRE),"MMMM")),'ER Ppto'!$10:$10,0),,,"ER Ppto"))+INDIRECT(ADDRESS(MATCH($B$59,'ER Ppto'!$B:$B,0)+19,MATCH(PROPER(TEXT("01/"&amp;ROUNDUP(MONTH(MES_CIERRE)/3,0)*3-0&amp;"/"&amp;YEAR(MES_CIERRE),"MMMM")),'ER Ppto'!$10:$10,0),,,"ER Ppto"))</f>
        <v>0</v>
      </c>
      <c r="F80" s="131">
        <f ca="1">IF(E$62=0, 0, E80/$E$62)</f>
        <v>0</v>
      </c>
      <c r="G80" s="132">
        <f ca="1">INDIRECT(ADDRESS(MATCH($B$59,'ER AA'!$B:$B,0)+19,MATCH(PROPER(TEXT("01/"&amp;ROUNDUP(MONTH(MES_CIERRE)/3,0)*3-2&amp;"/"&amp;YEAR(MES_CIERRE),"MMMM")),'ER AA'!$10:$10,0),,,"ER AA"))+INDIRECT(ADDRESS(MATCH($B$59,'ER AA'!$B:$B,0)+19,MATCH(PROPER(TEXT("01/"&amp;ROUNDUP(MONTH(MES_CIERRE)/3,0)*3-1&amp;"/"&amp;YEAR(MES_CIERRE),"MMMM")),'ER AA'!$10:$10,0),,,"ER AA"))+INDIRECT(ADDRESS(MATCH($B$59,'ER AA'!$B:$B,0)+19,MATCH(PROPER(TEXT("01/"&amp;ROUNDUP(MONTH(MES_CIERRE)/3,0)*3-0&amp;"/"&amp;YEAR(MES_CIERRE),"MMMM")),'ER AA'!$10:$10,0),,,"ER AA"))</f>
        <v>0</v>
      </c>
      <c r="H80" s="131">
        <f ca="1">IF(G$62=0, 0, G80/$G$62)</f>
        <v>0</v>
      </c>
      <c r="I80" s="133">
        <f ca="1">C80-E80</f>
        <v>0</v>
      </c>
      <c r="J80" s="134" t="str">
        <f ca="1">IF(E80=0,"N.D.",C80/E80-1)</f>
        <v>N.D.</v>
      </c>
      <c r="K80" s="132">
        <f ca="1">C80-G80</f>
        <v>0</v>
      </c>
      <c r="L80" s="131" t="str">
        <f ca="1">IF(G80=0,"N.D.",C80/G80-1)</f>
        <v>N.D.</v>
      </c>
      <c r="N80" s="129" t="s">
        <v>397</v>
      </c>
      <c r="O80" s="132">
        <v>287</v>
      </c>
      <c r="P80" s="148">
        <f>IF(O62=0,"N.D.",O80/O62)</f>
        <v>5.6340793089909698E-2</v>
      </c>
      <c r="Q80" s="132">
        <f ca="1">(INDIRECT(ADDRESS(MATCH($B$59,BDPP!$B:$B,0)+21,MATCH(PROPER(TEXT("01/"&amp;ROUNDUP(MONTH(MES_CIERRE)/3,0)*3-2+3&amp;"/"&amp;YEAR(MES_CIERRE),"MMMM")),BDPP!$10:$10,0),,,"BDPP"))+INDIRECT(ADDRESS(MATCH($B$59,BDPP!$B:$B,0)+21,MATCH(PROPER(TEXT("01/"&amp;ROUNDUP(MONTH(MES_CIERRE)/3,0)*3-1+3&amp;"/"&amp;YEAR(MES_CIERRE),"MMMM")),BDPP!$10:$10,0),,,"BDPP"))+INDIRECT(ADDRESS(MATCH($B$59,BDPP!$B:$B,0)+21,MATCH(PROPER(TEXT("01/"&amp;ROUNDUP(MONTH(MES_CIERRE)/3,0)*3-0+3&amp;"/"&amp;YEAR(MES_CIERRE),"MMMM")),BDPP!$10:$10,0),,,"BDPP")))/1000</f>
        <v>5.9649999999999999</v>
      </c>
      <c r="R80" s="131">
        <f ca="1">IF(Q$62=0, 0, Q80/$Q$62)</f>
        <v>2.0001207113924729E-3</v>
      </c>
      <c r="S80" s="132">
        <f ca="1">INDIRECT(ADDRESS(MATCH($B$59,INDIRECT("'"&amp;IF(MONTH(MES_CIERRE)=12,"ER ACT","ER AA")&amp;"'!$B:$B"),0)+19,MATCH(PROPER(TEXT("01/"&amp;ROUNDUP(MONTH(MES_CIERRE)/3,0)*3-2+3&amp;"/"&amp;YEAR(MES_CIERRE),"MMMM")),'ER AA'!$10:$10,0),,,IF(MONTH(MES_CIERRE)=12,"ER ACT","ER AA")))+INDIRECT(ADDRESS(MATCH($B$59,INDIRECT("'"&amp;IF(MONTH(MES_CIERRE)=12,"ER ACT","ER AA")&amp;"'!$B:$B"),0)+19,MATCH(PROPER(TEXT("01/"&amp;ROUNDUP(MONTH(MES_CIERRE)/3,0)*3-1+3&amp;"/"&amp;YEAR(MES_CIERRE),"MMMM")),'ER AA'!$10:$10,0),,,IF(MONTH(MES_CIERRE)=12,"ER ACT","ER AA")))+INDIRECT(ADDRESS(MATCH($B$59,INDIRECT("'"&amp;IF(MONTH(MES_CIERRE)=12,"ER ACT","ER AA")&amp;"'!$B:$B"),0)+19,MATCH(PROPER(TEXT("01/"&amp;ROUNDUP(MONTH(MES_CIERRE)/3,0)*3-0+3&amp;"/"&amp;YEAR(MES_CIERRE),"MMMM")),'ER AA'!$10:$10,0),,,IF(MONTH(MES_CIERRE)=12,"ER ACT","ER AA")))</f>
        <v>0</v>
      </c>
      <c r="T80" s="131">
        <f ca="1">IF(S$62=0, 0, S80/$G$62)</f>
        <v>0</v>
      </c>
      <c r="U80" s="133">
        <f ca="1">O80-Q80</f>
        <v>281.03500000000003</v>
      </c>
      <c r="V80" s="134">
        <f ca="1">IF(Q80=0,"N.D.",O80/Q80-1)</f>
        <v>47.113998323554064</v>
      </c>
      <c r="W80" s="132">
        <f ca="1">O80-S80</f>
        <v>287</v>
      </c>
      <c r="X80" s="131" t="str">
        <f ca="1">IF(S80=0,"N.D.",O80/S80-1)</f>
        <v>N.D.</v>
      </c>
    </row>
    <row r="81" spans="1:24" x14ac:dyDescent="0.25">
      <c r="A81" s="235"/>
      <c r="B81" s="129" t="s">
        <v>395</v>
      </c>
      <c r="C81" s="147">
        <f ca="1">INDIRECT(ADDRESS(MATCH($B$59,'ER Act'!$B:$B,0)+20,MATCH(PROPER(TEXT("01/"&amp;ROUNDUP(MONTH(MES_CIERRE)/3,0)*3-2&amp;"/"&amp;YEAR(MES_CIERRE),"MMMM")),'ER Act'!$10:$10,0),,,"ER Act"))+INDIRECT(ADDRESS(MATCH($B$59,'ER Act'!$B:$B,0)+20,MATCH(PROPER(TEXT("01/"&amp;ROUNDUP(MONTH(MES_CIERRE)/3,0)*3-1&amp;"/"&amp;YEAR(MES_CIERRE),"MMMM")),'ER Act'!$10:$10,0),,,"ER Act"))+INDIRECT(ADDRESS(MATCH($B$59,'ER Act'!$B:$B,0)+20,MATCH(PROPER(TEXT("01/"&amp;ROUNDUP(MONTH(MES_CIERRE)/3,0)*3-0&amp;"/"&amp;YEAR(MES_CIERRE),"MMMM")),'ER Act'!$10:$10,0),,,"ER Act"))</f>
        <v>0</v>
      </c>
      <c r="D81" s="150" t="str">
        <f ca="1">IF(C62=0,"N.D.",C81/C62)</f>
        <v>N.D.</v>
      </c>
      <c r="E81" s="147">
        <f ca="1">INDIRECT(ADDRESS(MATCH($B$59,'ER Ppto'!$B:$B,0)+20,MATCH(PROPER(TEXT("01/"&amp;ROUNDUP(MONTH(MES_CIERRE)/3,0)*3-2&amp;"/"&amp;YEAR(MES_CIERRE),"MMMM")),'ER Ppto'!$10:$10,0),,,"ER Ppto"))+INDIRECT(ADDRESS(MATCH($B$59,'ER Ppto'!$B:$B,0)+20,MATCH(PROPER(TEXT("01/"&amp;ROUNDUP(MONTH(MES_CIERRE)/3,0)*3-1&amp;"/"&amp;YEAR(MES_CIERRE),"MMMM")),'ER Ppto'!$10:$10,0),,,"ER Ppto"))+INDIRECT(ADDRESS(MATCH($B$59,'ER Ppto'!$B:$B,0)+20,MATCH(PROPER(TEXT("01/"&amp;ROUNDUP(MONTH(MES_CIERRE)/3,0)*3-0&amp;"/"&amp;YEAR(MES_CIERRE),"MMMM")),'ER Ppto'!$10:$10,0),,,"ER Ppto"))</f>
        <v>0</v>
      </c>
      <c r="F81" s="136">
        <f ca="1">IF(E$62=0, 0, E81/$E$62)</f>
        <v>0</v>
      </c>
      <c r="G81" s="147">
        <f ca="1">INDIRECT(ADDRESS(MATCH($B$59,'ER AA'!$B:$B,0)+20,MATCH(PROPER(TEXT("01/"&amp;ROUNDUP(MONTH(MES_CIERRE)/3,0)*3-2&amp;"/"&amp;YEAR(MES_CIERRE),"MMMM")),'ER AA'!$10:$10,0),,,"ER AA"))+INDIRECT(ADDRESS(MATCH($B$59,'ER AA'!$B:$B,0)+20,MATCH(PROPER(TEXT("01/"&amp;ROUNDUP(MONTH(MES_CIERRE)/3,0)*3-1&amp;"/"&amp;YEAR(MES_CIERRE),"MMMM")),'ER AA'!$10:$10,0),,,"ER AA"))+INDIRECT(ADDRESS(MATCH($B$59,'ER AA'!$B:$B,0)+20,MATCH(PROPER(TEXT("01/"&amp;ROUNDUP(MONTH(MES_CIERRE)/3,0)*3-0&amp;"/"&amp;YEAR(MES_CIERRE),"MMMM")),'ER AA'!$10:$10,0),,,"ER AA"))</f>
        <v>0</v>
      </c>
      <c r="H81" s="136">
        <f ca="1">IF(G$62=0, 0, G81/$G$62)</f>
        <v>0</v>
      </c>
      <c r="I81" s="137">
        <f ca="1">C81-E81</f>
        <v>0</v>
      </c>
      <c r="J81" s="138" t="str">
        <f ca="1">IF(E81=0,"N.D.",C81/E81-1)</f>
        <v>N.D.</v>
      </c>
      <c r="K81" s="147">
        <f ca="1">C81-G81</f>
        <v>0</v>
      </c>
      <c r="L81" s="136" t="str">
        <f ca="1">IF(G81=0,"N.D.",C81/G81-1)</f>
        <v>N.D.</v>
      </c>
      <c r="N81" s="129" t="s">
        <v>395</v>
      </c>
      <c r="O81" s="147"/>
      <c r="P81" s="150">
        <f>IF(O62=0,"N.D.",O81/O62)</f>
        <v>0</v>
      </c>
      <c r="Q81" s="147">
        <f ca="1">(INDIRECT(ADDRESS(MATCH($B$59,BDPP!$B:$B,0)+22,MATCH(PROPER(TEXT("01/"&amp;ROUNDUP(MONTH(MES_CIERRE)/3,0)*3-2+3&amp;"/"&amp;YEAR(MES_CIERRE),"MMMM")),BDPP!$10:$10,0),,,"BDPP"))+INDIRECT(ADDRESS(MATCH($B$59,BDPP!$B:$B,0)+22,MATCH(PROPER(TEXT("01/"&amp;ROUNDUP(MONTH(MES_CIERRE)/3,0)*3-1+3&amp;"/"&amp;YEAR(MES_CIERRE),"MMMM")),BDPP!$10:$10,0),,,"BDPP"))+INDIRECT(ADDRESS(MATCH($B$59,BDPP!$B:$B,0)+22,MATCH(PROPER(TEXT("01/"&amp;ROUNDUP(MONTH(MES_CIERRE)/3,0)*3-0+3&amp;"/"&amp;YEAR(MES_CIERRE),"MMMM")),BDPP!$10:$10,0),,,"BDPP")))/1000</f>
        <v>0</v>
      </c>
      <c r="R81" s="136">
        <f ca="1">IF(Q$62=0, 0, Q81/$Q$62)</f>
        <v>0</v>
      </c>
      <c r="S81" s="147">
        <f ca="1">INDIRECT(ADDRESS(MATCH($B$59,INDIRECT("'"&amp;IF(MONTH(MES_CIERRE)=12,"ER ACT","ER AA")&amp;"'!$B:$B"),0)+20,MATCH(PROPER(TEXT("01/"&amp;ROUNDUP(MONTH(MES_CIERRE)/3,0)*3-2+3&amp;"/"&amp;YEAR(MES_CIERRE),"MMMM")),'ER AA'!$10:$10,0),,,IF(MONTH(MES_CIERRE)=12,"ER ACT","ER AA")))+INDIRECT(ADDRESS(MATCH($B$59,INDIRECT("'"&amp;IF(MONTH(MES_CIERRE)=12,"ER ACT","ER AA")&amp;"'!$B:$B"),0)+20,MATCH(PROPER(TEXT("01/"&amp;ROUNDUP(MONTH(MES_CIERRE)/3,0)*3-1+3&amp;"/"&amp;YEAR(MES_CIERRE),"MMMM")),'ER AA'!$10:$10,0),,,IF(MONTH(MES_CIERRE)=12,"ER ACT","ER AA")))+INDIRECT(ADDRESS(MATCH($B$59,INDIRECT("'"&amp;IF(MONTH(MES_CIERRE)=12,"ER ACT","ER AA")&amp;"'!$B:$B"),0)+20,MATCH(PROPER(TEXT("01/"&amp;ROUNDUP(MONTH(MES_CIERRE)/3,0)*3-0+3&amp;"/"&amp;YEAR(MES_CIERRE),"MMMM")),'ER AA'!$10:$10,0),,,IF(MONTH(MES_CIERRE)=12,"ER ACT","ER AA")))</f>
        <v>0</v>
      </c>
      <c r="T81" s="136">
        <f ca="1">IF(S$62=0, 0, S81/$G$62)</f>
        <v>0</v>
      </c>
      <c r="U81" s="137">
        <f ca="1">O81-Q81</f>
        <v>0</v>
      </c>
      <c r="V81" s="138" t="str">
        <f ca="1">IF(Q81=0,"N.D.",O81/Q81-1)</f>
        <v>N.D.</v>
      </c>
      <c r="W81" s="147">
        <f ca="1">O81-S81</f>
        <v>0</v>
      </c>
      <c r="X81" s="136" t="str">
        <f ca="1">IF(S81=0,"N.D.",O81/S81-1)</f>
        <v>N.D.</v>
      </c>
    </row>
    <row r="82" spans="1:24" ht="13" x14ac:dyDescent="0.3">
      <c r="A82" s="235"/>
      <c r="B82" s="139" t="s">
        <v>146</v>
      </c>
      <c r="C82" s="142">
        <f ca="1">+C78-C80-C81</f>
        <v>0</v>
      </c>
      <c r="D82" s="141" t="str">
        <f ca="1">IF(C62=0,"N.D.",C82/C62)</f>
        <v>N.D.</v>
      </c>
      <c r="E82" s="142">
        <f ca="1">+E78-E80-E81</f>
        <v>0</v>
      </c>
      <c r="F82" s="141">
        <f ca="1">IF(E$62=0, 0, E82/$E$62)</f>
        <v>0</v>
      </c>
      <c r="G82" s="142">
        <f ca="1">+G78-G80-G81</f>
        <v>1147.2399999999996</v>
      </c>
      <c r="H82" s="141">
        <f ca="1">IF(G$62=0, 0, G82/$G$62)</f>
        <v>0.20707428603196176</v>
      </c>
      <c r="I82" s="143">
        <f ca="1">C82-E82</f>
        <v>0</v>
      </c>
      <c r="J82" s="144" t="str">
        <f ca="1">IF(E82=0,"N.D.",C82/E82-1)</f>
        <v>N.D.</v>
      </c>
      <c r="K82" s="142">
        <f ca="1">C82-G82</f>
        <v>-1147.2399999999996</v>
      </c>
      <c r="L82" s="141">
        <f ca="1">IF(G82=0,"N.D.",C82/G82-1)</f>
        <v>-1</v>
      </c>
      <c r="N82" s="139" t="s">
        <v>146</v>
      </c>
      <c r="O82" s="142">
        <f>+O78-O80-O81</f>
        <v>1068</v>
      </c>
      <c r="P82" s="141">
        <f>IF(O62=0,"N.D.",O82/O62)</f>
        <v>0.20965842167255594</v>
      </c>
      <c r="Q82" s="142">
        <f ca="1">+Q78-Q80-Q81</f>
        <v>269.25300000000027</v>
      </c>
      <c r="R82" s="141">
        <f ca="1">IF(Q$62=0, 0, Q82/$Q$62)</f>
        <v>9.0283068215349205E-2</v>
      </c>
      <c r="S82" s="142">
        <f ca="1">+S78-S80-S81</f>
        <v>242.15499999999997</v>
      </c>
      <c r="T82" s="141">
        <f ca="1">IF(S$62=0, 0, S82/$G$62)</f>
        <v>4.3708442639787418E-2</v>
      </c>
      <c r="U82" s="143">
        <f ca="1">O82-Q82</f>
        <v>798.74699999999973</v>
      </c>
      <c r="V82" s="144">
        <f ca="1">IF(Q82=0,"N.D.",O82/Q82-1)</f>
        <v>2.966529620839875</v>
      </c>
      <c r="W82" s="142">
        <f ca="1">O82-S82</f>
        <v>825.84500000000003</v>
      </c>
      <c r="X82" s="141">
        <f ca="1">IF(S82=0,"N.D.",O82/S82-1)</f>
        <v>3.4103982986103949</v>
      </c>
    </row>
    <row r="83" spans="1:24" ht="13" x14ac:dyDescent="0.3">
      <c r="A83" s="235"/>
      <c r="B83" s="139" t="s">
        <v>248</v>
      </c>
      <c r="C83" s="142">
        <f ca="1">+C70+C68</f>
        <v>0</v>
      </c>
      <c r="D83" s="141" t="str">
        <f ca="1">IF(C62=0,"N.D.",C83/C62)</f>
        <v>N.D.</v>
      </c>
      <c r="E83" s="142">
        <f ca="1">+E70+E68</f>
        <v>0</v>
      </c>
      <c r="F83" s="141">
        <f ca="1">IF(E$62=0, 0, E83/$E$62)</f>
        <v>0</v>
      </c>
      <c r="G83" s="142">
        <f ca="1">+G70+G68</f>
        <v>979.5649999999996</v>
      </c>
      <c r="H83" s="141">
        <f ca="1">IF(G$62=0, 0, G83/$G$62)</f>
        <v>0.17680931888436477</v>
      </c>
      <c r="I83" s="143">
        <f ca="1">C83-E83</f>
        <v>0</v>
      </c>
      <c r="J83" s="144" t="str">
        <f ca="1">IF(E83=0,"N.D.",C83/E83-1)</f>
        <v>N.D.</v>
      </c>
      <c r="K83" s="142">
        <f ca="1">C83-G83</f>
        <v>-979.5649999999996</v>
      </c>
      <c r="L83" s="141">
        <f ca="1">IF(G83=0,"N.D.",C83/G83-1)</f>
        <v>-1</v>
      </c>
      <c r="N83" s="139" t="s">
        <v>248</v>
      </c>
      <c r="O83" s="142">
        <f>+O70+O68</f>
        <v>1229</v>
      </c>
      <c r="P83" s="141">
        <f>IF(O62=0,"N.D.",O83/O62)</f>
        <v>0.24126423243031017</v>
      </c>
      <c r="Q83" s="142">
        <f ca="1">+Q70+Q68</f>
        <v>563.42000000000019</v>
      </c>
      <c r="R83" s="141">
        <f ca="1">IF(Q$62=0, 0, Q83/$Q$62)</f>
        <v>0.18892003540867519</v>
      </c>
      <c r="S83" s="142">
        <f ca="1">+S70+S68</f>
        <v>671.91200000000003</v>
      </c>
      <c r="T83" s="141">
        <f ca="1">IF(S$62=0, 0, S83/$G$62)</f>
        <v>0.1212786319133813</v>
      </c>
      <c r="U83" s="143">
        <f ca="1">O83-Q83</f>
        <v>665.57999999999981</v>
      </c>
      <c r="V83" s="144">
        <f ca="1">IF(Q83=0,"N.D.",O83/Q83-1)</f>
        <v>1.1813212168542111</v>
      </c>
      <c r="W83" s="142">
        <f ca="1">O83-S83</f>
        <v>557.08799999999997</v>
      </c>
      <c r="X83" s="141">
        <f ca="1">IF(S83=0,"N.D.",O83/S83-1)</f>
        <v>0.82910857374179936</v>
      </c>
    </row>
  </sheetData>
  <pageMargins left="0.7" right="0.7" top="0.75" bottom="0.75" header="0.3" footer="0.3"/>
  <ignoredErrors>
    <ignoredError sqref="F10:F31 D10:D31 P10:T31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0:O26"/>
  <sheetViews>
    <sheetView zoomScale="69" zoomScaleNormal="69" workbookViewId="0"/>
  </sheetViews>
  <sheetFormatPr baseColWidth="10" defaultColWidth="10.81640625" defaultRowHeight="12.5" x14ac:dyDescent="0.25"/>
  <cols>
    <col min="1" max="16384" width="10.81640625" style="238"/>
  </cols>
  <sheetData>
    <row r="10" spans="1:15" x14ac:dyDescent="0.25">
      <c r="B10" s="240"/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0" t="s">
        <v>274</v>
      </c>
    </row>
    <row r="11" spans="1:15" x14ac:dyDescent="0.25">
      <c r="B11" s="244">
        <v>1171</v>
      </c>
      <c r="C11" s="244">
        <v>1371</v>
      </c>
      <c r="D11" s="244">
        <v>2187.6666599999999</v>
      </c>
      <c r="E11" s="244">
        <v>687.66665999999998</v>
      </c>
      <c r="F11" s="244">
        <v>2363.4999800000001</v>
      </c>
      <c r="G11" s="244">
        <v>1996.83332</v>
      </c>
      <c r="H11" s="244">
        <v>2537.6666599999999</v>
      </c>
      <c r="I11" s="244">
        <v>1412.6666599999999</v>
      </c>
      <c r="J11" s="244">
        <v>1721</v>
      </c>
      <c r="K11" s="244">
        <v>1396</v>
      </c>
      <c r="L11" s="244">
        <v>2596</v>
      </c>
      <c r="M11" s="244">
        <v>1196</v>
      </c>
      <c r="N11" s="244">
        <v>20636.999939999998</v>
      </c>
      <c r="O11" s="239"/>
    </row>
    <row r="12" spans="1:15" ht="13" x14ac:dyDescent="0.3">
      <c r="A12" s="242" t="s">
        <v>273</v>
      </c>
      <c r="B12" s="241">
        <v>271</v>
      </c>
      <c r="C12" s="241">
        <v>271</v>
      </c>
      <c r="D12" s="241">
        <v>271</v>
      </c>
      <c r="E12" s="241">
        <v>271</v>
      </c>
      <c r="F12" s="241">
        <v>271</v>
      </c>
      <c r="G12" s="241">
        <v>271</v>
      </c>
      <c r="H12" s="241">
        <v>271</v>
      </c>
      <c r="I12" s="241">
        <v>271</v>
      </c>
      <c r="J12" s="241">
        <v>271</v>
      </c>
      <c r="K12" s="241">
        <v>271</v>
      </c>
      <c r="L12" s="241">
        <v>271</v>
      </c>
      <c r="M12" s="241">
        <v>271</v>
      </c>
      <c r="N12" s="240">
        <f>SUM(B12:M12)</f>
        <v>3252</v>
      </c>
    </row>
    <row r="13" spans="1:15" ht="13" x14ac:dyDescent="0.3">
      <c r="A13" s="242"/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0"/>
    </row>
    <row r="14" spans="1:15" ht="13" x14ac:dyDescent="0.3">
      <c r="A14" s="242"/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0"/>
    </row>
    <row r="15" spans="1:15" ht="13" x14ac:dyDescent="0.3">
      <c r="A15" s="242" t="s">
        <v>272</v>
      </c>
      <c r="B15" s="243">
        <f t="shared" ref="B15:M15" si="0">+B11-B12</f>
        <v>900</v>
      </c>
      <c r="C15" s="243">
        <f t="shared" si="0"/>
        <v>1100</v>
      </c>
      <c r="D15" s="243">
        <f t="shared" si="0"/>
        <v>1916.6666599999999</v>
      </c>
      <c r="E15" s="243">
        <f t="shared" si="0"/>
        <v>416.66665999999998</v>
      </c>
      <c r="F15" s="243">
        <f t="shared" si="0"/>
        <v>2092.4999800000001</v>
      </c>
      <c r="G15" s="243">
        <f t="shared" si="0"/>
        <v>1725.83332</v>
      </c>
      <c r="H15" s="243">
        <f t="shared" si="0"/>
        <v>2266.6666599999999</v>
      </c>
      <c r="I15" s="243">
        <f t="shared" si="0"/>
        <v>1141.6666599999999</v>
      </c>
      <c r="J15" s="243">
        <f t="shared" si="0"/>
        <v>1450</v>
      </c>
      <c r="K15" s="243">
        <f t="shared" si="0"/>
        <v>1125</v>
      </c>
      <c r="L15" s="243">
        <f t="shared" si="0"/>
        <v>2325</v>
      </c>
      <c r="M15" s="243">
        <f t="shared" si="0"/>
        <v>925</v>
      </c>
      <c r="N15" s="240"/>
    </row>
    <row r="16" spans="1:15" ht="13" x14ac:dyDescent="0.3">
      <c r="A16" s="242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0"/>
    </row>
    <row r="20" spans="1:3" x14ac:dyDescent="0.25">
      <c r="A20" s="239">
        <v>315257.2</v>
      </c>
      <c r="B20" s="239">
        <v>34841.93</v>
      </c>
      <c r="C20" s="239"/>
    </row>
    <row r="21" spans="1:3" x14ac:dyDescent="0.25">
      <c r="A21" s="239"/>
      <c r="B21" s="239">
        <v>17361.46</v>
      </c>
      <c r="C21" s="239"/>
    </row>
    <row r="22" spans="1:3" x14ac:dyDescent="0.25">
      <c r="A22" s="239"/>
      <c r="B22" s="239">
        <v>35079.97</v>
      </c>
      <c r="C22" s="239"/>
    </row>
    <row r="23" spans="1:3" x14ac:dyDescent="0.25">
      <c r="A23" s="239"/>
      <c r="B23" s="239">
        <v>52084.38</v>
      </c>
      <c r="C23" s="239"/>
    </row>
    <row r="24" spans="1:3" x14ac:dyDescent="0.25">
      <c r="A24" s="239"/>
      <c r="B24" s="239">
        <v>125247.5</v>
      </c>
      <c r="C24" s="239"/>
    </row>
    <row r="25" spans="1:3" x14ac:dyDescent="0.25">
      <c r="A25" s="239"/>
      <c r="B25" s="239"/>
      <c r="C25" s="239"/>
    </row>
    <row r="26" spans="1:3" x14ac:dyDescent="0.25">
      <c r="A26" s="239">
        <f>SUM(A20:A25)</f>
        <v>315257.2</v>
      </c>
      <c r="B26" s="239">
        <f>SUM(B20:B25)</f>
        <v>264615.24</v>
      </c>
      <c r="C26" s="239">
        <f>+A26-B26</f>
        <v>50641.960000000021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FF0000"/>
  </sheetPr>
  <dimension ref="A1:BT49"/>
  <sheetViews>
    <sheetView zoomScale="98" zoomScaleNormal="98" workbookViewId="0">
      <selection activeCell="V26" sqref="V26"/>
    </sheetView>
  </sheetViews>
  <sheetFormatPr baseColWidth="10" defaultColWidth="11.453125" defaultRowHeight="10.5" x14ac:dyDescent="0.25"/>
  <cols>
    <col min="1" max="1" width="11.453125" style="245"/>
    <col min="2" max="2" width="16.7265625" style="245" bestFit="1" customWidth="1"/>
    <col min="3" max="4" width="13.453125" style="245" bestFit="1" customWidth="1"/>
    <col min="5" max="5" width="11.453125" style="245"/>
    <col min="6" max="6" width="4.7265625" style="245" customWidth="1"/>
    <col min="7" max="8" width="12.81640625" style="245" bestFit="1" customWidth="1"/>
    <col min="9" max="9" width="11.26953125" style="245" bestFit="1" customWidth="1"/>
    <col min="10" max="10" width="13.453125" style="245" bestFit="1" customWidth="1"/>
    <col min="11" max="11" width="10.1796875" style="245" bestFit="1" customWidth="1"/>
    <col min="12" max="12" width="4.54296875" style="245" customWidth="1"/>
    <col min="13" max="13" width="13.1796875" style="245" bestFit="1" customWidth="1"/>
    <col min="14" max="14" width="11.81640625" style="245" bestFit="1" customWidth="1"/>
    <col min="15" max="15" width="11.54296875" style="245" bestFit="1" customWidth="1"/>
    <col min="16" max="16" width="13" style="245" customWidth="1"/>
    <col min="17" max="17" width="11.81640625" style="245" bestFit="1" customWidth="1"/>
    <col min="18" max="18" width="4.54296875" style="245" customWidth="1"/>
    <col min="19" max="20" width="12" style="245" bestFit="1" customWidth="1"/>
    <col min="21" max="21" width="11.54296875" style="245" bestFit="1" customWidth="1"/>
    <col min="22" max="22" width="13.1796875" style="245" customWidth="1"/>
    <col min="23" max="23" width="12" style="245" bestFit="1" customWidth="1"/>
    <col min="24" max="24" width="2.7265625" style="245" customWidth="1"/>
    <col min="25" max="27" width="12" style="245" bestFit="1" customWidth="1"/>
    <col min="28" max="28" width="11.54296875" style="245" bestFit="1" customWidth="1"/>
    <col min="29" max="29" width="13.7265625" style="245" bestFit="1" customWidth="1"/>
    <col min="30" max="30" width="2.81640625" style="245" customWidth="1"/>
    <col min="31" max="31" width="12" style="245" bestFit="1" customWidth="1"/>
    <col min="32" max="32" width="11.54296875" style="245" bestFit="1" customWidth="1"/>
    <col min="33" max="33" width="11.81640625" style="245" bestFit="1" customWidth="1"/>
    <col min="34" max="34" width="11.54296875" style="245" bestFit="1" customWidth="1"/>
    <col min="35" max="35" width="12" style="245" bestFit="1" customWidth="1"/>
    <col min="36" max="36" width="3.81640625" style="245" customWidth="1"/>
    <col min="37" max="37" width="11" style="245" bestFit="1" customWidth="1"/>
    <col min="38" max="39" width="9.54296875" style="245" bestFit="1" customWidth="1"/>
    <col min="40" max="40" width="9.453125" style="245" customWidth="1"/>
    <col min="41" max="41" width="11.1796875" style="245" customWidth="1"/>
    <col min="42" max="42" width="2.7265625" style="245" customWidth="1"/>
    <col min="43" max="43" width="11.7265625" style="245" customWidth="1"/>
    <col min="44" max="44" width="11.1796875" style="245" customWidth="1"/>
    <col min="45" max="45" width="9.26953125" style="245" customWidth="1"/>
    <col min="46" max="46" width="9.54296875" style="245" bestFit="1" customWidth="1"/>
    <col min="47" max="47" width="10.81640625" style="245" customWidth="1"/>
    <col min="48" max="48" width="2.7265625" style="245" customWidth="1"/>
    <col min="49" max="49" width="10.7265625" style="245" customWidth="1"/>
    <col min="50" max="50" width="10.81640625" style="245" customWidth="1"/>
    <col min="51" max="51" width="9.7265625" style="245" customWidth="1"/>
    <col min="52" max="52" width="10.453125" style="245" customWidth="1"/>
    <col min="53" max="53" width="11.26953125" style="245" customWidth="1"/>
    <col min="54" max="54" width="3.26953125" style="245" customWidth="1"/>
    <col min="55" max="59" width="11.453125" style="245"/>
    <col min="60" max="60" width="2.26953125" style="245" customWidth="1"/>
    <col min="61" max="65" width="11.453125" style="245"/>
    <col min="66" max="66" width="4" style="245" customWidth="1"/>
    <col min="67" max="16384" width="11.453125" style="245"/>
  </cols>
  <sheetData>
    <row r="1" spans="1:72" x14ac:dyDescent="0.25">
      <c r="A1" s="266" t="s">
        <v>339</v>
      </c>
      <c r="B1" s="267" t="s">
        <v>338</v>
      </c>
      <c r="C1" s="266" t="s">
        <v>337</v>
      </c>
      <c r="D1" s="266" t="s">
        <v>336</v>
      </c>
      <c r="E1" s="266" t="s">
        <v>320</v>
      </c>
      <c r="G1" s="266" t="s">
        <v>335</v>
      </c>
      <c r="H1" s="267" t="s">
        <v>334</v>
      </c>
      <c r="I1" s="266" t="s">
        <v>333</v>
      </c>
      <c r="J1" s="266" t="s">
        <v>332</v>
      </c>
      <c r="K1" s="266" t="s">
        <v>320</v>
      </c>
      <c r="M1" s="266" t="s">
        <v>331</v>
      </c>
      <c r="N1" s="267" t="s">
        <v>330</v>
      </c>
      <c r="O1" s="266" t="s">
        <v>329</v>
      </c>
      <c r="P1" s="266" t="s">
        <v>325</v>
      </c>
      <c r="Q1" s="266" t="s">
        <v>320</v>
      </c>
      <c r="S1" s="266" t="s">
        <v>328</v>
      </c>
      <c r="T1" s="267" t="s">
        <v>327</v>
      </c>
      <c r="U1" s="266" t="s">
        <v>326</v>
      </c>
      <c r="V1" s="266" t="s">
        <v>325</v>
      </c>
      <c r="W1" s="266" t="s">
        <v>320</v>
      </c>
      <c r="Y1" s="266" t="s">
        <v>324</v>
      </c>
      <c r="Z1" s="267" t="s">
        <v>323</v>
      </c>
      <c r="AA1" s="266" t="s">
        <v>322</v>
      </c>
      <c r="AB1" s="266" t="s">
        <v>321</v>
      </c>
      <c r="AC1" s="266" t="s">
        <v>320</v>
      </c>
      <c r="AE1" s="266" t="s">
        <v>319</v>
      </c>
      <c r="AF1" s="267" t="s">
        <v>318</v>
      </c>
      <c r="AG1" s="266" t="s">
        <v>317</v>
      </c>
      <c r="AH1" s="266" t="s">
        <v>316</v>
      </c>
      <c r="AI1" s="266" t="s">
        <v>315</v>
      </c>
      <c r="AK1" s="266" t="s">
        <v>314</v>
      </c>
      <c r="AL1" s="267" t="s">
        <v>313</v>
      </c>
      <c r="AM1" s="266" t="s">
        <v>312</v>
      </c>
      <c r="AN1" s="266" t="s">
        <v>311</v>
      </c>
      <c r="AO1" s="266" t="s">
        <v>310</v>
      </c>
      <c r="AQ1" s="266" t="s">
        <v>309</v>
      </c>
      <c r="AR1" s="267" t="s">
        <v>308</v>
      </c>
      <c r="AS1" s="266" t="s">
        <v>307</v>
      </c>
      <c r="AT1" s="266" t="s">
        <v>306</v>
      </c>
      <c r="AU1" s="266" t="s">
        <v>305</v>
      </c>
      <c r="AW1" s="266" t="s">
        <v>304</v>
      </c>
      <c r="AX1" s="267" t="s">
        <v>303</v>
      </c>
      <c r="AY1" s="266" t="s">
        <v>302</v>
      </c>
      <c r="AZ1" s="266" t="s">
        <v>301</v>
      </c>
      <c r="BA1" s="266" t="s">
        <v>300</v>
      </c>
      <c r="BC1" s="266" t="s">
        <v>299</v>
      </c>
      <c r="BD1" s="267" t="s">
        <v>298</v>
      </c>
      <c r="BE1" s="266" t="s">
        <v>292</v>
      </c>
      <c r="BF1" s="266" t="s">
        <v>291</v>
      </c>
      <c r="BG1" s="266" t="s">
        <v>290</v>
      </c>
      <c r="BI1" s="266" t="s">
        <v>297</v>
      </c>
      <c r="BJ1" s="267" t="s">
        <v>296</v>
      </c>
      <c r="BK1" s="266" t="s">
        <v>295</v>
      </c>
      <c r="BL1" s="266" t="s">
        <v>294</v>
      </c>
      <c r="BM1" s="266" t="s">
        <v>293</v>
      </c>
      <c r="BO1" s="265">
        <v>43800</v>
      </c>
      <c r="BP1" s="265">
        <v>16041</v>
      </c>
      <c r="BQ1" s="264" t="s">
        <v>292</v>
      </c>
      <c r="BR1" s="264" t="s">
        <v>291</v>
      </c>
      <c r="BS1" s="264" t="s">
        <v>290</v>
      </c>
    </row>
    <row r="2" spans="1:72" x14ac:dyDescent="0.25">
      <c r="A2" s="252">
        <v>1631792.94</v>
      </c>
      <c r="B2" s="252">
        <v>296232.07</v>
      </c>
      <c r="C2" s="252">
        <v>252021.85</v>
      </c>
      <c r="D2" s="252">
        <v>30402.9</v>
      </c>
      <c r="E2" s="252">
        <v>449909.19</v>
      </c>
      <c r="G2" s="252">
        <v>1520540.16</v>
      </c>
      <c r="H2" s="252">
        <v>1144374.72</v>
      </c>
      <c r="I2" s="252">
        <v>122520.69</v>
      </c>
      <c r="J2" s="252">
        <v>124716.33</v>
      </c>
      <c r="K2" s="252">
        <v>99192.01</v>
      </c>
      <c r="M2" s="252">
        <v>1067766.83</v>
      </c>
      <c r="N2" s="252">
        <v>372399.68</v>
      </c>
      <c r="O2" s="252">
        <v>201976.19</v>
      </c>
      <c r="P2" s="252">
        <v>114890.08</v>
      </c>
      <c r="Q2" s="252">
        <v>319520.65999999997</v>
      </c>
      <c r="S2" s="252">
        <v>845733</v>
      </c>
      <c r="T2" s="252">
        <v>898245.5</v>
      </c>
      <c r="U2" s="252">
        <v>122216.49</v>
      </c>
      <c r="V2" s="252">
        <v>161063.06</v>
      </c>
      <c r="W2" s="252">
        <v>227554.03</v>
      </c>
      <c r="Y2" s="252"/>
      <c r="Z2" s="252"/>
      <c r="AA2" s="252"/>
      <c r="AB2" s="252"/>
      <c r="AC2" s="252"/>
      <c r="AE2" s="252"/>
      <c r="AF2" s="252"/>
      <c r="AG2" s="252"/>
      <c r="AH2" s="252"/>
      <c r="AI2" s="252"/>
      <c r="AK2" s="252"/>
      <c r="AL2" s="252"/>
      <c r="AM2" s="252"/>
      <c r="AN2" s="252"/>
      <c r="AO2" s="252"/>
      <c r="AQ2" s="252"/>
      <c r="AR2" s="252"/>
      <c r="AS2" s="252"/>
      <c r="AT2" s="252"/>
      <c r="AU2" s="252"/>
      <c r="AW2" s="252"/>
      <c r="AX2" s="252"/>
      <c r="AY2" s="252"/>
      <c r="AZ2" s="252"/>
      <c r="BA2" s="252"/>
      <c r="BC2" s="252"/>
      <c r="BD2" s="252"/>
      <c r="BE2" s="252"/>
      <c r="BF2" s="252"/>
      <c r="BG2" s="252"/>
      <c r="BI2" s="252"/>
      <c r="BJ2" s="252"/>
      <c r="BK2" s="252"/>
      <c r="BL2" s="252"/>
      <c r="BM2" s="252"/>
      <c r="BO2" s="248"/>
      <c r="BP2" s="252"/>
      <c r="BQ2" s="252"/>
      <c r="BR2" s="252"/>
      <c r="BS2" s="252"/>
      <c r="BT2" s="257"/>
    </row>
    <row r="3" spans="1:72" x14ac:dyDescent="0.25">
      <c r="A3" s="252"/>
      <c r="B3" s="252">
        <v>-0.13</v>
      </c>
      <c r="C3" s="252"/>
      <c r="D3" s="252"/>
      <c r="E3" s="252"/>
      <c r="G3" s="252">
        <v>-200000</v>
      </c>
      <c r="H3" s="252"/>
      <c r="I3" s="252">
        <v>-1565.55</v>
      </c>
      <c r="J3" s="252">
        <v>-12700.87</v>
      </c>
      <c r="K3" s="252"/>
      <c r="M3" s="252">
        <v>-15000</v>
      </c>
      <c r="N3" s="252"/>
      <c r="O3" s="252">
        <v>-767.51</v>
      </c>
      <c r="P3" s="252"/>
      <c r="Q3" s="252">
        <v>-12216.66</v>
      </c>
      <c r="S3" s="252">
        <v>-3000</v>
      </c>
      <c r="T3" s="252"/>
      <c r="U3" s="252"/>
      <c r="V3" s="252"/>
      <c r="W3" s="252"/>
      <c r="Y3" s="252"/>
      <c r="Z3" s="252"/>
      <c r="AA3" s="252"/>
      <c r="AB3" s="252"/>
      <c r="AC3" s="252"/>
      <c r="AE3" s="252"/>
      <c r="AF3" s="252"/>
      <c r="AG3" s="252"/>
      <c r="AH3" s="252"/>
      <c r="AI3" s="252"/>
      <c r="AK3" s="252"/>
      <c r="AL3" s="252"/>
      <c r="AM3" s="252"/>
      <c r="AN3" s="252"/>
      <c r="AO3" s="252"/>
      <c r="AQ3" s="252"/>
      <c r="AR3" s="252"/>
      <c r="AS3" s="252"/>
      <c r="AT3" s="252"/>
      <c r="AU3" s="252"/>
      <c r="AW3" s="252"/>
      <c r="AX3" s="252"/>
      <c r="AY3" s="252"/>
      <c r="AZ3" s="252"/>
      <c r="BA3" s="252"/>
      <c r="BC3" s="252"/>
      <c r="BD3" s="252"/>
      <c r="BE3" s="252"/>
      <c r="BF3" s="252"/>
      <c r="BG3" s="252"/>
      <c r="BI3" s="252"/>
      <c r="BJ3" s="252"/>
      <c r="BK3" s="252"/>
      <c r="BL3" s="252"/>
      <c r="BM3" s="252"/>
      <c r="BO3" s="252"/>
      <c r="BP3" s="252"/>
      <c r="BQ3" s="252"/>
      <c r="BR3" s="252"/>
      <c r="BS3" s="252"/>
      <c r="BT3" s="257"/>
    </row>
    <row r="4" spans="1:72" x14ac:dyDescent="0.25">
      <c r="A4" s="252"/>
      <c r="B4" s="252"/>
      <c r="C4" s="252"/>
      <c r="D4" s="252"/>
      <c r="E4" s="252"/>
      <c r="G4" s="252"/>
      <c r="H4" s="252"/>
      <c r="I4" s="252"/>
      <c r="J4" s="252"/>
      <c r="K4" s="252"/>
      <c r="M4" s="252"/>
      <c r="N4" s="252"/>
      <c r="O4" s="252"/>
      <c r="P4" s="252"/>
      <c r="Q4" s="252"/>
      <c r="S4" s="252">
        <v>-1522</v>
      </c>
      <c r="T4" s="252"/>
      <c r="U4" s="252"/>
      <c r="V4" s="252"/>
      <c r="W4" s="252"/>
      <c r="Y4" s="252"/>
      <c r="Z4" s="252"/>
      <c r="AA4" s="252"/>
      <c r="AB4" s="252"/>
      <c r="AC4" s="252"/>
      <c r="AE4" s="252"/>
      <c r="AF4" s="252"/>
      <c r="AG4" s="252"/>
      <c r="AH4" s="252"/>
      <c r="AI4" s="252"/>
      <c r="AK4" s="252"/>
      <c r="AL4" s="252"/>
      <c r="AM4" s="252"/>
      <c r="AN4" s="252"/>
      <c r="AO4" s="252"/>
      <c r="AQ4" s="252"/>
      <c r="AR4" s="252"/>
      <c r="AS4" s="252"/>
      <c r="AT4" s="252"/>
      <c r="AU4" s="252"/>
      <c r="AW4" s="252"/>
      <c r="AX4" s="252"/>
      <c r="AY4" s="252"/>
      <c r="AZ4" s="252"/>
      <c r="BA4" s="252"/>
      <c r="BC4" s="252"/>
      <c r="BD4" s="252"/>
      <c r="BE4" s="252"/>
      <c r="BF4" s="252"/>
      <c r="BG4" s="252"/>
      <c r="BI4" s="252"/>
      <c r="BJ4" s="252"/>
      <c r="BK4" s="252"/>
      <c r="BL4" s="252"/>
      <c r="BM4" s="252"/>
      <c r="BO4" s="252"/>
      <c r="BP4" s="252"/>
      <c r="BQ4" s="252"/>
      <c r="BR4" s="252"/>
      <c r="BS4" s="252"/>
      <c r="BT4" s="257"/>
    </row>
    <row r="5" spans="1:72" x14ac:dyDescent="0.25">
      <c r="A5" s="252"/>
      <c r="B5" s="252"/>
      <c r="C5" s="252"/>
      <c r="D5" s="252"/>
      <c r="E5" s="252"/>
      <c r="G5" s="252"/>
      <c r="H5" s="252"/>
      <c r="I5" s="252"/>
      <c r="J5" s="252"/>
      <c r="K5" s="252"/>
      <c r="M5" s="252"/>
      <c r="N5" s="252"/>
      <c r="O5" s="252"/>
      <c r="P5" s="252"/>
      <c r="Q5" s="252"/>
      <c r="S5" s="252">
        <v>-80.319999999999993</v>
      </c>
      <c r="T5" s="252"/>
      <c r="U5" s="252"/>
      <c r="V5" s="252"/>
      <c r="W5" s="252"/>
      <c r="Y5" s="252"/>
      <c r="Z5" s="252"/>
      <c r="AA5" s="252"/>
      <c r="AB5" s="252"/>
      <c r="AC5" s="252"/>
      <c r="AE5" s="252"/>
      <c r="AF5" s="252"/>
      <c r="AG5" s="252"/>
      <c r="AH5" s="252"/>
      <c r="AI5" s="252"/>
      <c r="AK5" s="252"/>
      <c r="AL5" s="252"/>
      <c r="AM5" s="252"/>
      <c r="AN5" s="252"/>
      <c r="AO5" s="252"/>
      <c r="AQ5" s="252"/>
      <c r="AR5" s="252"/>
      <c r="AS5" s="252"/>
      <c r="AT5" s="252"/>
      <c r="AU5" s="252"/>
      <c r="AW5" s="252"/>
      <c r="AX5" s="252"/>
      <c r="AY5" s="252"/>
      <c r="AZ5" s="252"/>
      <c r="BA5" s="252"/>
      <c r="BC5" s="252"/>
      <c r="BD5" s="252"/>
      <c r="BE5" s="252"/>
      <c r="BF5" s="252"/>
      <c r="BG5" s="252"/>
      <c r="BI5" s="252"/>
      <c r="BJ5" s="252"/>
      <c r="BK5" s="252"/>
      <c r="BL5" s="252"/>
      <c r="BM5" s="252"/>
      <c r="BO5" s="252"/>
      <c r="BP5" s="252"/>
      <c r="BQ5" s="252"/>
      <c r="BR5" s="252"/>
      <c r="BS5" s="252"/>
      <c r="BT5" s="257"/>
    </row>
    <row r="6" spans="1:72" x14ac:dyDescent="0.25">
      <c r="A6" s="252"/>
      <c r="B6" s="252"/>
      <c r="C6" s="252"/>
      <c r="D6" s="252"/>
      <c r="E6" s="252"/>
      <c r="F6" s="250"/>
      <c r="G6" s="252"/>
      <c r="H6" s="252"/>
      <c r="I6" s="252"/>
      <c r="J6" s="252"/>
      <c r="K6" s="252"/>
      <c r="M6" s="252"/>
      <c r="N6" s="252"/>
      <c r="O6" s="252"/>
      <c r="P6" s="252"/>
      <c r="Q6" s="252"/>
      <c r="S6" s="252"/>
      <c r="T6" s="252"/>
      <c r="U6" s="252"/>
      <c r="V6" s="252"/>
      <c r="W6" s="252"/>
      <c r="Y6" s="252"/>
      <c r="Z6" s="252"/>
      <c r="AA6" s="252"/>
      <c r="AB6" s="252"/>
      <c r="AC6" s="252"/>
      <c r="AE6" s="252"/>
      <c r="AF6" s="252"/>
      <c r="AG6" s="252"/>
      <c r="AH6" s="252"/>
      <c r="AI6" s="252"/>
      <c r="AK6" s="252"/>
      <c r="AL6" s="252"/>
      <c r="AM6" s="252"/>
      <c r="AN6" s="252"/>
      <c r="AO6" s="252"/>
      <c r="AQ6" s="252"/>
      <c r="AR6" s="252"/>
      <c r="AS6" s="252"/>
      <c r="AT6" s="252"/>
      <c r="AU6" s="252"/>
      <c r="AW6" s="252"/>
      <c r="AX6" s="252"/>
      <c r="AY6" s="252"/>
      <c r="AZ6" s="252"/>
      <c r="BA6" s="252"/>
      <c r="BC6" s="252"/>
      <c r="BD6" s="252"/>
      <c r="BE6" s="252"/>
      <c r="BF6" s="252"/>
      <c r="BG6" s="252"/>
      <c r="BI6" s="252"/>
      <c r="BJ6" s="252"/>
      <c r="BK6" s="252"/>
      <c r="BL6" s="252"/>
      <c r="BM6" s="252"/>
      <c r="BO6" s="252"/>
      <c r="BP6" s="252"/>
      <c r="BQ6" s="252"/>
      <c r="BR6" s="252"/>
      <c r="BS6" s="252"/>
      <c r="BT6" s="257"/>
    </row>
    <row r="7" spans="1:72" x14ac:dyDescent="0.25">
      <c r="A7" s="252"/>
      <c r="B7" s="252"/>
      <c r="C7" s="252"/>
      <c r="D7" s="252"/>
      <c r="E7" s="252"/>
      <c r="F7" s="250"/>
      <c r="G7" s="252"/>
      <c r="H7" s="252"/>
      <c r="I7" s="252"/>
      <c r="J7" s="252"/>
      <c r="K7" s="252"/>
      <c r="M7" s="252"/>
      <c r="N7" s="252"/>
      <c r="O7" s="252"/>
      <c r="P7" s="252"/>
      <c r="Q7" s="252"/>
      <c r="S7" s="252"/>
      <c r="T7" s="252"/>
      <c r="U7" s="252"/>
      <c r="V7" s="252"/>
      <c r="W7" s="252"/>
      <c r="Y7" s="252"/>
      <c r="Z7" s="252"/>
      <c r="AA7" s="252"/>
      <c r="AB7" s="252"/>
      <c r="AC7" s="252"/>
      <c r="AE7" s="252"/>
      <c r="AF7" s="252"/>
      <c r="AG7" s="252"/>
      <c r="AH7" s="252"/>
      <c r="AI7" s="252"/>
      <c r="AK7" s="252"/>
      <c r="AL7" s="252"/>
      <c r="AM7" s="252"/>
      <c r="AN7" s="252"/>
      <c r="AO7" s="252"/>
      <c r="AQ7" s="252"/>
      <c r="AR7" s="252"/>
      <c r="AS7" s="252"/>
      <c r="AT7" s="252"/>
      <c r="AU7" s="252"/>
      <c r="AW7" s="252"/>
      <c r="AX7" s="252"/>
      <c r="AY7" s="252"/>
      <c r="AZ7" s="252"/>
      <c r="BA7" s="252"/>
      <c r="BC7" s="252"/>
      <c r="BD7" s="252"/>
      <c r="BE7" s="252"/>
      <c r="BF7" s="252"/>
      <c r="BG7" s="252"/>
      <c r="BI7" s="252"/>
      <c r="BJ7" s="252"/>
      <c r="BK7" s="252"/>
      <c r="BL7" s="252"/>
      <c r="BM7" s="252"/>
      <c r="BO7" s="252"/>
      <c r="BP7" s="252"/>
      <c r="BQ7" s="252"/>
      <c r="BR7" s="252"/>
      <c r="BS7" s="252"/>
      <c r="BT7" s="257"/>
    </row>
    <row r="8" spans="1:72" x14ac:dyDescent="0.25">
      <c r="A8" s="252"/>
      <c r="B8" s="252"/>
      <c r="C8" s="252"/>
      <c r="D8" s="252"/>
      <c r="E8" s="252"/>
      <c r="F8" s="250"/>
      <c r="G8" s="252"/>
      <c r="H8" s="252"/>
      <c r="I8" s="252"/>
      <c r="J8" s="252"/>
      <c r="K8" s="252"/>
      <c r="M8" s="252"/>
      <c r="N8" s="252"/>
      <c r="O8" s="252"/>
      <c r="P8" s="252"/>
      <c r="Q8" s="252"/>
      <c r="S8" s="252"/>
      <c r="T8" s="252"/>
      <c r="U8" s="252"/>
      <c r="V8" s="252"/>
      <c r="W8" s="252"/>
      <c r="Y8" s="252"/>
      <c r="Z8" s="252"/>
      <c r="AA8" s="252"/>
      <c r="AB8" s="252"/>
      <c r="AC8" s="252"/>
      <c r="AE8" s="252"/>
      <c r="AF8" s="252"/>
      <c r="AG8" s="252"/>
      <c r="AH8" s="252"/>
      <c r="AI8" s="252"/>
      <c r="AK8" s="252"/>
      <c r="AL8" s="252"/>
      <c r="AM8" s="252"/>
      <c r="AN8" s="252"/>
      <c r="AO8" s="252"/>
      <c r="AQ8" s="252"/>
      <c r="AR8" s="252"/>
      <c r="AS8" s="252"/>
      <c r="AT8" s="252"/>
      <c r="AU8" s="252"/>
      <c r="AW8" s="252"/>
      <c r="AX8" s="252"/>
      <c r="AY8" s="252"/>
      <c r="AZ8" s="252"/>
      <c r="BA8" s="252"/>
      <c r="BC8" s="252"/>
      <c r="BD8" s="252"/>
      <c r="BE8" s="252"/>
      <c r="BF8" s="252"/>
      <c r="BG8" s="252"/>
      <c r="BI8" s="252"/>
      <c r="BJ8" s="252"/>
      <c r="BK8" s="252"/>
      <c r="BL8" s="252"/>
      <c r="BM8" s="252"/>
      <c r="BO8" s="252"/>
      <c r="BP8" s="252"/>
      <c r="BQ8" s="252"/>
      <c r="BR8" s="252"/>
      <c r="BS8" s="252"/>
      <c r="BT8" s="257"/>
    </row>
    <row r="9" spans="1:72" x14ac:dyDescent="0.25">
      <c r="A9" s="252"/>
      <c r="B9" s="252"/>
      <c r="C9" s="252"/>
      <c r="D9" s="252"/>
      <c r="E9" s="252"/>
      <c r="F9" s="250"/>
      <c r="G9" s="252"/>
      <c r="H9" s="252"/>
      <c r="I9" s="252"/>
      <c r="J9" s="252"/>
      <c r="K9" s="252"/>
      <c r="M9" s="252"/>
      <c r="N9" s="252"/>
      <c r="O9" s="252"/>
      <c r="P9" s="252"/>
      <c r="Q9" s="252"/>
      <c r="S9" s="252"/>
      <c r="T9" s="252"/>
      <c r="U9" s="252"/>
      <c r="V9" s="252"/>
      <c r="W9" s="252"/>
      <c r="Y9" s="252"/>
      <c r="Z9" s="252"/>
      <c r="AA9" s="252"/>
      <c r="AB9" s="252"/>
      <c r="AC9" s="252"/>
      <c r="AE9" s="252"/>
      <c r="AF9" s="252"/>
      <c r="AG9" s="252"/>
      <c r="AH9" s="252"/>
      <c r="AI9" s="252"/>
      <c r="AK9" s="252"/>
      <c r="AL9" s="252"/>
      <c r="AM9" s="252"/>
      <c r="AN9" s="252"/>
      <c r="AO9" s="252"/>
      <c r="AQ9" s="252"/>
      <c r="AR9" s="252"/>
      <c r="AS9" s="252"/>
      <c r="AT9" s="252"/>
      <c r="AU9" s="252"/>
      <c r="AW9" s="252"/>
      <c r="AX9" s="252"/>
      <c r="AY9" s="252"/>
      <c r="AZ9" s="252"/>
      <c r="BA9" s="252"/>
      <c r="BC9" s="252"/>
      <c r="BD9" s="252"/>
      <c r="BE9" s="252"/>
      <c r="BF9" s="252"/>
      <c r="BG9" s="252"/>
      <c r="BI9" s="252"/>
      <c r="BJ9" s="252"/>
      <c r="BK9" s="252"/>
      <c r="BL9" s="252"/>
      <c r="BM9" s="252"/>
      <c r="BO9" s="252"/>
      <c r="BP9" s="252"/>
      <c r="BQ9" s="252"/>
      <c r="BR9" s="252"/>
      <c r="BS9" s="252"/>
      <c r="BT9" s="257"/>
    </row>
    <row r="10" spans="1:72" x14ac:dyDescent="0.25">
      <c r="A10" s="252"/>
      <c r="B10" s="252"/>
      <c r="C10" s="252"/>
      <c r="D10" s="252"/>
      <c r="E10" s="252"/>
      <c r="F10" s="250"/>
      <c r="G10" s="252"/>
      <c r="H10" s="252"/>
      <c r="I10" s="252"/>
      <c r="J10" s="252"/>
      <c r="K10" s="252"/>
      <c r="M10" s="252"/>
      <c r="N10" s="252"/>
      <c r="O10" s="252"/>
      <c r="P10" s="252"/>
      <c r="Q10" s="252"/>
      <c r="S10" s="252"/>
      <c r="T10" s="252"/>
      <c r="U10" s="252"/>
      <c r="V10" s="252"/>
      <c r="W10" s="252"/>
      <c r="Y10" s="252"/>
      <c r="Z10" s="252"/>
      <c r="AA10" s="252"/>
      <c r="AB10" s="252"/>
      <c r="AC10" s="252"/>
      <c r="AE10" s="252"/>
      <c r="AF10" s="252"/>
      <c r="AG10" s="252"/>
      <c r="AH10" s="252"/>
      <c r="AI10" s="252"/>
      <c r="AK10" s="252"/>
      <c r="AL10" s="252"/>
      <c r="AM10" s="252"/>
      <c r="AN10" s="252"/>
      <c r="AO10" s="252"/>
      <c r="AQ10" s="252"/>
      <c r="AR10" s="252"/>
      <c r="AS10" s="252"/>
      <c r="AT10" s="252"/>
      <c r="AU10" s="252"/>
      <c r="AW10" s="252"/>
      <c r="AX10" s="252"/>
      <c r="AY10" s="252"/>
      <c r="AZ10" s="252"/>
      <c r="BA10" s="252"/>
      <c r="BC10" s="252"/>
      <c r="BD10" s="252"/>
      <c r="BE10" s="252"/>
      <c r="BF10" s="252"/>
      <c r="BG10" s="252"/>
      <c r="BI10" s="252"/>
      <c r="BJ10" s="252"/>
      <c r="BK10" s="252"/>
      <c r="BL10" s="252"/>
      <c r="BM10" s="252"/>
      <c r="BO10" s="252"/>
      <c r="BP10" s="252"/>
      <c r="BQ10" s="252"/>
      <c r="BR10" s="252"/>
      <c r="BS10" s="252"/>
      <c r="BT10" s="257"/>
    </row>
    <row r="11" spans="1:72" x14ac:dyDescent="0.25">
      <c r="A11" s="252"/>
      <c r="B11" s="252"/>
      <c r="C11" s="252"/>
      <c r="D11" s="252"/>
      <c r="E11" s="252"/>
      <c r="F11" s="250"/>
      <c r="G11" s="252"/>
      <c r="H11" s="252"/>
      <c r="I11" s="252"/>
      <c r="J11" s="252"/>
      <c r="K11" s="252"/>
      <c r="M11" s="252"/>
      <c r="N11" s="252"/>
      <c r="O11" s="252"/>
      <c r="P11" s="252"/>
      <c r="Q11" s="252"/>
      <c r="S11" s="252"/>
      <c r="T11" s="252"/>
      <c r="U11" s="252"/>
      <c r="V11" s="252"/>
      <c r="W11" s="252"/>
      <c r="Y11" s="252"/>
      <c r="Z11" s="252"/>
      <c r="AA11" s="252"/>
      <c r="AB11" s="252"/>
      <c r="AC11" s="252"/>
      <c r="AE11" s="252"/>
      <c r="AF11" s="252"/>
      <c r="AG11" s="252"/>
      <c r="AH11" s="252"/>
      <c r="AI11" s="252"/>
      <c r="AK11" s="252"/>
      <c r="AL11" s="252"/>
      <c r="AM11" s="252"/>
      <c r="AN11" s="252"/>
      <c r="AO11" s="252"/>
      <c r="AQ11" s="252"/>
      <c r="AR11" s="252"/>
      <c r="AS11" s="252"/>
      <c r="AT11" s="252"/>
      <c r="AU11" s="252"/>
      <c r="AW11" s="252"/>
      <c r="AX11" s="252"/>
      <c r="AY11" s="252"/>
      <c r="AZ11" s="252"/>
      <c r="BA11" s="252"/>
      <c r="BC11" s="252"/>
      <c r="BD11" s="252"/>
      <c r="BE11" s="252"/>
      <c r="BF11" s="252"/>
      <c r="BG11" s="252"/>
      <c r="BI11" s="252"/>
      <c r="BJ11" s="252"/>
      <c r="BK11" s="252"/>
      <c r="BL11" s="252"/>
      <c r="BM11" s="252"/>
      <c r="BO11" s="252"/>
      <c r="BP11" s="252"/>
      <c r="BQ11" s="252"/>
      <c r="BR11" s="252"/>
      <c r="BS11" s="252"/>
      <c r="BT11" s="257"/>
    </row>
    <row r="12" spans="1:72" x14ac:dyDescent="0.25">
      <c r="A12" s="252"/>
      <c r="B12" s="252"/>
      <c r="C12" s="252"/>
      <c r="D12" s="252"/>
      <c r="E12" s="252"/>
      <c r="F12" s="250"/>
      <c r="G12" s="252"/>
      <c r="H12" s="252"/>
      <c r="I12" s="252"/>
      <c r="J12" s="252"/>
      <c r="K12" s="252"/>
      <c r="M12" s="252"/>
      <c r="N12" s="252"/>
      <c r="O12" s="252"/>
      <c r="P12" s="252"/>
      <c r="Q12" s="252"/>
      <c r="S12" s="252"/>
      <c r="T12" s="252"/>
      <c r="U12" s="252"/>
      <c r="V12" s="252"/>
      <c r="W12" s="252"/>
      <c r="Y12" s="252"/>
      <c r="Z12" s="252"/>
      <c r="AA12" s="252"/>
      <c r="AB12" s="252"/>
      <c r="AC12" s="252"/>
      <c r="AE12" s="252"/>
      <c r="AF12" s="252"/>
      <c r="AG12" s="252"/>
      <c r="AH12" s="252"/>
      <c r="AI12" s="252"/>
      <c r="AK12" s="252"/>
      <c r="AL12" s="252"/>
      <c r="AM12" s="252"/>
      <c r="AN12" s="252"/>
      <c r="AO12" s="252"/>
      <c r="AQ12" s="252"/>
      <c r="AR12" s="252"/>
      <c r="AS12" s="252"/>
      <c r="AT12" s="252"/>
      <c r="AU12" s="252"/>
      <c r="AW12" s="252"/>
      <c r="AX12" s="252"/>
      <c r="AY12" s="252"/>
      <c r="AZ12" s="252"/>
      <c r="BA12" s="252"/>
      <c r="BC12" s="252"/>
      <c r="BD12" s="252"/>
      <c r="BE12" s="252"/>
      <c r="BF12" s="252"/>
      <c r="BG12" s="252"/>
      <c r="BI12" s="252"/>
      <c r="BJ12" s="252"/>
      <c r="BK12" s="252"/>
      <c r="BL12" s="252"/>
      <c r="BM12" s="252"/>
      <c r="BO12" s="252"/>
      <c r="BP12" s="252"/>
      <c r="BQ12" s="252"/>
      <c r="BR12" s="252"/>
      <c r="BS12" s="252"/>
      <c r="BT12" s="257"/>
    </row>
    <row r="13" spans="1:72" x14ac:dyDescent="0.25">
      <c r="A13" s="252"/>
      <c r="B13" s="252"/>
      <c r="C13" s="252"/>
      <c r="D13" s="252"/>
      <c r="E13" s="252"/>
      <c r="F13" s="250"/>
      <c r="G13" s="252"/>
      <c r="H13" s="252"/>
      <c r="I13" s="252"/>
      <c r="J13" s="252"/>
      <c r="K13" s="252"/>
      <c r="M13" s="252"/>
      <c r="N13" s="252"/>
      <c r="O13" s="252"/>
      <c r="P13" s="252"/>
      <c r="Q13" s="252"/>
      <c r="S13" s="252"/>
      <c r="T13" s="252"/>
      <c r="U13" s="252"/>
      <c r="V13" s="252"/>
      <c r="W13" s="252"/>
      <c r="Y13" s="252"/>
      <c r="Z13" s="252"/>
      <c r="AA13" s="252"/>
      <c r="AB13" s="252"/>
      <c r="AC13" s="252"/>
      <c r="AE13" s="252"/>
      <c r="AF13" s="252"/>
      <c r="AG13" s="252"/>
      <c r="AH13" s="252"/>
      <c r="AI13" s="252"/>
      <c r="AK13" s="252"/>
      <c r="AL13" s="252"/>
      <c r="AM13" s="252"/>
      <c r="AN13" s="252"/>
      <c r="AO13" s="252"/>
      <c r="AQ13" s="252"/>
      <c r="AR13" s="252"/>
      <c r="AS13" s="252"/>
      <c r="AT13" s="252"/>
      <c r="AU13" s="252"/>
      <c r="AW13" s="252"/>
      <c r="AX13" s="252"/>
      <c r="AY13" s="252"/>
      <c r="AZ13" s="252"/>
      <c r="BA13" s="252"/>
      <c r="BC13" s="252"/>
      <c r="BD13" s="252"/>
      <c r="BE13" s="252"/>
      <c r="BF13" s="252"/>
      <c r="BG13" s="252"/>
      <c r="BI13" s="252"/>
      <c r="BJ13" s="252"/>
      <c r="BK13" s="252"/>
      <c r="BL13" s="252"/>
      <c r="BM13" s="252"/>
      <c r="BO13" s="252"/>
      <c r="BP13" s="252"/>
      <c r="BQ13" s="252"/>
      <c r="BR13" s="252"/>
      <c r="BS13" s="252"/>
      <c r="BT13" s="257"/>
    </row>
    <row r="14" spans="1:72" x14ac:dyDescent="0.25">
      <c r="A14" s="252"/>
      <c r="B14" s="252"/>
      <c r="C14" s="252"/>
      <c r="D14" s="252"/>
      <c r="E14" s="252"/>
      <c r="F14" s="250"/>
      <c r="G14" s="252"/>
      <c r="H14" s="252"/>
      <c r="I14" s="252"/>
      <c r="J14" s="252"/>
      <c r="K14" s="252"/>
      <c r="M14" s="252"/>
      <c r="N14" s="252"/>
      <c r="O14" s="252"/>
      <c r="P14" s="252"/>
      <c r="Q14" s="252"/>
      <c r="S14" s="252"/>
      <c r="T14" s="252"/>
      <c r="U14" s="252"/>
      <c r="V14" s="252"/>
      <c r="W14" s="252"/>
      <c r="Y14" s="252"/>
      <c r="Z14" s="252"/>
      <c r="AA14" s="252"/>
      <c r="AB14" s="252"/>
      <c r="AC14" s="252"/>
      <c r="AE14" s="252"/>
      <c r="AF14" s="252"/>
      <c r="AG14" s="252"/>
      <c r="AH14" s="252"/>
      <c r="AI14" s="252"/>
      <c r="AK14" s="252"/>
      <c r="AL14" s="252"/>
      <c r="AM14" s="252"/>
      <c r="AN14" s="252"/>
      <c r="AO14" s="252"/>
      <c r="AQ14" s="252"/>
      <c r="AR14" s="252"/>
      <c r="AS14" s="252"/>
      <c r="AT14" s="252"/>
      <c r="AU14" s="252"/>
      <c r="AW14" s="252"/>
      <c r="AX14" s="252"/>
      <c r="AY14" s="252"/>
      <c r="AZ14" s="252"/>
      <c r="BA14" s="252"/>
      <c r="BC14" s="252"/>
      <c r="BD14" s="252"/>
      <c r="BE14" s="252"/>
      <c r="BF14" s="252"/>
      <c r="BG14" s="252"/>
      <c r="BI14" s="252"/>
      <c r="BJ14" s="252"/>
      <c r="BK14" s="252"/>
      <c r="BL14" s="252"/>
      <c r="BM14" s="252"/>
      <c r="BO14" s="252"/>
      <c r="BP14" s="252"/>
      <c r="BQ14" s="252"/>
      <c r="BR14" s="252"/>
      <c r="BS14" s="252"/>
      <c r="BT14" s="257"/>
    </row>
    <row r="15" spans="1:72" x14ac:dyDescent="0.25">
      <c r="A15" s="252"/>
      <c r="B15" s="252"/>
      <c r="C15" s="252"/>
      <c r="D15" s="252"/>
      <c r="E15" s="252"/>
      <c r="F15" s="250"/>
      <c r="G15" s="252"/>
      <c r="H15" s="252"/>
      <c r="I15" s="252"/>
      <c r="J15" s="252"/>
      <c r="K15" s="252"/>
      <c r="M15" s="252"/>
      <c r="N15" s="252"/>
      <c r="O15" s="252"/>
      <c r="P15" s="252"/>
      <c r="Q15" s="252"/>
      <c r="S15" s="252"/>
      <c r="T15" s="252"/>
      <c r="U15" s="252"/>
      <c r="V15" s="252"/>
      <c r="W15" s="252"/>
      <c r="Y15" s="252"/>
      <c r="Z15" s="252"/>
      <c r="AA15" s="252"/>
      <c r="AB15" s="252"/>
      <c r="AC15" s="252"/>
      <c r="AE15" s="252"/>
      <c r="AF15" s="252"/>
      <c r="AG15" s="252"/>
      <c r="AH15" s="252"/>
      <c r="AI15" s="252"/>
      <c r="AK15" s="252"/>
      <c r="AL15" s="252"/>
      <c r="AM15" s="252"/>
      <c r="AN15" s="252"/>
      <c r="AO15" s="252"/>
      <c r="AQ15" s="252"/>
      <c r="AR15" s="252"/>
      <c r="AS15" s="252"/>
      <c r="AT15" s="252"/>
      <c r="AU15" s="252"/>
      <c r="AW15" s="252"/>
      <c r="AX15" s="252"/>
      <c r="AY15" s="252"/>
      <c r="AZ15" s="252"/>
      <c r="BA15" s="252"/>
      <c r="BC15" s="252"/>
      <c r="BD15" s="252"/>
      <c r="BE15" s="252"/>
      <c r="BF15" s="252"/>
      <c r="BG15" s="252"/>
      <c r="BI15" s="252"/>
      <c r="BJ15" s="252"/>
      <c r="BK15" s="252"/>
      <c r="BL15" s="252"/>
      <c r="BM15" s="252"/>
      <c r="BO15" s="252"/>
      <c r="BP15" s="252"/>
      <c r="BQ15" s="252"/>
      <c r="BR15" s="252"/>
      <c r="BS15" s="252"/>
      <c r="BT15" s="257"/>
    </row>
    <row r="16" spans="1:72" x14ac:dyDescent="0.25">
      <c r="A16" s="252"/>
      <c r="B16" s="252"/>
      <c r="C16" s="252"/>
      <c r="D16" s="252"/>
      <c r="E16" s="252"/>
      <c r="F16" s="250"/>
      <c r="G16" s="252"/>
      <c r="H16" s="252"/>
      <c r="I16" s="252"/>
      <c r="J16" s="252"/>
      <c r="K16" s="252"/>
      <c r="M16" s="252"/>
      <c r="N16" s="252"/>
      <c r="O16" s="252"/>
      <c r="P16" s="252"/>
      <c r="Q16" s="257"/>
      <c r="S16" s="252"/>
      <c r="T16" s="252"/>
      <c r="U16" s="252"/>
      <c r="V16" s="252"/>
      <c r="W16" s="252"/>
      <c r="Y16" s="252"/>
      <c r="Z16" s="252"/>
      <c r="AA16" s="252"/>
      <c r="AB16" s="252"/>
      <c r="AC16" s="252"/>
      <c r="AE16" s="252"/>
      <c r="AF16" s="252"/>
      <c r="AG16" s="252"/>
      <c r="AH16" s="252"/>
      <c r="AI16" s="252"/>
      <c r="AK16" s="252"/>
      <c r="AL16" s="252"/>
      <c r="AM16" s="252"/>
      <c r="AN16" s="252"/>
      <c r="AO16" s="252"/>
      <c r="AQ16" s="252"/>
      <c r="AR16" s="252"/>
      <c r="AS16" s="252"/>
      <c r="AT16" s="252"/>
      <c r="AU16" s="252"/>
      <c r="AW16" s="252"/>
      <c r="AX16" s="252"/>
      <c r="AY16" s="252"/>
      <c r="AZ16" s="252"/>
      <c r="BA16" s="252"/>
      <c r="BC16" s="252"/>
      <c r="BD16" s="252"/>
      <c r="BE16" s="252"/>
      <c r="BF16" s="252"/>
      <c r="BG16" s="252"/>
      <c r="BI16" s="252"/>
      <c r="BJ16" s="252"/>
      <c r="BK16" s="252"/>
      <c r="BL16" s="252"/>
      <c r="BM16" s="252"/>
      <c r="BO16" s="252"/>
      <c r="BP16" s="252"/>
      <c r="BQ16" s="252"/>
      <c r="BR16" s="252"/>
      <c r="BS16" s="252"/>
      <c r="BT16" s="257"/>
    </row>
    <row r="17" spans="1:72" x14ac:dyDescent="0.25">
      <c r="A17" s="252"/>
      <c r="B17" s="252"/>
      <c r="C17" s="252"/>
      <c r="D17" s="252"/>
      <c r="E17" s="252"/>
      <c r="G17" s="252"/>
      <c r="H17" s="252"/>
      <c r="I17" s="252"/>
      <c r="J17" s="252"/>
      <c r="K17" s="252"/>
      <c r="M17" s="252"/>
      <c r="N17" s="252"/>
      <c r="O17" s="252"/>
      <c r="P17" s="252"/>
      <c r="Q17" s="257"/>
      <c r="S17" s="252"/>
      <c r="T17" s="252"/>
      <c r="U17" s="252"/>
      <c r="V17" s="252"/>
      <c r="W17" s="252"/>
      <c r="Y17" s="252"/>
      <c r="Z17" s="252"/>
      <c r="AA17" s="252"/>
      <c r="AB17" s="252"/>
      <c r="AC17" s="252"/>
      <c r="AE17" s="252"/>
      <c r="AF17" s="252"/>
      <c r="AG17" s="252"/>
      <c r="AH17" s="252"/>
      <c r="AI17" s="252"/>
      <c r="AK17" s="252"/>
      <c r="AL17" s="252"/>
      <c r="AM17" s="252"/>
      <c r="AN17" s="252"/>
      <c r="AO17" s="252"/>
      <c r="AQ17" s="252"/>
      <c r="AR17" s="252"/>
      <c r="AS17" s="252"/>
      <c r="AT17" s="252"/>
      <c r="AU17" s="252"/>
      <c r="AW17" s="252"/>
      <c r="AX17" s="252"/>
      <c r="AY17" s="252"/>
      <c r="AZ17" s="252"/>
      <c r="BA17" s="252"/>
      <c r="BC17" s="252"/>
      <c r="BD17" s="252"/>
      <c r="BE17" s="252"/>
      <c r="BF17" s="252"/>
      <c r="BG17" s="252"/>
      <c r="BI17" s="252"/>
      <c r="BJ17" s="252"/>
      <c r="BK17" s="252"/>
      <c r="BL17" s="252"/>
      <c r="BM17" s="252"/>
      <c r="BO17" s="252"/>
      <c r="BP17" s="252"/>
      <c r="BQ17" s="252"/>
      <c r="BR17" s="252"/>
      <c r="BS17" s="252"/>
      <c r="BT17" s="257"/>
    </row>
    <row r="18" spans="1:72" x14ac:dyDescent="0.25">
      <c r="A18" s="252"/>
      <c r="B18" s="252"/>
      <c r="C18" s="252"/>
      <c r="D18" s="252"/>
      <c r="E18" s="252"/>
      <c r="G18" s="252"/>
      <c r="H18" s="252"/>
      <c r="I18" s="252"/>
      <c r="J18" s="252"/>
      <c r="K18" s="252"/>
      <c r="M18" s="252"/>
      <c r="N18" s="252"/>
      <c r="O18" s="252"/>
      <c r="P18" s="252"/>
      <c r="Q18" s="257"/>
      <c r="S18" s="252"/>
      <c r="T18" s="252"/>
      <c r="U18" s="252"/>
      <c r="V18" s="252"/>
      <c r="W18" s="252"/>
      <c r="Y18" s="252"/>
      <c r="Z18" s="252"/>
      <c r="AA18" s="252"/>
      <c r="AB18" s="252"/>
      <c r="AC18" s="252"/>
      <c r="AE18" s="252"/>
      <c r="AF18" s="252"/>
      <c r="AG18" s="252"/>
      <c r="AH18" s="252"/>
      <c r="AI18" s="252"/>
      <c r="AK18" s="252"/>
      <c r="AL18" s="252"/>
      <c r="AM18" s="252"/>
      <c r="AN18" s="252"/>
      <c r="AO18" s="252"/>
      <c r="AQ18" s="252"/>
      <c r="AR18" s="252"/>
      <c r="AS18" s="252"/>
      <c r="AT18" s="252"/>
      <c r="AU18" s="252"/>
      <c r="AW18" s="252"/>
      <c r="AX18" s="252"/>
      <c r="AY18" s="252"/>
      <c r="AZ18" s="252"/>
      <c r="BA18" s="252"/>
      <c r="BC18" s="252"/>
      <c r="BD18" s="252"/>
      <c r="BE18" s="252"/>
      <c r="BF18" s="252"/>
      <c r="BG18" s="252"/>
      <c r="BI18" s="252"/>
      <c r="BJ18" s="252"/>
      <c r="BK18" s="252"/>
      <c r="BL18" s="252"/>
      <c r="BM18" s="252"/>
      <c r="BO18" s="252"/>
      <c r="BP18" s="252"/>
      <c r="BQ18" s="252"/>
      <c r="BR18" s="252"/>
      <c r="BS18" s="252"/>
      <c r="BT18" s="257"/>
    </row>
    <row r="19" spans="1:72" x14ac:dyDescent="0.25">
      <c r="A19" s="252"/>
      <c r="B19" s="252"/>
      <c r="C19" s="252"/>
      <c r="D19" s="252"/>
      <c r="E19" s="252"/>
      <c r="G19" s="252"/>
      <c r="H19" s="252"/>
      <c r="I19" s="252"/>
      <c r="J19" s="252"/>
      <c r="K19" s="252"/>
      <c r="M19" s="252"/>
      <c r="N19" s="252"/>
      <c r="O19" s="252"/>
      <c r="P19" s="252"/>
      <c r="Q19" s="252"/>
      <c r="S19" s="252"/>
      <c r="T19" s="252"/>
      <c r="U19" s="252"/>
      <c r="V19" s="252"/>
      <c r="W19" s="252"/>
      <c r="Y19" s="252"/>
      <c r="Z19" s="252"/>
      <c r="AA19" s="252"/>
      <c r="AB19" s="252"/>
      <c r="AC19" s="252"/>
      <c r="AE19" s="252"/>
      <c r="AF19" s="252"/>
      <c r="AG19" s="252"/>
      <c r="AH19" s="252"/>
      <c r="AI19" s="252"/>
      <c r="AK19" s="252"/>
      <c r="AL19" s="252"/>
      <c r="AM19" s="252"/>
      <c r="AN19" s="252"/>
      <c r="AO19" s="252"/>
      <c r="AQ19" s="252"/>
      <c r="AR19" s="252"/>
      <c r="AS19" s="252"/>
      <c r="AT19" s="252"/>
      <c r="AU19" s="252"/>
      <c r="AW19" s="252"/>
      <c r="AX19" s="252"/>
      <c r="AY19" s="252"/>
      <c r="AZ19" s="252"/>
      <c r="BA19" s="252"/>
      <c r="BC19" s="252"/>
      <c r="BD19" s="252"/>
      <c r="BE19" s="252"/>
      <c r="BF19" s="252"/>
      <c r="BG19" s="252"/>
      <c r="BI19" s="252"/>
      <c r="BJ19" s="252"/>
      <c r="BK19" s="252"/>
      <c r="BL19" s="252"/>
      <c r="BM19" s="252"/>
      <c r="BO19" s="252"/>
      <c r="BP19" s="252"/>
      <c r="BQ19" s="252"/>
      <c r="BR19" s="252"/>
      <c r="BS19" s="252"/>
      <c r="BT19" s="257"/>
    </row>
    <row r="20" spans="1:72" x14ac:dyDescent="0.25">
      <c r="A20" s="252"/>
      <c r="B20" s="252"/>
      <c r="C20" s="252"/>
      <c r="D20" s="252"/>
      <c r="E20" s="252"/>
      <c r="G20" s="252"/>
      <c r="H20" s="252"/>
      <c r="I20" s="252"/>
      <c r="J20" s="252"/>
      <c r="K20" s="252"/>
      <c r="M20" s="252"/>
      <c r="N20" s="252"/>
      <c r="O20" s="252"/>
      <c r="P20" s="252"/>
      <c r="Q20" s="252"/>
      <c r="S20" s="252"/>
      <c r="T20" s="252"/>
      <c r="U20" s="252"/>
      <c r="V20" s="252"/>
      <c r="W20" s="252"/>
      <c r="Y20" s="252"/>
      <c r="Z20" s="252"/>
      <c r="AA20" s="252"/>
      <c r="AB20" s="252"/>
      <c r="AC20" s="252"/>
      <c r="AE20" s="252"/>
      <c r="AF20" s="252"/>
      <c r="AG20" s="252"/>
      <c r="AH20" s="252"/>
      <c r="AI20" s="252"/>
      <c r="AK20" s="252"/>
      <c r="AL20" s="252"/>
      <c r="AM20" s="252"/>
      <c r="AN20" s="252"/>
      <c r="AO20" s="252"/>
      <c r="AQ20" s="252"/>
      <c r="AR20" s="252"/>
      <c r="AS20" s="252"/>
      <c r="AT20" s="252"/>
      <c r="AU20" s="252"/>
      <c r="AW20" s="252"/>
      <c r="AX20" s="252"/>
      <c r="AY20" s="252"/>
      <c r="AZ20" s="252"/>
      <c r="BA20" s="252"/>
      <c r="BC20" s="252"/>
      <c r="BD20" s="252"/>
      <c r="BE20" s="252"/>
      <c r="BF20" s="252"/>
      <c r="BG20" s="252"/>
      <c r="BI20" s="252"/>
      <c r="BJ20" s="252"/>
      <c r="BK20" s="252"/>
      <c r="BL20" s="252"/>
      <c r="BM20" s="252"/>
      <c r="BO20" s="252"/>
      <c r="BP20" s="252"/>
      <c r="BQ20" s="252"/>
      <c r="BR20" s="252"/>
      <c r="BS20" s="252"/>
      <c r="BT20" s="257"/>
    </row>
    <row r="21" spans="1:72" x14ac:dyDescent="0.25">
      <c r="A21" s="252"/>
      <c r="B21" s="252"/>
      <c r="C21" s="252"/>
      <c r="D21" s="252"/>
      <c r="E21" s="252"/>
      <c r="G21" s="252"/>
      <c r="H21" s="252"/>
      <c r="I21" s="252"/>
      <c r="J21" s="252"/>
      <c r="K21" s="252"/>
      <c r="M21" s="252"/>
      <c r="N21" s="252"/>
      <c r="O21" s="252"/>
      <c r="P21" s="252"/>
      <c r="Q21" s="252"/>
      <c r="S21" s="252"/>
      <c r="T21" s="252"/>
      <c r="U21" s="252"/>
      <c r="V21" s="252"/>
      <c r="W21" s="252"/>
      <c r="Y21" s="252"/>
      <c r="Z21" s="252"/>
      <c r="AA21" s="252"/>
      <c r="AB21" s="252"/>
      <c r="AC21" s="252"/>
      <c r="AE21" s="252"/>
      <c r="AF21" s="252"/>
      <c r="AG21" s="252"/>
      <c r="AH21" s="252"/>
      <c r="AI21" s="252"/>
      <c r="AK21" s="252"/>
      <c r="AL21" s="252"/>
      <c r="AM21" s="252"/>
      <c r="AN21" s="252"/>
      <c r="AO21" s="252"/>
      <c r="AQ21" s="252"/>
      <c r="AR21" s="252"/>
      <c r="AS21" s="252"/>
      <c r="AT21" s="252"/>
      <c r="AU21" s="252"/>
      <c r="AW21" s="252"/>
      <c r="AX21" s="252"/>
      <c r="AY21" s="252"/>
      <c r="AZ21" s="252"/>
      <c r="BA21" s="252"/>
      <c r="BC21" s="252"/>
      <c r="BD21" s="252"/>
      <c r="BE21" s="252"/>
      <c r="BF21" s="252"/>
      <c r="BG21" s="252"/>
      <c r="BI21" s="252"/>
      <c r="BJ21" s="252"/>
      <c r="BK21" s="252"/>
      <c r="BL21" s="252"/>
      <c r="BM21" s="252"/>
      <c r="BO21" s="252"/>
      <c r="BP21" s="252"/>
      <c r="BQ21" s="252"/>
      <c r="BR21" s="252"/>
      <c r="BS21" s="252"/>
      <c r="BT21" s="257"/>
    </row>
    <row r="22" spans="1:72" x14ac:dyDescent="0.25">
      <c r="A22" s="252"/>
      <c r="B22" s="252"/>
      <c r="C22" s="252"/>
      <c r="D22" s="252"/>
      <c r="E22" s="252"/>
      <c r="G22" s="252"/>
      <c r="H22" s="252"/>
      <c r="I22" s="252"/>
      <c r="J22" s="252"/>
      <c r="K22" s="252"/>
      <c r="M22" s="252"/>
      <c r="N22" s="252"/>
      <c r="O22" s="252"/>
      <c r="P22" s="252"/>
      <c r="Q22" s="252"/>
      <c r="S22" s="252"/>
      <c r="T22" s="252"/>
      <c r="U22" s="252"/>
      <c r="V22" s="252"/>
      <c r="W22" s="252"/>
      <c r="Y22" s="252"/>
      <c r="Z22" s="252"/>
      <c r="AA22" s="252"/>
      <c r="AB22" s="252"/>
      <c r="AC22" s="252"/>
      <c r="AE22" s="252"/>
      <c r="AF22" s="252"/>
      <c r="AG22" s="252"/>
      <c r="AH22" s="252"/>
      <c r="AI22" s="252"/>
      <c r="AK22" s="252"/>
      <c r="AL22" s="252"/>
      <c r="AM22" s="252"/>
      <c r="AN22" s="252"/>
      <c r="AO22" s="252"/>
      <c r="AQ22" s="252"/>
      <c r="AR22" s="252"/>
      <c r="AS22" s="252"/>
      <c r="AT22" s="252"/>
      <c r="AU22" s="252"/>
      <c r="AW22" s="252"/>
      <c r="AX22" s="252"/>
      <c r="AY22" s="252"/>
      <c r="AZ22" s="252"/>
      <c r="BA22" s="252"/>
      <c r="BC22" s="252"/>
      <c r="BD22" s="252"/>
      <c r="BE22" s="252"/>
      <c r="BF22" s="252"/>
      <c r="BG22" s="252"/>
      <c r="BI22" s="252"/>
      <c r="BJ22" s="252"/>
      <c r="BK22" s="252"/>
      <c r="BL22" s="252"/>
      <c r="BM22" s="252"/>
      <c r="BO22" s="252"/>
      <c r="BP22" s="252"/>
      <c r="BQ22" s="252"/>
      <c r="BR22" s="252"/>
      <c r="BS22" s="252"/>
      <c r="BT22" s="257"/>
    </row>
    <row r="23" spans="1:72" x14ac:dyDescent="0.25">
      <c r="A23" s="252"/>
      <c r="B23" s="252"/>
      <c r="C23" s="252"/>
      <c r="D23" s="252"/>
      <c r="E23" s="252"/>
      <c r="G23" s="252"/>
      <c r="H23" s="252"/>
      <c r="I23" s="252"/>
      <c r="J23" s="252"/>
      <c r="K23" s="252"/>
      <c r="M23" s="252"/>
      <c r="N23" s="252"/>
      <c r="O23" s="252"/>
      <c r="P23" s="252"/>
      <c r="Q23" s="252"/>
      <c r="S23" s="252"/>
      <c r="T23" s="252"/>
      <c r="U23" s="252"/>
      <c r="V23" s="252"/>
      <c r="W23" s="252"/>
      <c r="Y23" s="252"/>
      <c r="Z23" s="252"/>
      <c r="AA23" s="252"/>
      <c r="AB23" s="252"/>
      <c r="AC23" s="252"/>
      <c r="AE23" s="252"/>
      <c r="AF23" s="252"/>
      <c r="AG23" s="252"/>
      <c r="AH23" s="252"/>
      <c r="AI23" s="252"/>
      <c r="AK23" s="252"/>
      <c r="AL23" s="252"/>
      <c r="AM23" s="252"/>
      <c r="AN23" s="252"/>
      <c r="AO23" s="252"/>
      <c r="AQ23" s="252"/>
      <c r="AR23" s="252"/>
      <c r="AS23" s="252"/>
      <c r="AT23" s="252"/>
      <c r="AU23" s="252"/>
      <c r="AW23" s="252"/>
      <c r="AX23" s="252"/>
      <c r="AY23" s="252"/>
      <c r="AZ23" s="252"/>
      <c r="BA23" s="252"/>
      <c r="BC23" s="252"/>
      <c r="BD23" s="252"/>
      <c r="BE23" s="252"/>
      <c r="BF23" s="252"/>
      <c r="BG23" s="252"/>
      <c r="BI23" s="252"/>
      <c r="BJ23" s="252"/>
      <c r="BK23" s="252"/>
      <c r="BL23" s="252"/>
      <c r="BM23" s="252"/>
      <c r="BO23" s="252"/>
      <c r="BP23" s="252"/>
      <c r="BQ23" s="252"/>
      <c r="BR23" s="252"/>
      <c r="BS23" s="252"/>
      <c r="BT23" s="257"/>
    </row>
    <row r="24" spans="1:72" x14ac:dyDescent="0.25">
      <c r="A24" s="252"/>
      <c r="B24" s="252"/>
      <c r="C24" s="252"/>
      <c r="D24" s="252"/>
      <c r="E24" s="252"/>
      <c r="G24" s="252"/>
      <c r="H24" s="252"/>
      <c r="I24" s="252"/>
      <c r="J24" s="252"/>
      <c r="K24" s="252"/>
      <c r="M24" s="252"/>
      <c r="N24" s="252"/>
      <c r="O24" s="252"/>
      <c r="P24" s="252"/>
      <c r="Q24" s="252"/>
      <c r="S24" s="252"/>
      <c r="T24" s="252"/>
      <c r="U24" s="252"/>
      <c r="V24" s="252"/>
      <c r="W24" s="252"/>
      <c r="Y24" s="252"/>
      <c r="Z24" s="252"/>
      <c r="AA24" s="252"/>
      <c r="AB24" s="252"/>
      <c r="AC24" s="252"/>
      <c r="AE24" s="252"/>
      <c r="AF24" s="252"/>
      <c r="AG24" s="252"/>
      <c r="AH24" s="252"/>
      <c r="AI24" s="252"/>
      <c r="AK24" s="252"/>
      <c r="AL24" s="252"/>
      <c r="AM24" s="252"/>
      <c r="AN24" s="252"/>
      <c r="AO24" s="252"/>
      <c r="AQ24" s="252"/>
      <c r="AR24" s="252"/>
      <c r="AS24" s="252"/>
      <c r="AT24" s="252"/>
      <c r="AU24" s="252"/>
      <c r="AW24" s="252"/>
      <c r="AX24" s="252"/>
      <c r="AY24" s="252"/>
      <c r="AZ24" s="252"/>
      <c r="BA24" s="252"/>
      <c r="BC24" s="252"/>
      <c r="BD24" s="252"/>
      <c r="BE24" s="252"/>
      <c r="BF24" s="252"/>
      <c r="BG24" s="252"/>
      <c r="BI24" s="252"/>
      <c r="BJ24" s="252"/>
      <c r="BK24" s="252"/>
      <c r="BL24" s="252"/>
      <c r="BM24" s="252"/>
      <c r="BO24" s="252"/>
      <c r="BP24" s="252"/>
      <c r="BQ24" s="252"/>
      <c r="BR24" s="252"/>
      <c r="BS24" s="252"/>
      <c r="BT24" s="257"/>
    </row>
    <row r="25" spans="1:72" x14ac:dyDescent="0.25">
      <c r="A25" s="252"/>
      <c r="B25" s="252"/>
      <c r="C25" s="252"/>
      <c r="D25" s="252"/>
      <c r="E25" s="252"/>
      <c r="G25" s="252"/>
      <c r="H25" s="252"/>
      <c r="I25" s="252"/>
      <c r="J25" s="252"/>
      <c r="K25" s="252"/>
      <c r="M25" s="252"/>
      <c r="N25" s="252"/>
      <c r="O25" s="252"/>
      <c r="P25" s="252"/>
      <c r="Q25" s="252"/>
      <c r="S25" s="252"/>
      <c r="T25" s="252"/>
      <c r="U25" s="252"/>
      <c r="V25" s="252"/>
      <c r="W25" s="252"/>
      <c r="Y25" s="252"/>
      <c r="Z25" s="252"/>
      <c r="AA25" s="252"/>
      <c r="AB25" s="252"/>
      <c r="AC25" s="252"/>
      <c r="AE25" s="252"/>
      <c r="AF25" s="252"/>
      <c r="AG25" s="252"/>
      <c r="AH25" s="252"/>
      <c r="AI25" s="252"/>
      <c r="AK25" s="252"/>
      <c r="AL25" s="252"/>
      <c r="AM25" s="252"/>
      <c r="AN25" s="252"/>
      <c r="AO25" s="252"/>
      <c r="AQ25" s="252"/>
      <c r="AR25" s="252"/>
      <c r="AS25" s="252"/>
      <c r="AT25" s="252"/>
      <c r="AU25" s="252"/>
      <c r="AW25" s="252"/>
      <c r="AX25" s="252"/>
      <c r="AY25" s="252"/>
      <c r="AZ25" s="252"/>
      <c r="BA25" s="252"/>
      <c r="BC25" s="252"/>
      <c r="BD25" s="252"/>
      <c r="BE25" s="252"/>
      <c r="BF25" s="252"/>
      <c r="BG25" s="252"/>
      <c r="BI25" s="252"/>
      <c r="BJ25" s="252"/>
      <c r="BK25" s="252"/>
      <c r="BL25" s="252"/>
      <c r="BM25" s="252"/>
      <c r="BO25" s="252"/>
      <c r="BP25" s="252"/>
      <c r="BQ25" s="252"/>
      <c r="BR25" s="252"/>
      <c r="BS25" s="252"/>
      <c r="BT25" s="257"/>
    </row>
    <row r="26" spans="1:72" x14ac:dyDescent="0.25">
      <c r="A26" s="252"/>
      <c r="B26" s="252"/>
      <c r="C26" s="252"/>
      <c r="D26" s="252"/>
      <c r="E26" s="252"/>
      <c r="G26" s="252"/>
      <c r="H26" s="252"/>
      <c r="I26" s="252"/>
      <c r="J26" s="252"/>
      <c r="K26" s="252"/>
      <c r="M26" s="252"/>
      <c r="N26" s="252"/>
      <c r="O26" s="252"/>
      <c r="P26" s="252"/>
      <c r="Q26" s="252"/>
      <c r="S26" s="252"/>
      <c r="T26" s="252"/>
      <c r="U26" s="252"/>
      <c r="V26" s="252"/>
      <c r="W26" s="252"/>
      <c r="Y26" s="252"/>
      <c r="Z26" s="252"/>
      <c r="AA26" s="252"/>
      <c r="AB26" s="252"/>
      <c r="AC26" s="252"/>
      <c r="AE26" s="252"/>
      <c r="AF26" s="252"/>
      <c r="AG26" s="252"/>
      <c r="AH26" s="252"/>
      <c r="AI26" s="252"/>
      <c r="AK26" s="252"/>
      <c r="AL26" s="252"/>
      <c r="AM26" s="252"/>
      <c r="AN26" s="252"/>
      <c r="AO26" s="252"/>
      <c r="AQ26" s="252"/>
      <c r="AR26" s="252"/>
      <c r="AS26" s="252"/>
      <c r="AT26" s="252"/>
      <c r="AU26" s="252"/>
      <c r="AW26" s="252"/>
      <c r="AX26" s="252"/>
      <c r="AY26" s="252"/>
      <c r="AZ26" s="252"/>
      <c r="BA26" s="252"/>
      <c r="BC26" s="252"/>
      <c r="BD26" s="252"/>
      <c r="BE26" s="252"/>
      <c r="BF26" s="252"/>
      <c r="BG26" s="252"/>
      <c r="BI26" s="252"/>
      <c r="BJ26" s="252"/>
      <c r="BK26" s="252"/>
      <c r="BL26" s="252"/>
      <c r="BM26" s="252"/>
      <c r="BO26" s="252"/>
      <c r="BP26" s="252"/>
      <c r="BQ26" s="252"/>
      <c r="BR26" s="252"/>
      <c r="BS26" s="252"/>
      <c r="BT26" s="257"/>
    </row>
    <row r="27" spans="1:72" x14ac:dyDescent="0.25">
      <c r="A27" s="252"/>
      <c r="B27" s="252"/>
      <c r="C27" s="252"/>
      <c r="D27" s="252"/>
      <c r="E27" s="252"/>
      <c r="G27" s="252"/>
      <c r="H27" s="252"/>
      <c r="I27" s="252"/>
      <c r="J27" s="252"/>
      <c r="K27" s="252"/>
      <c r="M27" s="252"/>
      <c r="N27" s="252"/>
      <c r="O27" s="252"/>
      <c r="P27" s="252"/>
      <c r="Q27" s="252"/>
      <c r="S27" s="252"/>
      <c r="T27" s="252"/>
      <c r="U27" s="252"/>
      <c r="V27" s="252"/>
      <c r="W27" s="252"/>
      <c r="Y27" s="252"/>
      <c r="Z27" s="252"/>
      <c r="AA27" s="252"/>
      <c r="AB27" s="252"/>
      <c r="AC27" s="252"/>
      <c r="AE27" s="252"/>
      <c r="AF27" s="252"/>
      <c r="AG27" s="252"/>
      <c r="AH27" s="252"/>
      <c r="AI27" s="252"/>
      <c r="AK27" s="252"/>
      <c r="AL27" s="252"/>
      <c r="AM27" s="252"/>
      <c r="AN27" s="252"/>
      <c r="AO27" s="252"/>
      <c r="AQ27" s="252"/>
      <c r="AR27" s="252"/>
      <c r="AS27" s="252"/>
      <c r="AT27" s="252"/>
      <c r="AU27" s="252"/>
      <c r="AW27" s="252"/>
      <c r="AX27" s="252"/>
      <c r="AY27" s="252"/>
      <c r="AZ27" s="252"/>
      <c r="BA27" s="252"/>
      <c r="BC27" s="252"/>
      <c r="BD27" s="252"/>
      <c r="BE27" s="252"/>
      <c r="BF27" s="252"/>
      <c r="BG27" s="252"/>
      <c r="BI27" s="252"/>
      <c r="BJ27" s="252"/>
      <c r="BK27" s="252"/>
      <c r="BL27" s="252"/>
      <c r="BM27" s="252"/>
      <c r="BO27" s="252"/>
      <c r="BP27" s="252"/>
      <c r="BQ27" s="252"/>
      <c r="BR27" s="252"/>
      <c r="BS27" s="252"/>
      <c r="BT27" s="257"/>
    </row>
    <row r="28" spans="1:72" x14ac:dyDescent="0.25">
      <c r="A28" s="252"/>
      <c r="B28" s="252"/>
      <c r="C28" s="252"/>
      <c r="D28" s="252"/>
      <c r="E28" s="252"/>
      <c r="G28" s="252"/>
      <c r="H28" s="252"/>
      <c r="I28" s="252"/>
      <c r="J28" s="252"/>
      <c r="K28" s="252"/>
      <c r="M28" s="252"/>
      <c r="N28" s="252"/>
      <c r="O28" s="252"/>
      <c r="P28" s="252"/>
      <c r="Q28" s="252"/>
      <c r="S28" s="252"/>
      <c r="T28" s="252"/>
      <c r="U28" s="252"/>
      <c r="V28" s="252"/>
      <c r="W28" s="252"/>
      <c r="Y28" s="252"/>
      <c r="Z28" s="252"/>
      <c r="AA28" s="252"/>
      <c r="AB28" s="252"/>
      <c r="AC28" s="252"/>
      <c r="AE28" s="252"/>
      <c r="AF28" s="252"/>
      <c r="AG28" s="252"/>
      <c r="AH28" s="252"/>
      <c r="AI28" s="252"/>
      <c r="AK28" s="252"/>
      <c r="AL28" s="252"/>
      <c r="AM28" s="252"/>
      <c r="AN28" s="252"/>
      <c r="AO28" s="252"/>
      <c r="AQ28" s="252"/>
      <c r="AR28" s="252"/>
      <c r="AS28" s="252"/>
      <c r="AT28" s="252"/>
      <c r="AU28" s="252"/>
      <c r="AW28" s="252"/>
      <c r="AX28" s="252"/>
      <c r="AY28" s="252"/>
      <c r="AZ28" s="252"/>
      <c r="BA28" s="252"/>
      <c r="BC28" s="252"/>
      <c r="BD28" s="252"/>
      <c r="BE28" s="252"/>
      <c r="BF28" s="252"/>
      <c r="BG28" s="252"/>
      <c r="BI28" s="252"/>
      <c r="BJ28" s="252"/>
      <c r="BK28" s="252"/>
      <c r="BL28" s="252"/>
      <c r="BM28" s="252"/>
      <c r="BO28" s="252"/>
      <c r="BP28" s="252"/>
      <c r="BQ28" s="252"/>
      <c r="BR28" s="252"/>
      <c r="BS28" s="252"/>
      <c r="BT28" s="257"/>
    </row>
    <row r="29" spans="1:72" x14ac:dyDescent="0.25">
      <c r="A29" s="252"/>
      <c r="B29" s="252"/>
      <c r="C29" s="252"/>
      <c r="D29" s="252"/>
      <c r="E29" s="252"/>
      <c r="G29" s="252"/>
      <c r="H29" s="252"/>
      <c r="I29" s="252"/>
      <c r="J29" s="252"/>
      <c r="K29" s="252"/>
      <c r="M29" s="252"/>
      <c r="N29" s="252"/>
      <c r="O29" s="252"/>
      <c r="P29" s="252"/>
      <c r="Q29" s="252"/>
      <c r="S29" s="252"/>
      <c r="T29" s="252"/>
      <c r="U29" s="252"/>
      <c r="V29" s="252"/>
      <c r="W29" s="252"/>
      <c r="Y29" s="252"/>
      <c r="Z29" s="252"/>
      <c r="AA29" s="252"/>
      <c r="AB29" s="252"/>
      <c r="AC29" s="252"/>
      <c r="AE29" s="252"/>
      <c r="AF29" s="252"/>
      <c r="AG29" s="252"/>
      <c r="AH29" s="252"/>
      <c r="AI29" s="252"/>
      <c r="AK29" s="252"/>
      <c r="AL29" s="252"/>
      <c r="AM29" s="252"/>
      <c r="AN29" s="252"/>
      <c r="AO29" s="252"/>
      <c r="AQ29" s="252"/>
      <c r="AR29" s="257"/>
      <c r="AS29" s="257"/>
      <c r="AT29" s="257"/>
      <c r="AU29" s="257"/>
      <c r="AW29" s="252"/>
      <c r="AX29" s="252"/>
      <c r="AY29" s="252"/>
      <c r="AZ29" s="252"/>
      <c r="BA29" s="252"/>
      <c r="BC29" s="252"/>
      <c r="BD29" s="252"/>
      <c r="BE29" s="252"/>
      <c r="BF29" s="252"/>
      <c r="BG29" s="252"/>
      <c r="BI29" s="252"/>
      <c r="BJ29" s="252"/>
      <c r="BK29" s="252"/>
      <c r="BL29" s="252"/>
      <c r="BM29" s="252"/>
      <c r="BO29" s="252"/>
      <c r="BP29" s="252"/>
      <c r="BQ29" s="252"/>
      <c r="BR29" s="252"/>
      <c r="BS29" s="252"/>
      <c r="BT29" s="257"/>
    </row>
    <row r="30" spans="1:72" x14ac:dyDescent="0.25">
      <c r="A30" s="255">
        <f>SUM(A2:A29)</f>
        <v>1631792.94</v>
      </c>
      <c r="B30" s="255">
        <f>SUM(B2:B29)</f>
        <v>296231.94</v>
      </c>
      <c r="C30" s="255">
        <f>SUM(C2:C29)</f>
        <v>252021.85</v>
      </c>
      <c r="D30" s="255">
        <f>SUM(D2:D29)</f>
        <v>30402.9</v>
      </c>
      <c r="E30" s="255">
        <f>SUM(E2:E29)</f>
        <v>449909.19</v>
      </c>
      <c r="G30" s="255">
        <f>SUM(G2:G29)+G33+G32</f>
        <v>1320540.1599999999</v>
      </c>
      <c r="H30" s="255">
        <f>SUM(H2:H29)</f>
        <v>1144374.72</v>
      </c>
      <c r="I30" s="255">
        <f>SUM(I2:I29)</f>
        <v>120955.14</v>
      </c>
      <c r="J30" s="255">
        <f>SUM(J2:J29)</f>
        <v>112015.46</v>
      </c>
      <c r="K30" s="255">
        <f>SUM(K2:K29)</f>
        <v>99192.01</v>
      </c>
      <c r="M30" s="255">
        <f>SUM(M2:M29)+M40</f>
        <v>1052766.83</v>
      </c>
      <c r="N30" s="255">
        <f>SUM(N2:N29)</f>
        <v>372399.68</v>
      </c>
      <c r="O30" s="255">
        <f>SUM(O2:O29)</f>
        <v>201208.68</v>
      </c>
      <c r="P30" s="255">
        <f>SUM(P2:P29)</f>
        <v>114890.08</v>
      </c>
      <c r="Q30" s="255">
        <f>SUM(Q2:Q29)</f>
        <v>307304</v>
      </c>
      <c r="S30" s="255">
        <f>SUM(S2:S29)+S32+S33</f>
        <v>841130.68</v>
      </c>
      <c r="T30" s="255">
        <f>SUM(T2:T29)</f>
        <v>898245.5</v>
      </c>
      <c r="U30" s="255">
        <f>SUM(U2:U29)</f>
        <v>122216.49</v>
      </c>
      <c r="V30" s="255">
        <f>SUM(V2:V29)</f>
        <v>161063.06</v>
      </c>
      <c r="W30" s="255">
        <f>SUM(W2:W29)</f>
        <v>227554.03</v>
      </c>
      <c r="Y30" s="255">
        <f>SUM(Y2:Y29)+Y39</f>
        <v>0</v>
      </c>
      <c r="Z30" s="255">
        <f>SUM(Z2:Z29)</f>
        <v>0</v>
      </c>
      <c r="AA30" s="255">
        <f>SUM(AA2:AA29)</f>
        <v>0</v>
      </c>
      <c r="AB30" s="255">
        <f>SUM(AB2:AB29)</f>
        <v>0</v>
      </c>
      <c r="AC30" s="255">
        <f>SUM(AC2:AC29)</f>
        <v>0</v>
      </c>
      <c r="AE30" s="255">
        <f>SUM(AE2:AE29)+AE38</f>
        <v>0</v>
      </c>
      <c r="AF30" s="255">
        <f>SUM(AF2:AF29)</f>
        <v>0</v>
      </c>
      <c r="AG30" s="255">
        <f>SUM(AG2:AG29)</f>
        <v>0</v>
      </c>
      <c r="AH30" s="255">
        <f>SUM(AH2:AH29)</f>
        <v>0</v>
      </c>
      <c r="AI30" s="255">
        <f>SUM(AI2:AI29)</f>
        <v>0</v>
      </c>
      <c r="AK30" s="255">
        <f>SUM(AK2:AK29)+AK44</f>
        <v>0</v>
      </c>
      <c r="AL30" s="255">
        <f>SUM(AL2:AL29)</f>
        <v>0</v>
      </c>
      <c r="AM30" s="255">
        <f>SUM(AM2:AM29)</f>
        <v>0</v>
      </c>
      <c r="AN30" s="255">
        <f>SUM(AN2:AN29)</f>
        <v>0</v>
      </c>
      <c r="AO30" s="255">
        <f>SUM(AO2:AO29)</f>
        <v>0</v>
      </c>
      <c r="AQ30" s="255">
        <f>SUM(AQ2:AQ29)+AQ41</f>
        <v>0</v>
      </c>
      <c r="AR30" s="255">
        <f>SUM(AR2:AR29)</f>
        <v>0</v>
      </c>
      <c r="AS30" s="255">
        <f>SUM(AS2:AS29)</f>
        <v>0</v>
      </c>
      <c r="AT30" s="255">
        <f>SUM(AT2:AT29)</f>
        <v>0</v>
      </c>
      <c r="AU30" s="255">
        <f>SUM(AU2:AU29)</f>
        <v>0</v>
      </c>
      <c r="AW30" s="255">
        <f>SUM(AW2:AW29)+AW35</f>
        <v>0</v>
      </c>
      <c r="AX30" s="255">
        <f>SUM(AX2:AX29)</f>
        <v>0</v>
      </c>
      <c r="AY30" s="255">
        <f>SUM(AY2:AY29)</f>
        <v>0</v>
      </c>
      <c r="AZ30" s="255">
        <f>SUM(AZ2:AZ29)</f>
        <v>0</v>
      </c>
      <c r="BA30" s="255">
        <f>SUM(BA2:BA29)</f>
        <v>0</v>
      </c>
      <c r="BC30" s="255">
        <f>SUM(BC2:BC29)+BC40</f>
        <v>0</v>
      </c>
      <c r="BD30" s="255">
        <f>SUM(BD2:BD29)</f>
        <v>0</v>
      </c>
      <c r="BE30" s="255">
        <f>SUM(BE2:BE29)</f>
        <v>0</v>
      </c>
      <c r="BF30" s="255">
        <f>SUM(BF2:BF29)</f>
        <v>0</v>
      </c>
      <c r="BG30" s="255">
        <f>SUM(BG2:BG29)</f>
        <v>0</v>
      </c>
      <c r="BI30" s="255">
        <f>SUM(BI2:BI29)+BI38</f>
        <v>0</v>
      </c>
      <c r="BJ30" s="255">
        <f>SUM(BJ2:BJ29)</f>
        <v>0</v>
      </c>
      <c r="BK30" s="255">
        <f>SUM(BK2:BK29)</f>
        <v>0</v>
      </c>
      <c r="BL30" s="255">
        <f>SUM(BL2:BL29)</f>
        <v>0</v>
      </c>
      <c r="BM30" s="255">
        <f>SUM(BM2:BM29)</f>
        <v>0</v>
      </c>
      <c r="BO30" s="252"/>
      <c r="BP30" s="252"/>
      <c r="BQ30" s="252"/>
      <c r="BR30" s="252"/>
      <c r="BS30" s="252"/>
      <c r="BT30" s="257"/>
    </row>
    <row r="31" spans="1:72" x14ac:dyDescent="0.25">
      <c r="A31" s="258"/>
      <c r="B31" s="258"/>
      <c r="C31" s="258"/>
      <c r="D31" s="255">
        <f>SUM(A30:E30)</f>
        <v>2660358.8199999998</v>
      </c>
      <c r="E31" s="260"/>
      <c r="F31" s="259"/>
      <c r="G31" s="259"/>
      <c r="J31" s="255">
        <f>SUM(G30:K30)</f>
        <v>2797077.4899999998</v>
      </c>
      <c r="K31" s="260"/>
      <c r="M31" s="259"/>
      <c r="P31" s="255">
        <f>SUM(M30:P30)+Q30</f>
        <v>2048569.27</v>
      </c>
      <c r="Q31" s="250"/>
      <c r="S31" s="250"/>
      <c r="T31" s="250"/>
      <c r="U31" s="250"/>
      <c r="V31" s="255">
        <f>SUM(S30:W30)</f>
        <v>2250209.7600000002</v>
      </c>
      <c r="W31" s="250"/>
      <c r="Y31" s="250"/>
      <c r="Z31" s="250"/>
      <c r="AA31" s="250"/>
      <c r="AB31" s="250"/>
      <c r="AC31" s="255">
        <f>SUM(Y30:AC30)</f>
        <v>0</v>
      </c>
      <c r="AE31" s="250"/>
      <c r="AF31" s="250"/>
      <c r="AG31" s="250"/>
      <c r="AH31" s="250"/>
      <c r="AI31" s="255">
        <f>SUM(AE30:AI30)</f>
        <v>0</v>
      </c>
      <c r="AO31" s="255">
        <f>SUM(AK30:AO30)</f>
        <v>0</v>
      </c>
      <c r="AQ31" s="250"/>
      <c r="AU31" s="255">
        <f>SUM(AQ30:AU30)</f>
        <v>0</v>
      </c>
      <c r="AW31" s="250"/>
      <c r="AX31" s="250"/>
      <c r="AY31" s="250"/>
      <c r="AZ31" s="250"/>
      <c r="BA31" s="255">
        <f>SUM(AW30:BA30)</f>
        <v>0</v>
      </c>
      <c r="BC31" s="250"/>
      <c r="BD31" s="250"/>
      <c r="BE31" s="250"/>
      <c r="BF31" s="250"/>
      <c r="BG31" s="255">
        <f>SUM(BC30:BG30)</f>
        <v>0</v>
      </c>
      <c r="BM31" s="255">
        <f>SUM(BI30:BM30)</f>
        <v>0</v>
      </c>
      <c r="BO31" s="252"/>
      <c r="BP31" s="252"/>
      <c r="BQ31" s="252"/>
      <c r="BR31" s="252"/>
      <c r="BS31" s="252"/>
      <c r="BT31" s="257"/>
    </row>
    <row r="32" spans="1:72" x14ac:dyDescent="0.25">
      <c r="A32" s="258"/>
      <c r="B32" s="258"/>
      <c r="C32" s="258"/>
      <c r="D32" s="258"/>
      <c r="E32" s="258"/>
      <c r="F32" s="259"/>
      <c r="G32" s="258"/>
      <c r="M32" s="250"/>
      <c r="S32" s="250"/>
      <c r="T32" s="250"/>
      <c r="U32" s="250"/>
      <c r="V32" s="250"/>
      <c r="W32" s="250"/>
      <c r="Y32" s="250"/>
      <c r="Z32" s="250"/>
      <c r="AA32" s="250"/>
      <c r="AB32" s="250"/>
      <c r="AC32" s="250"/>
      <c r="AE32" s="250"/>
      <c r="AF32" s="250"/>
      <c r="AG32" s="250"/>
      <c r="AH32" s="250"/>
      <c r="AI32" s="250"/>
      <c r="AK32" s="252"/>
      <c r="AQ32" s="250"/>
      <c r="AW32" s="250"/>
      <c r="BC32" s="250"/>
      <c r="BI32" s="250"/>
      <c r="BO32" s="252"/>
      <c r="BP32" s="252"/>
      <c r="BQ32" s="252"/>
      <c r="BR32" s="252"/>
      <c r="BS32" s="252"/>
      <c r="BT32" s="257"/>
    </row>
    <row r="33" spans="1:72" x14ac:dyDescent="0.25">
      <c r="A33" s="260"/>
      <c r="B33" s="263" t="s">
        <v>289</v>
      </c>
      <c r="C33" s="263" t="s">
        <v>288</v>
      </c>
      <c r="D33" s="262" t="s">
        <v>287</v>
      </c>
      <c r="E33" s="261"/>
      <c r="F33" s="259"/>
      <c r="G33" s="258"/>
      <c r="M33" s="250"/>
      <c r="S33" s="250"/>
      <c r="Y33" s="250"/>
      <c r="Z33" s="250"/>
      <c r="AA33" s="250"/>
      <c r="AB33" s="250"/>
      <c r="AC33" s="250"/>
      <c r="AE33" s="250"/>
      <c r="AF33" s="250"/>
      <c r="AG33" s="250"/>
      <c r="AH33" s="250"/>
      <c r="AI33" s="250"/>
      <c r="AK33" s="252"/>
      <c r="AQ33" s="250"/>
      <c r="AW33" s="250"/>
      <c r="BC33" s="250"/>
      <c r="BI33" s="250"/>
      <c r="BO33" s="252"/>
      <c r="BP33" s="252"/>
      <c r="BQ33" s="252"/>
      <c r="BR33" s="252"/>
      <c r="BS33" s="252"/>
      <c r="BT33" s="257"/>
    </row>
    <row r="34" spans="1:72" x14ac:dyDescent="0.25">
      <c r="A34" s="248" t="s">
        <v>286</v>
      </c>
      <c r="B34" s="248">
        <v>894060.46</v>
      </c>
      <c r="C34" s="248">
        <v>270698.2</v>
      </c>
      <c r="D34" s="248">
        <f>SUM(B34:C34)</f>
        <v>1164758.6599999999</v>
      </c>
      <c r="E34" s="260"/>
      <c r="F34" s="259"/>
      <c r="G34" s="258"/>
      <c r="M34" s="250"/>
      <c r="S34" s="250"/>
      <c r="V34" s="250"/>
      <c r="Y34" s="250"/>
      <c r="AE34" s="250"/>
      <c r="AK34" s="252"/>
      <c r="AQ34" s="250"/>
      <c r="AW34" s="250"/>
      <c r="BC34" s="250"/>
      <c r="BI34" s="250"/>
      <c r="BO34" s="252"/>
      <c r="BP34" s="252"/>
      <c r="BQ34" s="252"/>
      <c r="BR34" s="252"/>
      <c r="BS34" s="252"/>
      <c r="BT34" s="257"/>
    </row>
    <row r="35" spans="1:72" x14ac:dyDescent="0.25">
      <c r="A35" s="248" t="s">
        <v>285</v>
      </c>
      <c r="B35" s="248"/>
      <c r="C35" s="248"/>
      <c r="D35" s="248"/>
      <c r="E35" s="246"/>
      <c r="G35" s="250"/>
      <c r="H35" s="250"/>
      <c r="M35" s="250"/>
      <c r="S35" s="250"/>
      <c r="Y35" s="250"/>
      <c r="AE35" s="250"/>
      <c r="AK35" s="252"/>
      <c r="AL35" s="250"/>
      <c r="AO35" s="254"/>
      <c r="AQ35" s="250"/>
      <c r="AR35" s="250"/>
      <c r="AU35" s="256"/>
      <c r="AW35" s="252"/>
      <c r="AX35" s="250"/>
      <c r="BA35" s="256"/>
      <c r="BC35" s="250"/>
      <c r="BI35" s="250"/>
      <c r="BO35" s="255">
        <f>SUM(BO2:BO34)</f>
        <v>0</v>
      </c>
      <c r="BP35" s="255">
        <f>SUM(BP2:BP34)</f>
        <v>0</v>
      </c>
      <c r="BQ35" s="255">
        <f>SUM(BQ2:BQ34)</f>
        <v>0</v>
      </c>
      <c r="BR35" s="255">
        <f>SUM(BR2:BR34)</f>
        <v>0</v>
      </c>
      <c r="BS35" s="255">
        <f>SUM(BS2:BS34)</f>
        <v>0</v>
      </c>
      <c r="BT35" s="255">
        <f>SUM(BO35:BS35)</f>
        <v>0</v>
      </c>
    </row>
    <row r="36" spans="1:72" x14ac:dyDescent="0.25">
      <c r="A36" s="248" t="s">
        <v>284</v>
      </c>
      <c r="B36" s="248"/>
      <c r="C36" s="248"/>
      <c r="D36" s="248"/>
      <c r="E36" s="246"/>
      <c r="M36" s="250"/>
      <c r="S36" s="250"/>
      <c r="Y36" s="250"/>
      <c r="AE36" s="250"/>
      <c r="AK36" s="252"/>
      <c r="AQ36" s="250"/>
      <c r="AW36" s="250"/>
      <c r="BC36" s="250"/>
      <c r="BI36" s="250"/>
      <c r="BO36" s="247"/>
      <c r="BP36" s="247"/>
      <c r="BQ36" s="247"/>
      <c r="BR36" s="247"/>
      <c r="BS36" s="247"/>
      <c r="BT36" s="247"/>
    </row>
    <row r="37" spans="1:72" x14ac:dyDescent="0.25">
      <c r="A37" s="248" t="s">
        <v>283</v>
      </c>
      <c r="B37" s="248"/>
      <c r="C37" s="248"/>
      <c r="D37" s="248"/>
      <c r="E37" s="246"/>
      <c r="M37" s="250"/>
      <c r="S37" s="250"/>
      <c r="Y37" s="250"/>
      <c r="AE37" s="250"/>
      <c r="AK37" s="252"/>
      <c r="AQ37" s="250"/>
      <c r="AW37" s="250"/>
      <c r="BC37" s="250"/>
      <c r="BI37" s="250"/>
      <c r="BO37" s="250"/>
      <c r="BP37" s="250"/>
      <c r="BQ37" s="250"/>
      <c r="BR37" s="250"/>
      <c r="BS37" s="250"/>
      <c r="BT37" s="250"/>
    </row>
    <row r="38" spans="1:72" x14ac:dyDescent="0.25">
      <c r="A38" s="249" t="s">
        <v>282</v>
      </c>
      <c r="B38" s="248"/>
      <c r="C38" s="248"/>
      <c r="D38" s="248"/>
      <c r="E38" s="246"/>
      <c r="M38" s="250"/>
      <c r="S38" s="250"/>
      <c r="Y38" s="250"/>
      <c r="AE38" s="248"/>
      <c r="AK38" s="252"/>
      <c r="AQ38" s="250"/>
      <c r="AW38" s="250"/>
      <c r="BC38" s="250"/>
      <c r="BI38" s="255"/>
      <c r="BT38" s="250">
        <f>BT36*BT37</f>
        <v>0</v>
      </c>
    </row>
    <row r="39" spans="1:72" x14ac:dyDescent="0.25">
      <c r="A39" s="249" t="s">
        <v>281</v>
      </c>
      <c r="B39" s="248"/>
      <c r="C39" s="248"/>
      <c r="D39" s="248"/>
      <c r="E39" s="246"/>
      <c r="M39" s="250"/>
      <c r="S39" s="250"/>
      <c r="Y39" s="248"/>
      <c r="AK39" s="252"/>
      <c r="AQ39" s="250"/>
      <c r="AW39" s="250"/>
      <c r="BC39" s="250"/>
      <c r="BT39" s="250"/>
    </row>
    <row r="40" spans="1:72" x14ac:dyDescent="0.25">
      <c r="A40" s="249" t="s">
        <v>280</v>
      </c>
      <c r="B40" s="248"/>
      <c r="C40" s="248"/>
      <c r="D40" s="248"/>
      <c r="E40" s="246"/>
      <c r="M40" s="251">
        <f>SUM(M32:M39)</f>
        <v>0</v>
      </c>
      <c r="S40" s="250"/>
      <c r="Y40" s="250"/>
      <c r="AK40" s="252"/>
      <c r="AQ40" s="250"/>
      <c r="BC40" s="254"/>
      <c r="BT40" s="250">
        <f>+BT35-BT38</f>
        <v>0</v>
      </c>
    </row>
    <row r="41" spans="1:72" x14ac:dyDescent="0.25">
      <c r="A41" s="249" t="s">
        <v>279</v>
      </c>
      <c r="B41" s="248"/>
      <c r="C41" s="248"/>
      <c r="D41" s="248"/>
      <c r="E41" s="246"/>
      <c r="M41" s="250"/>
      <c r="Y41" s="250"/>
      <c r="AK41" s="252"/>
      <c r="AQ41" s="253"/>
      <c r="BC41" s="250"/>
    </row>
    <row r="42" spans="1:72" x14ac:dyDescent="0.25">
      <c r="A42" s="249" t="s">
        <v>278</v>
      </c>
      <c r="B42" s="248"/>
      <c r="C42" s="248"/>
      <c r="D42" s="248"/>
      <c r="E42" s="246"/>
      <c r="M42" s="250"/>
      <c r="AK42" s="252"/>
      <c r="AQ42" s="250"/>
      <c r="BC42" s="250"/>
    </row>
    <row r="43" spans="1:72" x14ac:dyDescent="0.25">
      <c r="A43" s="249" t="s">
        <v>277</v>
      </c>
      <c r="B43" s="248"/>
      <c r="C43" s="248"/>
      <c r="D43" s="248"/>
      <c r="E43" s="246"/>
      <c r="M43" s="250"/>
      <c r="AK43" s="252"/>
      <c r="AQ43" s="250"/>
    </row>
    <row r="44" spans="1:72" x14ac:dyDescent="0.25">
      <c r="A44" s="249" t="s">
        <v>276</v>
      </c>
      <c r="B44" s="248"/>
      <c r="C44" s="248"/>
      <c r="D44" s="248"/>
      <c r="E44" s="246"/>
      <c r="AK44" s="251">
        <f>SUM(AK32:AK43)</f>
        <v>0</v>
      </c>
      <c r="AQ44" s="250"/>
    </row>
    <row r="45" spans="1:72" x14ac:dyDescent="0.25">
      <c r="A45" s="249" t="s">
        <v>275</v>
      </c>
      <c r="B45" s="248"/>
      <c r="C45" s="248"/>
      <c r="D45" s="248"/>
      <c r="E45" s="246"/>
    </row>
    <row r="46" spans="1:72" x14ac:dyDescent="0.25">
      <c r="A46" s="246"/>
      <c r="B46" s="247"/>
      <c r="C46" s="247"/>
      <c r="D46" s="247"/>
      <c r="E46" s="246"/>
    </row>
    <row r="47" spans="1:72" x14ac:dyDescent="0.25">
      <c r="A47" s="246"/>
      <c r="B47" s="247"/>
      <c r="C47" s="247"/>
      <c r="D47" s="247"/>
      <c r="E47" s="246"/>
    </row>
    <row r="48" spans="1:72" x14ac:dyDescent="0.25">
      <c r="A48" s="246"/>
      <c r="B48" s="246"/>
      <c r="C48" s="246"/>
      <c r="D48" s="246"/>
      <c r="E48" s="246"/>
    </row>
    <row r="49" spans="1:5" x14ac:dyDescent="0.25">
      <c r="A49" s="246"/>
      <c r="B49" s="246"/>
      <c r="C49" s="246"/>
      <c r="D49" s="246"/>
      <c r="E49" s="246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B1:T53"/>
  <sheetViews>
    <sheetView workbookViewId="0">
      <selection activeCell="C3" sqref="C3:J29"/>
    </sheetView>
  </sheetViews>
  <sheetFormatPr baseColWidth="10" defaultColWidth="11.453125" defaultRowHeight="14.5" x14ac:dyDescent="0.35"/>
  <cols>
    <col min="1" max="1" width="11.453125" style="399"/>
    <col min="2" max="2" width="0.7265625" style="399" customWidth="1"/>
    <col min="3" max="3" width="2.453125" style="399" customWidth="1"/>
    <col min="4" max="4" width="35.26953125" style="399" customWidth="1"/>
    <col min="5" max="5" width="16" style="399" customWidth="1"/>
    <col min="6" max="6" width="17" style="399" customWidth="1"/>
    <col min="7" max="7" width="14.1796875" style="399" customWidth="1"/>
    <col min="8" max="8" width="15.1796875" style="399" customWidth="1"/>
    <col min="9" max="9" width="13.26953125" style="399" bestFit="1" customWidth="1"/>
    <col min="10" max="10" width="28.1796875" style="399" customWidth="1"/>
    <col min="11" max="11" width="0.81640625" style="399" customWidth="1"/>
    <col min="12" max="12" width="15.54296875" style="399" customWidth="1"/>
    <col min="13" max="13" width="14.7265625" style="399" customWidth="1"/>
    <col min="14" max="14" width="14.1796875" style="399" customWidth="1"/>
    <col min="15" max="15" width="23.453125" style="399" customWidth="1"/>
    <col min="16" max="16" width="21.453125" style="399" customWidth="1"/>
    <col min="17" max="16384" width="11.453125" style="399"/>
  </cols>
  <sheetData>
    <row r="1" spans="2:20" x14ac:dyDescent="0.35">
      <c r="D1" s="456"/>
    </row>
    <row r="2" spans="2:20" ht="5.5" customHeight="1" x14ac:dyDescent="0.35"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01"/>
      <c r="M2" s="401"/>
      <c r="N2" s="401"/>
      <c r="O2" s="401"/>
      <c r="P2" s="401"/>
      <c r="Q2" s="401"/>
      <c r="R2" s="401"/>
      <c r="S2" s="401"/>
      <c r="T2" s="401"/>
    </row>
    <row r="3" spans="2:20" ht="21" hidden="1" x14ac:dyDescent="0.5">
      <c r="B3" s="473"/>
      <c r="D3" s="474" t="s">
        <v>497</v>
      </c>
      <c r="E3" s="409"/>
      <c r="F3" s="410"/>
      <c r="G3" s="410"/>
      <c r="H3" s="410"/>
      <c r="I3" s="410"/>
      <c r="J3" s="410"/>
      <c r="K3" s="409"/>
      <c r="L3" s="409"/>
      <c r="M3" s="409"/>
      <c r="N3" s="409"/>
      <c r="O3" s="409"/>
      <c r="P3" s="401"/>
      <c r="Q3" s="401"/>
      <c r="R3" s="401"/>
      <c r="S3" s="401"/>
      <c r="T3" s="401"/>
    </row>
    <row r="4" spans="2:20" ht="18.5" x14ac:dyDescent="0.45">
      <c r="B4" s="473"/>
      <c r="D4" s="410"/>
      <c r="E4" s="409"/>
      <c r="F4" s="410"/>
      <c r="G4" s="410"/>
      <c r="H4" s="410"/>
      <c r="I4" s="410"/>
      <c r="J4" s="410"/>
      <c r="K4" s="409"/>
      <c r="L4" s="409"/>
      <c r="M4" s="409"/>
      <c r="N4" s="409"/>
      <c r="O4" s="409"/>
      <c r="P4" s="401"/>
      <c r="Q4" s="401"/>
      <c r="R4" s="401"/>
      <c r="S4" s="401"/>
      <c r="T4" s="401"/>
    </row>
    <row r="5" spans="2:20" ht="18.5" x14ac:dyDescent="0.45">
      <c r="B5" s="473"/>
      <c r="D5" s="454" t="s">
        <v>144</v>
      </c>
      <c r="E5" s="430" t="s">
        <v>560</v>
      </c>
      <c r="F5" s="430" t="s">
        <v>561</v>
      </c>
      <c r="G5" s="429" t="s">
        <v>480</v>
      </c>
      <c r="H5" s="453" t="s">
        <v>496</v>
      </c>
      <c r="I5" s="430" t="s">
        <v>495</v>
      </c>
      <c r="J5" s="410"/>
      <c r="K5" s="433"/>
      <c r="L5" s="433"/>
      <c r="M5" s="433"/>
      <c r="N5" s="432"/>
      <c r="O5" s="433"/>
      <c r="P5" s="433"/>
      <c r="Q5" s="401"/>
      <c r="R5" s="401"/>
      <c r="S5" s="401"/>
      <c r="T5" s="401"/>
    </row>
    <row r="6" spans="2:20" ht="18.5" x14ac:dyDescent="0.45">
      <c r="B6" s="473"/>
      <c r="D6" s="450" t="s">
        <v>365</v>
      </c>
      <c r="E6" s="425"/>
      <c r="F6" s="425">
        <v>1550</v>
      </c>
      <c r="G6" s="423">
        <f>E6-F6</f>
        <v>-1550</v>
      </c>
      <c r="H6" s="449"/>
      <c r="I6" s="449" t="s">
        <v>494</v>
      </c>
      <c r="J6" s="410"/>
      <c r="K6" s="452"/>
      <c r="L6" s="452"/>
      <c r="M6" s="452"/>
      <c r="N6" s="416"/>
      <c r="O6" s="451"/>
      <c r="P6" s="451"/>
      <c r="Q6" s="401"/>
      <c r="R6" s="401"/>
      <c r="S6" s="401"/>
      <c r="T6" s="401"/>
    </row>
    <row r="7" spans="2:20" ht="18.5" x14ac:dyDescent="0.45">
      <c r="B7" s="473"/>
      <c r="D7" s="450" t="s">
        <v>493</v>
      </c>
      <c r="E7" s="425">
        <v>909</v>
      </c>
      <c r="F7" s="425">
        <v>911</v>
      </c>
      <c r="G7" s="423">
        <f>E7-F7</f>
        <v>-2</v>
      </c>
      <c r="H7" s="449" t="s">
        <v>492</v>
      </c>
      <c r="I7" s="449" t="s">
        <v>492</v>
      </c>
      <c r="J7" s="410"/>
      <c r="K7" s="417"/>
      <c r="L7" s="417"/>
      <c r="M7" s="417"/>
      <c r="N7" s="416"/>
      <c r="O7" s="402"/>
      <c r="P7" s="402"/>
      <c r="Q7" s="401"/>
      <c r="R7" s="401"/>
      <c r="S7" s="401"/>
      <c r="T7" s="401"/>
    </row>
    <row r="8" spans="2:20" ht="18.5" x14ac:dyDescent="0.45">
      <c r="B8" s="473"/>
      <c r="D8" s="448" t="s">
        <v>491</v>
      </c>
      <c r="E8" s="447">
        <f>SUM(E2:E7)</f>
        <v>909</v>
      </c>
      <c r="F8" s="447">
        <f>SUM(F2:F7)</f>
        <v>2461</v>
      </c>
      <c r="G8" s="446">
        <f>SUM(G2:G7)</f>
        <v>-1552</v>
      </c>
      <c r="H8" s="445"/>
      <c r="I8" s="444"/>
      <c r="J8" s="410"/>
      <c r="K8" s="417"/>
      <c r="L8" s="417"/>
      <c r="M8" s="417"/>
      <c r="N8" s="416"/>
      <c r="O8" s="402"/>
      <c r="P8" s="402"/>
      <c r="Q8" s="401"/>
      <c r="R8" s="401"/>
      <c r="S8" s="401"/>
      <c r="T8" s="401"/>
    </row>
    <row r="9" spans="2:20" ht="18.5" x14ac:dyDescent="0.45">
      <c r="B9" s="473"/>
      <c r="D9" s="410"/>
      <c r="E9" s="410"/>
      <c r="F9" s="410"/>
      <c r="G9" s="414"/>
      <c r="H9" s="410"/>
      <c r="I9" s="410"/>
      <c r="J9" s="410"/>
      <c r="K9" s="442"/>
      <c r="L9" s="442"/>
      <c r="M9" s="442"/>
      <c r="N9" s="442"/>
      <c r="O9" s="409"/>
      <c r="P9" s="401"/>
      <c r="Q9" s="401"/>
      <c r="R9" s="401"/>
      <c r="S9" s="401"/>
      <c r="T9" s="401"/>
    </row>
    <row r="10" spans="2:20" ht="18.5" x14ac:dyDescent="0.45">
      <c r="B10" s="473"/>
      <c r="D10" s="402" t="s">
        <v>238</v>
      </c>
      <c r="E10" s="433"/>
      <c r="F10" s="433"/>
      <c r="G10" s="432"/>
      <c r="H10" s="409"/>
      <c r="I10" s="410"/>
      <c r="J10" s="410"/>
      <c r="K10" s="409"/>
      <c r="L10" s="409"/>
      <c r="M10" s="409"/>
      <c r="N10" s="409"/>
      <c r="O10" s="409"/>
      <c r="P10" s="438"/>
      <c r="Q10" s="401"/>
      <c r="R10" s="401"/>
      <c r="S10" s="401"/>
      <c r="T10" s="401"/>
    </row>
    <row r="11" spans="2:20" ht="18.5" x14ac:dyDescent="0.45">
      <c r="B11" s="473"/>
      <c r="D11" s="431" t="s">
        <v>481</v>
      </c>
      <c r="E11" s="430" t="str">
        <f>E5</f>
        <v>Real Abril</v>
      </c>
      <c r="F11" s="430" t="str">
        <f>F5</f>
        <v>Ppto. Abril</v>
      </c>
      <c r="G11" s="429" t="s">
        <v>480</v>
      </c>
      <c r="H11" s="410"/>
      <c r="I11" s="400" t="s">
        <v>490</v>
      </c>
      <c r="J11" s="456"/>
      <c r="K11" s="433"/>
      <c r="L11" s="433"/>
      <c r="M11" s="433"/>
      <c r="N11" s="432"/>
      <c r="O11" s="409"/>
      <c r="P11" s="438"/>
      <c r="Q11" s="401"/>
      <c r="R11" s="401"/>
      <c r="S11" s="401"/>
      <c r="T11" s="401"/>
    </row>
    <row r="12" spans="2:20" ht="18.5" x14ac:dyDescent="0.45">
      <c r="B12" s="473"/>
      <c r="D12" s="440" t="s">
        <v>475</v>
      </c>
      <c r="E12" s="425">
        <v>21</v>
      </c>
      <c r="F12" s="425">
        <v>19</v>
      </c>
      <c r="G12" s="423">
        <f>E12-F12</f>
        <v>2</v>
      </c>
      <c r="H12" s="400" t="s">
        <v>489</v>
      </c>
      <c r="I12" s="400" t="s">
        <v>488</v>
      </c>
      <c r="J12" s="456"/>
      <c r="K12" s="418"/>
      <c r="L12" s="418"/>
      <c r="M12" s="417"/>
      <c r="N12" s="416"/>
      <c r="O12" s="439"/>
      <c r="P12" s="438"/>
      <c r="Q12" s="401"/>
      <c r="R12" s="401"/>
      <c r="S12" s="401"/>
      <c r="T12" s="401"/>
    </row>
    <row r="13" spans="2:20" ht="18.5" x14ac:dyDescent="0.45">
      <c r="B13" s="473"/>
      <c r="D13" s="440" t="s">
        <v>487</v>
      </c>
      <c r="E13" s="425">
        <v>40</v>
      </c>
      <c r="F13" s="425">
        <v>25</v>
      </c>
      <c r="G13" s="423">
        <f>E13-F13</f>
        <v>15</v>
      </c>
      <c r="H13" s="400" t="s">
        <v>485</v>
      </c>
      <c r="I13" s="400" t="s">
        <v>577</v>
      </c>
      <c r="J13" s="456"/>
      <c r="K13" s="418"/>
      <c r="L13" s="418"/>
      <c r="M13" s="417"/>
      <c r="N13" s="416"/>
      <c r="O13" s="439"/>
      <c r="P13" s="438"/>
      <c r="Q13" s="401"/>
      <c r="R13" s="401"/>
      <c r="S13" s="401"/>
      <c r="T13" s="401"/>
    </row>
    <row r="14" spans="2:20" ht="18.5" x14ac:dyDescent="0.45">
      <c r="B14" s="473"/>
      <c r="D14" s="440" t="s">
        <v>486</v>
      </c>
      <c r="E14" s="425">
        <v>13</v>
      </c>
      <c r="F14" s="425">
        <v>5</v>
      </c>
      <c r="G14" s="423">
        <f>E14-F14</f>
        <v>8</v>
      </c>
      <c r="H14" s="400" t="s">
        <v>483</v>
      </c>
      <c r="I14" s="400" t="s">
        <v>578</v>
      </c>
      <c r="J14" s="456"/>
      <c r="K14" s="418"/>
      <c r="L14" s="418"/>
      <c r="M14" s="417"/>
      <c r="N14" s="416"/>
      <c r="O14" s="439"/>
      <c r="P14" s="438"/>
      <c r="Q14" s="401"/>
      <c r="R14" s="401"/>
      <c r="S14" s="401"/>
      <c r="T14" s="401"/>
    </row>
    <row r="15" spans="2:20" ht="18.5" x14ac:dyDescent="0.45">
      <c r="B15" s="473"/>
      <c r="D15" s="440" t="s">
        <v>484</v>
      </c>
      <c r="E15" s="425">
        <v>107</v>
      </c>
      <c r="F15" s="425">
        <v>86</v>
      </c>
      <c r="G15" s="423">
        <f>E15-F15</f>
        <v>21</v>
      </c>
      <c r="H15" s="400" t="s">
        <v>479</v>
      </c>
      <c r="I15" s="400" t="s">
        <v>581</v>
      </c>
      <c r="J15" s="456"/>
      <c r="K15" s="418"/>
      <c r="L15" s="418"/>
      <c r="M15" s="417"/>
      <c r="N15" s="416"/>
      <c r="O15" s="439"/>
      <c r="P15" s="438"/>
      <c r="Q15" s="401"/>
      <c r="R15" s="401"/>
      <c r="S15" s="401"/>
      <c r="T15" s="401"/>
    </row>
    <row r="16" spans="2:20" ht="18.5" x14ac:dyDescent="0.45">
      <c r="B16" s="473"/>
      <c r="D16" s="437" t="s">
        <v>482</v>
      </c>
      <c r="E16" s="436">
        <f>SUM(E12:E15)</f>
        <v>181</v>
      </c>
      <c r="F16" s="436">
        <f>SUM(F12:F15)</f>
        <v>135</v>
      </c>
      <c r="G16" s="435">
        <f>SUM(G12:G15)</f>
        <v>46</v>
      </c>
      <c r="H16" s="400"/>
      <c r="I16" s="400" t="s">
        <v>579</v>
      </c>
      <c r="J16" s="400"/>
      <c r="K16" s="418"/>
      <c r="L16" s="418"/>
      <c r="M16" s="417"/>
      <c r="N16" s="416"/>
      <c r="O16" s="415"/>
      <c r="P16" s="406"/>
      <c r="Q16" s="401"/>
      <c r="R16" s="401"/>
      <c r="S16" s="401"/>
      <c r="T16" s="401"/>
    </row>
    <row r="17" spans="2:20" ht="18.5" x14ac:dyDescent="0.45">
      <c r="B17" s="473"/>
      <c r="D17" s="410"/>
      <c r="E17" s="410"/>
      <c r="F17" s="410"/>
      <c r="G17" s="414"/>
      <c r="H17" s="434"/>
      <c r="I17" s="400" t="s">
        <v>580</v>
      </c>
      <c r="J17" s="400"/>
      <c r="K17" s="418"/>
      <c r="L17" s="418"/>
      <c r="M17" s="417"/>
      <c r="N17" s="416"/>
      <c r="O17" s="415"/>
      <c r="P17" s="406"/>
      <c r="Q17" s="401"/>
      <c r="R17" s="401"/>
      <c r="S17" s="401"/>
      <c r="T17" s="401"/>
    </row>
    <row r="18" spans="2:20" ht="18.5" x14ac:dyDescent="0.45">
      <c r="B18" s="473"/>
      <c r="D18" s="402" t="s">
        <v>441</v>
      </c>
      <c r="E18" s="433"/>
      <c r="F18" s="433"/>
      <c r="G18" s="432"/>
      <c r="H18" s="400"/>
      <c r="I18" s="400"/>
      <c r="J18" s="400"/>
      <c r="K18" s="418"/>
      <c r="L18" s="418"/>
      <c r="M18" s="417"/>
      <c r="N18" s="416"/>
      <c r="O18" s="415"/>
      <c r="P18" s="406"/>
      <c r="Q18" s="401"/>
      <c r="R18" s="401"/>
      <c r="S18" s="401"/>
      <c r="T18" s="401"/>
    </row>
    <row r="19" spans="2:20" ht="18.5" x14ac:dyDescent="0.45">
      <c r="B19" s="473"/>
      <c r="D19" s="431" t="s">
        <v>481</v>
      </c>
      <c r="E19" s="430" t="str">
        <f>E11</f>
        <v>Real Abril</v>
      </c>
      <c r="F19" s="430" t="str">
        <f>F11</f>
        <v>Ppto. Abril</v>
      </c>
      <c r="G19" s="429" t="s">
        <v>480</v>
      </c>
      <c r="H19" s="428"/>
      <c r="I19" s="400"/>
      <c r="J19" s="400"/>
      <c r="K19" s="418"/>
      <c r="L19" s="418"/>
      <c r="M19" s="417"/>
      <c r="N19" s="416"/>
      <c r="O19" s="415"/>
      <c r="P19" s="406"/>
      <c r="Q19" s="401"/>
      <c r="R19" s="401"/>
      <c r="S19" s="401"/>
      <c r="T19" s="401"/>
    </row>
    <row r="20" spans="2:20" ht="18.5" x14ac:dyDescent="0.45">
      <c r="B20" s="473"/>
      <c r="D20" s="427" t="s">
        <v>478</v>
      </c>
      <c r="E20" s="425">
        <v>30</v>
      </c>
      <c r="F20" s="424"/>
      <c r="G20" s="423">
        <f t="shared" ref="G20:G26" si="0">E20-F20</f>
        <v>30</v>
      </c>
      <c r="H20" s="400" t="s">
        <v>563</v>
      </c>
      <c r="I20" s="400"/>
      <c r="J20" s="400"/>
      <c r="K20" s="418"/>
      <c r="L20" s="418"/>
      <c r="M20" s="417"/>
      <c r="N20" s="416"/>
      <c r="O20" s="415"/>
      <c r="P20" s="406"/>
      <c r="Q20" s="401"/>
      <c r="R20" s="401"/>
      <c r="S20" s="401"/>
      <c r="T20" s="401"/>
    </row>
    <row r="21" spans="2:20" ht="18.5" x14ac:dyDescent="0.45">
      <c r="B21" s="473"/>
      <c r="D21" s="427" t="s">
        <v>477</v>
      </c>
      <c r="E21" s="425">
        <v>29</v>
      </c>
      <c r="F21" s="424">
        <v>22</v>
      </c>
      <c r="G21" s="423">
        <f t="shared" si="0"/>
        <v>7</v>
      </c>
      <c r="H21" s="400"/>
      <c r="I21" s="400"/>
      <c r="J21" s="400"/>
      <c r="K21" s="418"/>
      <c r="L21" s="418"/>
      <c r="M21" s="417"/>
      <c r="N21" s="416"/>
      <c r="O21" s="415"/>
      <c r="P21" s="406"/>
      <c r="Q21" s="401"/>
      <c r="R21" s="401"/>
      <c r="S21" s="401"/>
      <c r="T21" s="401"/>
    </row>
    <row r="22" spans="2:20" ht="18.5" x14ac:dyDescent="0.45">
      <c r="B22" s="473"/>
      <c r="D22" s="427" t="s">
        <v>354</v>
      </c>
      <c r="E22" s="425">
        <v>3</v>
      </c>
      <c r="F22" s="424"/>
      <c r="G22" s="423">
        <f t="shared" si="0"/>
        <v>3</v>
      </c>
      <c r="H22" s="400"/>
      <c r="I22" s="400"/>
      <c r="J22" s="400"/>
      <c r="K22" s="418"/>
      <c r="L22" s="418"/>
      <c r="M22" s="417"/>
      <c r="N22" s="416"/>
      <c r="O22" s="415"/>
      <c r="P22" s="406"/>
      <c r="Q22" s="401"/>
      <c r="R22" s="401"/>
      <c r="S22" s="401"/>
      <c r="T22" s="401"/>
    </row>
    <row r="23" spans="2:20" ht="18.5" x14ac:dyDescent="0.45">
      <c r="B23" s="473"/>
      <c r="D23" s="427" t="s">
        <v>476</v>
      </c>
      <c r="E23" s="425"/>
      <c r="F23" s="424">
        <v>3</v>
      </c>
      <c r="G23" s="423">
        <f t="shared" si="0"/>
        <v>-3</v>
      </c>
      <c r="H23" s="400"/>
      <c r="I23" s="410"/>
      <c r="J23" s="410"/>
      <c r="K23" s="418"/>
      <c r="L23" s="418"/>
      <c r="M23" s="417"/>
      <c r="N23" s="416"/>
      <c r="O23" s="415"/>
      <c r="P23" s="406"/>
      <c r="Q23" s="401"/>
      <c r="R23" s="401"/>
      <c r="S23" s="401"/>
      <c r="T23" s="401"/>
    </row>
    <row r="24" spans="2:20" ht="18.5" x14ac:dyDescent="0.45">
      <c r="B24" s="473"/>
      <c r="D24" s="427" t="s">
        <v>475</v>
      </c>
      <c r="E24" s="425">
        <v>17</v>
      </c>
      <c r="F24" s="424">
        <v>17</v>
      </c>
      <c r="G24" s="423">
        <f t="shared" si="0"/>
        <v>0</v>
      </c>
      <c r="H24" s="400"/>
      <c r="I24" s="410"/>
      <c r="J24" s="410"/>
      <c r="K24" s="418"/>
      <c r="L24" s="418"/>
      <c r="M24" s="417"/>
      <c r="N24" s="416"/>
      <c r="O24" s="415"/>
      <c r="P24" s="406"/>
      <c r="Q24" s="401"/>
      <c r="R24" s="401"/>
      <c r="S24" s="401"/>
      <c r="T24" s="401"/>
    </row>
    <row r="25" spans="2:20" ht="18.5" x14ac:dyDescent="0.45">
      <c r="B25" s="473"/>
      <c r="D25" s="427" t="s">
        <v>474</v>
      </c>
      <c r="E25" s="425">
        <v>56</v>
      </c>
      <c r="F25" s="424">
        <v>70</v>
      </c>
      <c r="G25" s="423">
        <f t="shared" si="0"/>
        <v>-14</v>
      </c>
      <c r="H25" s="400"/>
      <c r="I25" s="410"/>
      <c r="J25" s="410"/>
      <c r="K25" s="418"/>
      <c r="L25" s="418"/>
      <c r="M25" s="417"/>
      <c r="N25" s="416"/>
      <c r="O25" s="415"/>
      <c r="P25" s="406"/>
      <c r="Q25" s="401"/>
      <c r="R25" s="401"/>
      <c r="S25" s="401"/>
      <c r="T25" s="401"/>
    </row>
    <row r="26" spans="2:20" ht="18.5" x14ac:dyDescent="0.45">
      <c r="B26" s="473"/>
      <c r="D26" s="426" t="s">
        <v>473</v>
      </c>
      <c r="E26" s="425">
        <v>22</v>
      </c>
      <c r="F26" s="424">
        <v>5</v>
      </c>
      <c r="G26" s="423">
        <f t="shared" si="0"/>
        <v>17</v>
      </c>
      <c r="H26" s="400" t="s">
        <v>564</v>
      </c>
      <c r="I26" s="410"/>
      <c r="J26" s="410"/>
      <c r="K26" s="418"/>
      <c r="L26" s="418"/>
      <c r="M26" s="417"/>
      <c r="N26" s="416"/>
      <c r="O26" s="415"/>
      <c r="P26" s="406"/>
      <c r="Q26" s="401"/>
      <c r="R26" s="401"/>
      <c r="S26" s="401"/>
      <c r="T26" s="401"/>
    </row>
    <row r="27" spans="2:20" ht="18.5" x14ac:dyDescent="0.45">
      <c r="B27" s="473"/>
      <c r="D27" s="422" t="s">
        <v>472</v>
      </c>
      <c r="E27" s="421">
        <f>SUM(E20:E26)</f>
        <v>157</v>
      </c>
      <c r="F27" s="421">
        <f>SUM(F20:F26)</f>
        <v>117</v>
      </c>
      <c r="G27" s="420">
        <f>SUM(G20:G26)</f>
        <v>40</v>
      </c>
      <c r="H27" s="419"/>
      <c r="I27" s="410"/>
      <c r="J27" s="410"/>
      <c r="K27" s="418"/>
      <c r="L27" s="418"/>
      <c r="M27" s="417"/>
      <c r="N27" s="416"/>
      <c r="O27" s="415"/>
      <c r="P27" s="406"/>
      <c r="Q27" s="401"/>
      <c r="R27" s="401"/>
      <c r="S27" s="401"/>
      <c r="T27" s="401"/>
    </row>
    <row r="28" spans="2:20" ht="19.5" x14ac:dyDescent="0.45">
      <c r="B28" s="473"/>
      <c r="D28" s="411"/>
      <c r="E28" s="410"/>
      <c r="F28" s="410"/>
      <c r="G28" s="414"/>
      <c r="H28" s="410"/>
      <c r="I28" s="410"/>
      <c r="J28" s="410"/>
      <c r="K28" s="418"/>
      <c r="L28" s="418"/>
      <c r="M28" s="417"/>
      <c r="N28" s="416"/>
      <c r="O28" s="415"/>
      <c r="P28" s="406"/>
      <c r="Q28" s="401"/>
      <c r="R28" s="401"/>
      <c r="S28" s="401"/>
      <c r="T28" s="401"/>
    </row>
    <row r="29" spans="2:20" ht="19.5" x14ac:dyDescent="0.45">
      <c r="B29" s="473"/>
      <c r="D29" s="411"/>
      <c r="E29" s="410"/>
      <c r="F29" s="404"/>
      <c r="G29" s="414"/>
      <c r="H29" s="400"/>
      <c r="I29" s="410"/>
      <c r="J29" s="410"/>
      <c r="K29" s="413"/>
      <c r="L29" s="413"/>
      <c r="M29" s="413"/>
      <c r="N29" s="413"/>
      <c r="O29" s="412"/>
      <c r="P29" s="406"/>
      <c r="Q29" s="401"/>
      <c r="R29" s="401"/>
      <c r="S29" s="401"/>
      <c r="T29" s="401"/>
    </row>
    <row r="30" spans="2:20" ht="4.5" customHeight="1" x14ac:dyDescent="0.45">
      <c r="B30" s="473"/>
      <c r="C30" s="409"/>
      <c r="D30" s="409"/>
      <c r="E30" s="409"/>
      <c r="F30" s="409"/>
      <c r="G30" s="409"/>
      <c r="H30" s="409"/>
      <c r="I30" s="409"/>
      <c r="J30" s="409"/>
      <c r="K30" s="409"/>
      <c r="L30" s="409"/>
      <c r="M30" s="409"/>
      <c r="N30" s="409"/>
      <c r="O30" s="407"/>
      <c r="P30" s="406"/>
      <c r="Q30" s="401"/>
      <c r="R30" s="401"/>
      <c r="S30" s="401"/>
      <c r="T30" s="401"/>
    </row>
    <row r="31" spans="2:20" ht="18.5" x14ac:dyDescent="0.45">
      <c r="D31" s="400"/>
      <c r="E31" s="400"/>
      <c r="F31" s="404"/>
      <c r="G31" s="410"/>
      <c r="H31" s="410"/>
      <c r="I31" s="410"/>
      <c r="J31" s="410"/>
      <c r="K31" s="409"/>
      <c r="L31" s="409"/>
      <c r="M31" s="409"/>
      <c r="N31" s="409"/>
      <c r="O31" s="407"/>
      <c r="P31" s="406"/>
      <c r="Q31" s="401"/>
      <c r="R31" s="401"/>
      <c r="S31" s="401"/>
      <c r="T31" s="401"/>
    </row>
    <row r="32" spans="2:20" ht="18.5" x14ac:dyDescent="0.45">
      <c r="D32" s="400"/>
      <c r="E32" s="400"/>
      <c r="F32" s="404"/>
      <c r="G32" s="410"/>
      <c r="H32" s="410"/>
      <c r="I32" s="410"/>
      <c r="J32" s="410"/>
      <c r="K32" s="409"/>
      <c r="L32" s="409"/>
      <c r="M32" s="409"/>
      <c r="N32" s="409"/>
      <c r="O32" s="407"/>
      <c r="P32" s="406"/>
      <c r="Q32" s="401"/>
      <c r="R32" s="401"/>
      <c r="S32" s="401"/>
      <c r="T32" s="401"/>
    </row>
    <row r="33" spans="4:20" ht="18.5" x14ac:dyDescent="0.45">
      <c r="D33" s="400"/>
      <c r="E33" s="400"/>
      <c r="F33" s="404"/>
      <c r="G33" s="410"/>
      <c r="H33" s="410"/>
      <c r="I33" s="410"/>
      <c r="J33" s="410"/>
      <c r="K33" s="409"/>
      <c r="L33" s="409"/>
      <c r="M33" s="409"/>
      <c r="N33" s="409"/>
      <c r="O33" s="407"/>
      <c r="P33" s="406"/>
      <c r="Q33" s="401"/>
      <c r="R33" s="401"/>
      <c r="S33" s="401"/>
      <c r="T33" s="401"/>
    </row>
    <row r="34" spans="4:20" ht="18.5" x14ac:dyDescent="0.45">
      <c r="D34" s="400"/>
      <c r="E34" s="400"/>
      <c r="F34" s="404"/>
      <c r="G34" s="410"/>
      <c r="H34" s="410"/>
      <c r="I34" s="410"/>
      <c r="J34" s="410"/>
      <c r="K34" s="409"/>
      <c r="L34" s="409"/>
      <c r="M34" s="409"/>
      <c r="N34" s="409"/>
      <c r="O34" s="407"/>
      <c r="P34" s="406"/>
      <c r="Q34" s="401"/>
      <c r="R34" s="401"/>
      <c r="S34" s="401"/>
      <c r="T34" s="401"/>
    </row>
    <row r="35" spans="4:20" ht="18.5" x14ac:dyDescent="0.45">
      <c r="D35" s="400"/>
      <c r="E35" s="400"/>
      <c r="F35" s="404"/>
      <c r="G35" s="410"/>
      <c r="H35" s="410"/>
      <c r="I35" s="410"/>
      <c r="J35" s="410"/>
      <c r="K35" s="409"/>
      <c r="L35" s="409"/>
      <c r="M35" s="409"/>
      <c r="N35" s="409"/>
      <c r="O35" s="407"/>
      <c r="P35" s="406"/>
      <c r="Q35" s="401"/>
      <c r="R35" s="401"/>
      <c r="S35" s="401"/>
      <c r="T35" s="401"/>
    </row>
    <row r="36" spans="4:20" ht="18.5" x14ac:dyDescent="0.45">
      <c r="D36" s="400"/>
      <c r="E36" s="400"/>
      <c r="F36" s="404"/>
      <c r="G36" s="410"/>
      <c r="H36" s="410"/>
      <c r="I36" s="410"/>
      <c r="J36" s="410"/>
      <c r="K36" s="409"/>
      <c r="L36" s="409"/>
      <c r="M36" s="409"/>
      <c r="N36" s="409"/>
      <c r="O36" s="407"/>
      <c r="P36" s="406"/>
      <c r="Q36" s="401"/>
      <c r="R36" s="401"/>
      <c r="S36" s="401"/>
      <c r="T36" s="401"/>
    </row>
    <row r="37" spans="4:20" ht="18.5" x14ac:dyDescent="0.45">
      <c r="D37" s="400"/>
      <c r="E37" s="408"/>
      <c r="F37" s="404"/>
      <c r="K37" s="401"/>
      <c r="L37" s="401"/>
      <c r="M37" s="401"/>
      <c r="N37" s="401"/>
      <c r="O37" s="407"/>
      <c r="P37" s="406"/>
      <c r="Q37" s="401"/>
      <c r="R37" s="401"/>
      <c r="S37" s="401"/>
      <c r="T37" s="401"/>
    </row>
    <row r="38" spans="4:20" ht="18.5" x14ac:dyDescent="0.45">
      <c r="D38" s="400"/>
      <c r="E38" s="405"/>
      <c r="F38" s="404"/>
      <c r="K38" s="402"/>
      <c r="L38" s="401"/>
      <c r="M38" s="401"/>
      <c r="N38" s="401"/>
      <c r="O38" s="407"/>
      <c r="P38" s="406"/>
      <c r="Q38" s="401"/>
      <c r="R38" s="401"/>
      <c r="S38" s="401"/>
      <c r="T38" s="401"/>
    </row>
    <row r="39" spans="4:20" ht="18.5" x14ac:dyDescent="0.45">
      <c r="D39" s="400"/>
      <c r="E39" s="405"/>
      <c r="F39" s="404"/>
      <c r="K39" s="402"/>
      <c r="L39" s="401"/>
      <c r="M39" s="401"/>
      <c r="N39" s="401"/>
      <c r="O39" s="406"/>
      <c r="P39" s="406"/>
      <c r="Q39" s="401"/>
      <c r="R39" s="401"/>
      <c r="S39" s="401"/>
      <c r="T39" s="401"/>
    </row>
    <row r="40" spans="4:20" ht="18.5" x14ac:dyDescent="0.45">
      <c r="D40" s="400"/>
      <c r="E40" s="405"/>
      <c r="F40" s="404"/>
      <c r="K40" s="402"/>
      <c r="L40" s="401"/>
      <c r="M40" s="401"/>
      <c r="N40" s="401"/>
      <c r="O40" s="406"/>
      <c r="P40" s="406"/>
      <c r="Q40" s="401"/>
      <c r="R40" s="401"/>
      <c r="S40" s="401"/>
      <c r="T40" s="401"/>
    </row>
    <row r="41" spans="4:20" ht="18.5" x14ac:dyDescent="0.45">
      <c r="D41" s="404"/>
      <c r="E41" s="405"/>
      <c r="F41" s="404"/>
      <c r="K41" s="402"/>
      <c r="L41" s="401"/>
      <c r="M41" s="401"/>
      <c r="N41" s="401"/>
      <c r="O41" s="401"/>
      <c r="P41" s="401"/>
      <c r="Q41" s="401"/>
      <c r="R41" s="401"/>
      <c r="S41" s="401"/>
      <c r="T41" s="401"/>
    </row>
    <row r="42" spans="4:20" ht="18.5" x14ac:dyDescent="0.45">
      <c r="E42" s="403"/>
      <c r="K42" s="402"/>
      <c r="L42" s="401"/>
      <c r="M42" s="401"/>
      <c r="N42" s="401"/>
      <c r="O42" s="401"/>
      <c r="P42" s="401"/>
      <c r="Q42" s="401"/>
      <c r="R42" s="401"/>
      <c r="S42" s="401"/>
      <c r="T42" s="401"/>
    </row>
    <row r="43" spans="4:20" ht="18.5" x14ac:dyDescent="0.45">
      <c r="K43" s="402"/>
      <c r="L43" s="401"/>
      <c r="M43" s="401"/>
      <c r="N43" s="401"/>
      <c r="O43" s="401"/>
      <c r="P43" s="401"/>
      <c r="Q43" s="401"/>
      <c r="R43" s="401"/>
      <c r="S43" s="401"/>
      <c r="T43" s="401"/>
    </row>
    <row r="44" spans="4:20" ht="18.5" x14ac:dyDescent="0.45">
      <c r="K44" s="402"/>
      <c r="L44" s="401"/>
      <c r="M44" s="401"/>
      <c r="N44" s="401"/>
      <c r="O44" s="401"/>
      <c r="P44" s="401"/>
      <c r="Q44" s="401"/>
      <c r="R44" s="401"/>
      <c r="S44" s="401"/>
      <c r="T44" s="401"/>
    </row>
    <row r="45" spans="4:20" ht="18.5" x14ac:dyDescent="0.45">
      <c r="K45" s="402"/>
      <c r="L45" s="401"/>
      <c r="M45" s="401"/>
      <c r="N45" s="401"/>
      <c r="O45" s="401"/>
      <c r="P45" s="401"/>
      <c r="Q45" s="401"/>
      <c r="R45" s="401"/>
      <c r="S45" s="401"/>
      <c r="T45" s="401"/>
    </row>
    <row r="46" spans="4:20" ht="18.5" x14ac:dyDescent="0.45">
      <c r="K46" s="402"/>
      <c r="L46" s="401"/>
      <c r="M46" s="401"/>
      <c r="N46" s="401"/>
      <c r="O46" s="401"/>
      <c r="P46" s="401"/>
      <c r="Q46" s="401"/>
      <c r="R46" s="401"/>
      <c r="S46" s="401"/>
      <c r="T46" s="401"/>
    </row>
    <row r="47" spans="4:20" ht="18.5" x14ac:dyDescent="0.45">
      <c r="K47" s="402"/>
      <c r="L47" s="401"/>
      <c r="M47" s="401"/>
      <c r="N47" s="401"/>
      <c r="O47" s="401"/>
      <c r="P47" s="401"/>
      <c r="Q47" s="401"/>
      <c r="R47" s="401"/>
      <c r="S47" s="401"/>
      <c r="T47" s="401"/>
    </row>
    <row r="48" spans="4:20" ht="18.5" x14ac:dyDescent="0.45">
      <c r="K48" s="400"/>
    </row>
    <row r="49" spans="11:11" ht="18.5" x14ac:dyDescent="0.45">
      <c r="K49" s="400"/>
    </row>
    <row r="50" spans="11:11" ht="18.5" x14ac:dyDescent="0.45">
      <c r="K50" s="400"/>
    </row>
    <row r="51" spans="11:11" ht="18.5" x14ac:dyDescent="0.45">
      <c r="K51" s="400"/>
    </row>
    <row r="52" spans="11:11" ht="18.5" x14ac:dyDescent="0.45">
      <c r="K52" s="400"/>
    </row>
    <row r="53" spans="11:11" ht="18.5" x14ac:dyDescent="0.45">
      <c r="K53" s="400"/>
    </row>
  </sheetData>
  <pageMargins left="0.70866141732283472" right="0.70866141732283472" top="0.74803149606299213" bottom="0.74803149606299213" header="0.31496062992125984" footer="0.31496062992125984"/>
  <pageSetup paperSize="9" scale="92" orientation="landscape" r:id="rId1"/>
  <ignoredErrors>
    <ignoredError sqref="E8:G8 E16:G16" unlockedFormula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O50"/>
  <sheetViews>
    <sheetView workbookViewId="0">
      <selection activeCell="C3" sqref="C3:J31"/>
    </sheetView>
  </sheetViews>
  <sheetFormatPr baseColWidth="10" defaultColWidth="11.453125" defaultRowHeight="14.5" x14ac:dyDescent="0.35"/>
  <cols>
    <col min="1" max="1" width="4.453125" style="399" customWidth="1"/>
    <col min="2" max="3" width="0.7265625" style="399" customWidth="1"/>
    <col min="4" max="4" width="41.453125" style="399" customWidth="1"/>
    <col min="5" max="5" width="12.1796875" style="399" bestFit="1" customWidth="1"/>
    <col min="6" max="6" width="12.81640625" style="399" bestFit="1" customWidth="1"/>
    <col min="7" max="7" width="10.54296875" style="399" bestFit="1" customWidth="1"/>
    <col min="8" max="8" width="29.7265625" style="399" bestFit="1" customWidth="1"/>
    <col min="9" max="9" width="30.7265625" style="399" bestFit="1" customWidth="1"/>
    <col min="10" max="10" width="4.54296875" style="399" customWidth="1"/>
    <col min="11" max="11" width="0.7265625" style="399" customWidth="1"/>
    <col min="12" max="16384" width="11.453125" style="399"/>
  </cols>
  <sheetData>
    <row r="1" spans="1:15" x14ac:dyDescent="0.35">
      <c r="A1" s="401"/>
      <c r="H1" s="471"/>
      <c r="I1" s="471"/>
    </row>
    <row r="2" spans="1:15" ht="3.65" customHeight="1" x14ac:dyDescent="0.35">
      <c r="A2" s="401"/>
      <c r="B2" s="473"/>
      <c r="C2" s="473"/>
      <c r="D2" s="473"/>
      <c r="E2" s="473"/>
      <c r="F2" s="473"/>
      <c r="G2" s="473"/>
      <c r="H2" s="473"/>
      <c r="I2" s="473"/>
      <c r="J2" s="473"/>
      <c r="K2" s="473"/>
    </row>
    <row r="3" spans="1:15" ht="21" hidden="1" x14ac:dyDescent="0.5">
      <c r="A3" s="409"/>
      <c r="B3" s="473"/>
      <c r="C3" s="410"/>
      <c r="D3" s="455" t="s">
        <v>528</v>
      </c>
      <c r="E3" s="410"/>
      <c r="F3" s="410"/>
      <c r="G3" s="410"/>
      <c r="H3" s="410"/>
    </row>
    <row r="4" spans="1:15" ht="18.5" x14ac:dyDescent="0.45">
      <c r="A4" s="409"/>
      <c r="B4" s="473"/>
      <c r="C4" s="410"/>
      <c r="D4" s="410"/>
      <c r="E4" s="410"/>
      <c r="F4" s="410"/>
      <c r="G4" s="410"/>
      <c r="H4" s="410"/>
    </row>
    <row r="5" spans="1:15" ht="18.5" x14ac:dyDescent="0.45">
      <c r="A5" s="433"/>
      <c r="B5" s="473"/>
      <c r="C5" s="410"/>
      <c r="D5" s="454" t="s">
        <v>144</v>
      </c>
      <c r="E5" s="430" t="str">
        <f>V_Exelco!E5</f>
        <v>Real Abril</v>
      </c>
      <c r="F5" s="430" t="str">
        <f>V_Exelco!F5</f>
        <v>Ppto. Abril</v>
      </c>
      <c r="G5" s="429" t="s">
        <v>480</v>
      </c>
      <c r="H5" s="472" t="s">
        <v>527</v>
      </c>
      <c r="I5" s="430" t="s">
        <v>526</v>
      </c>
    </row>
    <row r="6" spans="1:15" ht="18.5" x14ac:dyDescent="0.45">
      <c r="A6" s="402"/>
      <c r="B6" s="473"/>
      <c r="C6" s="410"/>
      <c r="D6" s="450" t="s">
        <v>525</v>
      </c>
      <c r="E6" s="470">
        <v>38</v>
      </c>
      <c r="F6" s="470">
        <v>125</v>
      </c>
      <c r="G6" s="469">
        <f t="shared" ref="G6:G14" si="0">+E6-F6</f>
        <v>-87</v>
      </c>
      <c r="H6" s="468" t="s">
        <v>524</v>
      </c>
      <c r="I6" s="468" t="s">
        <v>523</v>
      </c>
    </row>
    <row r="7" spans="1:15" ht="18.5" x14ac:dyDescent="0.45">
      <c r="A7" s="402"/>
      <c r="B7" s="473"/>
      <c r="C7" s="410"/>
      <c r="D7" s="450" t="s">
        <v>522</v>
      </c>
      <c r="E7" s="470">
        <v>27</v>
      </c>
      <c r="F7" s="470">
        <v>375</v>
      </c>
      <c r="G7" s="469">
        <f t="shared" si="0"/>
        <v>-348</v>
      </c>
      <c r="H7" s="468" t="s">
        <v>521</v>
      </c>
      <c r="I7" s="468" t="s">
        <v>521</v>
      </c>
    </row>
    <row r="8" spans="1:15" ht="18.5" x14ac:dyDescent="0.45">
      <c r="A8" s="402"/>
      <c r="B8" s="473"/>
      <c r="C8" s="410"/>
      <c r="D8" s="450" t="s">
        <v>520</v>
      </c>
      <c r="E8" s="470">
        <v>1088</v>
      </c>
      <c r="F8" s="470">
        <v>385</v>
      </c>
      <c r="G8" s="469">
        <f t="shared" si="0"/>
        <v>703</v>
      </c>
      <c r="H8" s="468" t="s">
        <v>562</v>
      </c>
      <c r="I8" s="468" t="s">
        <v>363</v>
      </c>
    </row>
    <row r="9" spans="1:15" ht="18.5" x14ac:dyDescent="0.45">
      <c r="A9" s="402"/>
      <c r="B9" s="473"/>
      <c r="C9" s="410"/>
      <c r="D9" s="450" t="s">
        <v>519</v>
      </c>
      <c r="E9" s="470">
        <v>548</v>
      </c>
      <c r="F9" s="470"/>
      <c r="G9" s="469">
        <f t="shared" si="0"/>
        <v>548</v>
      </c>
      <c r="H9" s="468" t="s">
        <v>518</v>
      </c>
      <c r="I9" s="468"/>
    </row>
    <row r="10" spans="1:15" ht="18.5" x14ac:dyDescent="0.45">
      <c r="A10" s="402"/>
      <c r="B10" s="473"/>
      <c r="C10" s="410"/>
      <c r="D10" s="450" t="s">
        <v>570</v>
      </c>
      <c r="E10" s="470">
        <v>174</v>
      </c>
      <c r="F10" s="470">
        <v>766</v>
      </c>
      <c r="G10" s="469"/>
      <c r="H10" s="468" t="s">
        <v>572</v>
      </c>
      <c r="I10" s="468" t="s">
        <v>571</v>
      </c>
    </row>
    <row r="11" spans="1:15" ht="18.5" x14ac:dyDescent="0.45">
      <c r="A11" s="402"/>
      <c r="B11" s="473"/>
      <c r="C11" s="410"/>
      <c r="D11" s="450" t="s">
        <v>517</v>
      </c>
      <c r="E11" s="470"/>
      <c r="F11" s="470">
        <v>536</v>
      </c>
      <c r="G11" s="469">
        <f t="shared" si="0"/>
        <v>-536</v>
      </c>
      <c r="H11" s="468"/>
      <c r="I11" s="468" t="s">
        <v>516</v>
      </c>
      <c r="O11" s="471"/>
    </row>
    <row r="12" spans="1:15" ht="18.5" x14ac:dyDescent="0.45">
      <c r="A12" s="402"/>
      <c r="B12" s="473"/>
      <c r="C12" s="410"/>
      <c r="D12" s="450" t="s">
        <v>515</v>
      </c>
      <c r="E12" s="470">
        <v>340</v>
      </c>
      <c r="F12" s="470"/>
      <c r="G12" s="469">
        <f t="shared" si="0"/>
        <v>340</v>
      </c>
      <c r="H12" s="468" t="s">
        <v>514</v>
      </c>
      <c r="I12" s="468" t="s">
        <v>513</v>
      </c>
      <c r="O12" s="471"/>
    </row>
    <row r="13" spans="1:15" ht="18.5" x14ac:dyDescent="0.45">
      <c r="A13" s="402"/>
      <c r="B13" s="473"/>
      <c r="C13" s="410"/>
      <c r="D13" s="450" t="s">
        <v>512</v>
      </c>
      <c r="E13" s="470">
        <v>207</v>
      </c>
      <c r="F13" s="470">
        <v>206</v>
      </c>
      <c r="G13" s="469">
        <f t="shared" si="0"/>
        <v>1</v>
      </c>
      <c r="H13" s="468" t="s">
        <v>511</v>
      </c>
      <c r="I13" s="468" t="s">
        <v>511</v>
      </c>
    </row>
    <row r="14" spans="1:15" ht="18.5" x14ac:dyDescent="0.45">
      <c r="A14" s="402"/>
      <c r="B14" s="473"/>
      <c r="C14" s="410"/>
      <c r="D14" s="450" t="s">
        <v>510</v>
      </c>
      <c r="E14" s="470">
        <v>42</v>
      </c>
      <c r="F14" s="470">
        <v>23</v>
      </c>
      <c r="G14" s="469">
        <f t="shared" si="0"/>
        <v>19</v>
      </c>
      <c r="H14" s="468" t="s">
        <v>509</v>
      </c>
      <c r="I14" s="468" t="s">
        <v>508</v>
      </c>
    </row>
    <row r="15" spans="1:15" ht="18.5" x14ac:dyDescent="0.45">
      <c r="A15" s="402"/>
      <c r="B15" s="473"/>
      <c r="C15" s="410"/>
      <c r="D15" s="448" t="s">
        <v>491</v>
      </c>
      <c r="E15" s="467">
        <f>SUM(E6:E14)</f>
        <v>2464</v>
      </c>
      <c r="F15" s="467">
        <f>SUM(F6:F14)</f>
        <v>2416</v>
      </c>
      <c r="G15" s="420">
        <f>SUM(G3:G14)</f>
        <v>640</v>
      </c>
      <c r="H15" s="466"/>
      <c r="I15" s="465"/>
    </row>
    <row r="16" spans="1:15" ht="18.5" x14ac:dyDescent="0.45">
      <c r="A16" s="402"/>
      <c r="B16" s="473"/>
      <c r="C16" s="410"/>
      <c r="D16" s="443"/>
      <c r="E16" s="442"/>
      <c r="F16" s="442"/>
      <c r="G16" s="441"/>
      <c r="H16" s="410"/>
    </row>
    <row r="17" spans="1:9" ht="18.5" x14ac:dyDescent="0.45">
      <c r="A17" s="409"/>
      <c r="B17" s="473"/>
      <c r="C17" s="410"/>
      <c r="D17" s="402" t="s">
        <v>441</v>
      </c>
      <c r="E17" s="410"/>
      <c r="F17" s="410"/>
      <c r="G17" s="410"/>
      <c r="H17" s="410"/>
      <c r="I17" s="464"/>
    </row>
    <row r="18" spans="1:9" ht="18.5" x14ac:dyDescent="0.45">
      <c r="A18" s="409"/>
      <c r="B18" s="473"/>
      <c r="C18" s="410"/>
      <c r="D18" s="431" t="s">
        <v>481</v>
      </c>
      <c r="E18" s="430" t="str">
        <f>E5</f>
        <v>Real Abril</v>
      </c>
      <c r="F18" s="430" t="str">
        <f>V_Exelco!F11</f>
        <v>Ppto. Abril</v>
      </c>
      <c r="G18" s="429" t="s">
        <v>480</v>
      </c>
      <c r="H18" s="409"/>
      <c r="I18" s="400" t="s">
        <v>490</v>
      </c>
    </row>
    <row r="19" spans="1:9" ht="18.5" x14ac:dyDescent="0.45">
      <c r="A19" s="409"/>
      <c r="B19" s="473"/>
      <c r="C19" s="410"/>
      <c r="D19" s="463" t="s">
        <v>507</v>
      </c>
      <c r="E19" s="462">
        <v>11</v>
      </c>
      <c r="F19" s="462">
        <v>11</v>
      </c>
      <c r="G19" s="461">
        <f t="shared" ref="G19:G29" si="1">+E19-F19</f>
        <v>0</v>
      </c>
      <c r="H19" s="415"/>
      <c r="I19" s="400"/>
    </row>
    <row r="20" spans="1:9" ht="18.5" x14ac:dyDescent="0.45">
      <c r="A20" s="409"/>
      <c r="B20" s="473"/>
      <c r="C20" s="410"/>
      <c r="D20" s="463" t="s">
        <v>506</v>
      </c>
      <c r="E20" s="462">
        <v>3</v>
      </c>
      <c r="F20" s="462">
        <v>2</v>
      </c>
      <c r="G20" s="461">
        <f t="shared" si="1"/>
        <v>1</v>
      </c>
      <c r="H20" s="415"/>
      <c r="I20" s="400" t="s">
        <v>573</v>
      </c>
    </row>
    <row r="21" spans="1:9" ht="18.5" x14ac:dyDescent="0.45">
      <c r="A21" s="409"/>
      <c r="B21" s="473"/>
      <c r="C21" s="410"/>
      <c r="D21" s="463" t="s">
        <v>505</v>
      </c>
      <c r="E21" s="462">
        <v>10</v>
      </c>
      <c r="F21" s="462">
        <v>2</v>
      </c>
      <c r="G21" s="461">
        <f t="shared" si="1"/>
        <v>8</v>
      </c>
      <c r="H21" s="415" t="s">
        <v>489</v>
      </c>
      <c r="I21" s="400" t="s">
        <v>574</v>
      </c>
    </row>
    <row r="22" spans="1:9" ht="18.5" x14ac:dyDescent="0.45">
      <c r="A22" s="409"/>
      <c r="B22" s="473"/>
      <c r="C22" s="410"/>
      <c r="D22" s="463" t="s">
        <v>504</v>
      </c>
      <c r="E22" s="462">
        <v>6</v>
      </c>
      <c r="F22" s="462">
        <v>6</v>
      </c>
      <c r="G22" s="461">
        <f t="shared" si="1"/>
        <v>0</v>
      </c>
      <c r="H22" s="415"/>
      <c r="I22" s="400" t="s">
        <v>575</v>
      </c>
    </row>
    <row r="23" spans="1:9" ht="18.5" x14ac:dyDescent="0.45">
      <c r="A23" s="409"/>
      <c r="B23" s="473"/>
      <c r="C23" s="410"/>
      <c r="D23" s="463" t="s">
        <v>477</v>
      </c>
      <c r="E23" s="462">
        <v>36</v>
      </c>
      <c r="F23" s="462">
        <v>31</v>
      </c>
      <c r="G23" s="461">
        <f t="shared" si="1"/>
        <v>5</v>
      </c>
      <c r="H23" s="415" t="s">
        <v>485</v>
      </c>
      <c r="I23" s="400" t="s">
        <v>576</v>
      </c>
    </row>
    <row r="24" spans="1:9" ht="18.5" x14ac:dyDescent="0.45">
      <c r="A24" s="409"/>
      <c r="B24" s="473"/>
      <c r="C24" s="410"/>
      <c r="D24" s="463" t="s">
        <v>503</v>
      </c>
      <c r="E24" s="462">
        <v>0</v>
      </c>
      <c r="F24" s="462">
        <v>0</v>
      </c>
      <c r="G24" s="461">
        <f t="shared" si="1"/>
        <v>0</v>
      </c>
      <c r="H24" s="415"/>
      <c r="I24" s="400"/>
    </row>
    <row r="25" spans="1:9" ht="18.5" x14ac:dyDescent="0.45">
      <c r="A25" s="409"/>
      <c r="B25" s="473"/>
      <c r="C25" s="410"/>
      <c r="D25" s="463" t="s">
        <v>502</v>
      </c>
      <c r="E25" s="462">
        <v>5</v>
      </c>
      <c r="F25" s="462">
        <v>2</v>
      </c>
      <c r="G25" s="461">
        <f t="shared" si="1"/>
        <v>3</v>
      </c>
      <c r="H25" s="415" t="s">
        <v>483</v>
      </c>
      <c r="I25" s="400"/>
    </row>
    <row r="26" spans="1:9" ht="18.5" x14ac:dyDescent="0.45">
      <c r="A26" s="409"/>
      <c r="B26" s="473"/>
      <c r="C26" s="410"/>
      <c r="D26" s="463" t="s">
        <v>501</v>
      </c>
      <c r="E26" s="462">
        <v>10</v>
      </c>
      <c r="F26" s="462">
        <v>5</v>
      </c>
      <c r="G26" s="461">
        <f t="shared" si="1"/>
        <v>5</v>
      </c>
      <c r="H26" s="415" t="s">
        <v>479</v>
      </c>
      <c r="I26" s="400"/>
    </row>
    <row r="27" spans="1:9" ht="18.5" x14ac:dyDescent="0.45">
      <c r="A27" s="409"/>
      <c r="B27" s="473"/>
      <c r="C27" s="410"/>
      <c r="D27" s="463" t="s">
        <v>500</v>
      </c>
      <c r="E27" s="462">
        <v>1</v>
      </c>
      <c r="F27" s="462">
        <v>0</v>
      </c>
      <c r="G27" s="461">
        <f t="shared" si="1"/>
        <v>1</v>
      </c>
      <c r="H27" s="415"/>
      <c r="I27" s="400"/>
    </row>
    <row r="28" spans="1:9" ht="18.5" x14ac:dyDescent="0.45">
      <c r="A28" s="409"/>
      <c r="B28" s="473"/>
      <c r="C28" s="410"/>
      <c r="D28" s="463" t="s">
        <v>499</v>
      </c>
      <c r="E28" s="462">
        <v>8</v>
      </c>
      <c r="F28" s="462">
        <v>7</v>
      </c>
      <c r="G28" s="461">
        <f t="shared" si="1"/>
        <v>1</v>
      </c>
      <c r="H28" s="415"/>
      <c r="I28" s="457"/>
    </row>
    <row r="29" spans="1:9" ht="18.5" x14ac:dyDescent="0.45">
      <c r="A29" s="409"/>
      <c r="B29" s="473"/>
      <c r="C29" s="410"/>
      <c r="D29" s="463" t="s">
        <v>498</v>
      </c>
      <c r="E29" s="462">
        <v>48</v>
      </c>
      <c r="F29" s="462">
        <v>41</v>
      </c>
      <c r="G29" s="461">
        <f t="shared" si="1"/>
        <v>7</v>
      </c>
      <c r="H29" s="415"/>
      <c r="I29" s="457"/>
    </row>
    <row r="30" spans="1:9" ht="18.5" x14ac:dyDescent="0.45">
      <c r="A30" s="409"/>
      <c r="B30" s="473"/>
      <c r="C30" s="410"/>
      <c r="D30" s="460" t="s">
        <v>472</v>
      </c>
      <c r="E30" s="459">
        <f>SUM(E19:E29)</f>
        <v>138</v>
      </c>
      <c r="F30" s="459">
        <f>SUM(F19:F29)</f>
        <v>107</v>
      </c>
      <c r="G30" s="459">
        <f>SUM(G19:G29)</f>
        <v>31</v>
      </c>
      <c r="H30" s="412"/>
      <c r="I30" s="457"/>
    </row>
    <row r="31" spans="1:9" ht="18.5" x14ac:dyDescent="0.45">
      <c r="A31" s="409"/>
      <c r="B31" s="473"/>
      <c r="C31" s="410"/>
      <c r="D31" s="410"/>
      <c r="E31" s="410"/>
      <c r="F31" s="410"/>
      <c r="G31" s="410"/>
      <c r="H31" s="458"/>
      <c r="I31" s="457"/>
    </row>
    <row r="32" spans="1:9" ht="3" customHeight="1" x14ac:dyDescent="0.45">
      <c r="A32" s="409"/>
      <c r="B32" s="473"/>
    </row>
    <row r="33" spans="1:9" ht="19.5" x14ac:dyDescent="0.45">
      <c r="A33" s="409"/>
      <c r="B33" s="410"/>
      <c r="C33" s="410"/>
      <c r="D33" s="411"/>
      <c r="E33" s="410"/>
      <c r="F33" s="410"/>
      <c r="G33" s="410"/>
      <c r="H33" s="458"/>
      <c r="I33" s="457"/>
    </row>
    <row r="34" spans="1:9" ht="18.5" x14ac:dyDescent="0.45">
      <c r="A34" s="409"/>
      <c r="B34" s="410"/>
      <c r="C34" s="410"/>
      <c r="D34" s="400"/>
      <c r="E34" s="456"/>
      <c r="F34" s="456"/>
      <c r="G34" s="456"/>
      <c r="H34" s="458"/>
      <c r="I34" s="457"/>
    </row>
    <row r="35" spans="1:9" ht="18.5" x14ac:dyDescent="0.45">
      <c r="A35" s="401"/>
      <c r="D35" s="400"/>
      <c r="H35" s="458"/>
      <c r="I35" s="457"/>
    </row>
    <row r="36" spans="1:9" ht="18.5" x14ac:dyDescent="0.45">
      <c r="A36" s="401"/>
      <c r="D36" s="400"/>
      <c r="H36" s="457"/>
      <c r="I36" s="457"/>
    </row>
    <row r="37" spans="1:9" ht="18.5" x14ac:dyDescent="0.45">
      <c r="A37" s="401"/>
      <c r="D37" s="400"/>
      <c r="H37" s="457"/>
      <c r="I37" s="457"/>
    </row>
    <row r="38" spans="1:9" ht="18.5" x14ac:dyDescent="0.45">
      <c r="A38" s="401"/>
      <c r="D38" s="400"/>
    </row>
    <row r="39" spans="1:9" ht="18.5" x14ac:dyDescent="0.45">
      <c r="A39" s="401"/>
      <c r="D39" s="400"/>
    </row>
    <row r="40" spans="1:9" ht="18.5" x14ac:dyDescent="0.45">
      <c r="A40" s="401"/>
      <c r="D40" s="400"/>
      <c r="E40" s="400"/>
      <c r="F40" s="456"/>
    </row>
    <row r="41" spans="1:9" ht="18.5" x14ac:dyDescent="0.45">
      <c r="A41" s="401"/>
      <c r="D41" s="400"/>
    </row>
    <row r="42" spans="1:9" ht="18.5" x14ac:dyDescent="0.45">
      <c r="A42" s="401"/>
      <c r="D42" s="400"/>
    </row>
    <row r="43" spans="1:9" ht="18.5" x14ac:dyDescent="0.45">
      <c r="A43" s="401"/>
      <c r="D43" s="400"/>
    </row>
    <row r="44" spans="1:9" ht="18.5" x14ac:dyDescent="0.45">
      <c r="A44" s="401"/>
      <c r="D44" s="400"/>
    </row>
    <row r="45" spans="1:9" ht="18.5" x14ac:dyDescent="0.45">
      <c r="A45" s="401"/>
      <c r="D45" s="400"/>
    </row>
    <row r="46" spans="1:9" ht="18.5" x14ac:dyDescent="0.45">
      <c r="A46" s="401"/>
      <c r="D46" s="400"/>
    </row>
    <row r="47" spans="1:9" ht="18.5" x14ac:dyDescent="0.45">
      <c r="A47" s="401"/>
      <c r="D47" s="400"/>
    </row>
    <row r="48" spans="1:9" ht="18.5" x14ac:dyDescent="0.45">
      <c r="A48" s="401"/>
      <c r="D48" s="400"/>
    </row>
    <row r="49" spans="4:4" ht="18.5" x14ac:dyDescent="0.45">
      <c r="D49" s="400"/>
    </row>
    <row r="50" spans="4:4" ht="18.5" x14ac:dyDescent="0.45">
      <c r="D50" s="400"/>
    </row>
  </sheetData>
  <pageMargins left="0.7" right="0.7" top="0.75" bottom="0.75" header="0.3" footer="0.3"/>
  <pageSetup orientation="portrait" r:id="rId1"/>
  <ignoredErrors>
    <ignoredError sqref="G11:G14 G19:G29 G6:G9" unlocked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6:O25"/>
  <sheetViews>
    <sheetView zoomScale="69" zoomScaleNormal="69" workbookViewId="0"/>
  </sheetViews>
  <sheetFormatPr baseColWidth="10" defaultColWidth="10.81640625" defaultRowHeight="12.5" x14ac:dyDescent="0.25"/>
  <cols>
    <col min="1" max="16384" width="10.81640625" style="238"/>
  </cols>
  <sheetData>
    <row r="6" spans="1:15" x14ac:dyDescent="0.25">
      <c r="A6" s="279" t="s">
        <v>366</v>
      </c>
      <c r="B6" s="283"/>
      <c r="C6" s="282" t="s">
        <v>353</v>
      </c>
      <c r="D6" s="281" t="s">
        <v>352</v>
      </c>
      <c r="E6" s="281" t="s">
        <v>351</v>
      </c>
      <c r="F6" s="281" t="s">
        <v>350</v>
      </c>
      <c r="G6" s="281" t="s">
        <v>349</v>
      </c>
      <c r="H6" s="281" t="s">
        <v>348</v>
      </c>
      <c r="I6" s="281" t="s">
        <v>347</v>
      </c>
      <c r="J6" s="281" t="s">
        <v>346</v>
      </c>
      <c r="K6" s="281" t="s">
        <v>345</v>
      </c>
      <c r="L6" s="281" t="s">
        <v>344</v>
      </c>
      <c r="M6" s="281" t="s">
        <v>343</v>
      </c>
      <c r="N6" s="281" t="s">
        <v>342</v>
      </c>
      <c r="O6" s="280" t="s">
        <v>274</v>
      </c>
    </row>
    <row r="7" spans="1:15" x14ac:dyDescent="0.25">
      <c r="A7" s="279" t="s">
        <v>365</v>
      </c>
      <c r="B7" s="276"/>
      <c r="C7" s="278"/>
      <c r="D7" s="278"/>
      <c r="E7" s="278"/>
      <c r="F7" s="278"/>
      <c r="G7" s="278"/>
      <c r="H7" s="278"/>
      <c r="I7" s="278"/>
      <c r="J7" s="278"/>
      <c r="K7" s="278"/>
      <c r="L7" s="278"/>
      <c r="M7" s="278"/>
      <c r="N7" s="278"/>
      <c r="O7" s="274">
        <f t="shared" ref="O7:O18" si="0">SUM(C7:N7)</f>
        <v>0</v>
      </c>
    </row>
    <row r="8" spans="1:15" x14ac:dyDescent="0.25">
      <c r="A8" s="279" t="s">
        <v>364</v>
      </c>
      <c r="B8" s="276"/>
      <c r="C8" s="278"/>
      <c r="D8" s="278">
        <v>54.545454545454547</v>
      </c>
      <c r="E8" s="278">
        <v>54.545454545454547</v>
      </c>
      <c r="F8" s="278">
        <v>54.545454545454547</v>
      </c>
      <c r="G8" s="278">
        <v>54.545454545454547</v>
      </c>
      <c r="H8" s="278">
        <v>54.545454545454547</v>
      </c>
      <c r="I8" s="278">
        <v>54.545454545454547</v>
      </c>
      <c r="J8" s="278">
        <v>54.545454545454547</v>
      </c>
      <c r="K8" s="278">
        <v>54.545454545454547</v>
      </c>
      <c r="L8" s="278">
        <v>54.545454545454547</v>
      </c>
      <c r="M8" s="278">
        <v>54.545454545454547</v>
      </c>
      <c r="N8" s="278">
        <v>54.545454545454547</v>
      </c>
      <c r="O8" s="274">
        <f t="shared" si="0"/>
        <v>600</v>
      </c>
    </row>
    <row r="9" spans="1:15" x14ac:dyDescent="0.25">
      <c r="A9" s="279" t="s">
        <v>363</v>
      </c>
      <c r="B9" s="276"/>
      <c r="C9" s="278"/>
      <c r="D9" s="278">
        <v>333.33333333333331</v>
      </c>
      <c r="E9" s="278">
        <v>333.33333333333331</v>
      </c>
      <c r="F9" s="278">
        <v>666.66666666666663</v>
      </c>
      <c r="G9" s="278">
        <v>333.33333333333331</v>
      </c>
      <c r="H9" s="278">
        <v>666.66666666666663</v>
      </c>
      <c r="I9" s="278">
        <v>333.33333333333331</v>
      </c>
      <c r="J9" s="278">
        <v>833.33333333333303</v>
      </c>
      <c r="K9" s="278">
        <v>500</v>
      </c>
      <c r="L9" s="278">
        <v>500</v>
      </c>
      <c r="M9" s="278">
        <v>500</v>
      </c>
      <c r="N9" s="278">
        <v>500</v>
      </c>
      <c r="O9" s="274">
        <f t="shared" si="0"/>
        <v>5500</v>
      </c>
    </row>
    <row r="10" spans="1:15" x14ac:dyDescent="0.25">
      <c r="A10" s="279" t="s">
        <v>362</v>
      </c>
      <c r="B10" s="276"/>
      <c r="C10" s="278"/>
      <c r="D10" s="278"/>
      <c r="E10" s="278"/>
      <c r="F10" s="278"/>
      <c r="G10" s="278">
        <v>125</v>
      </c>
      <c r="H10" s="278">
        <v>125</v>
      </c>
      <c r="I10" s="278">
        <v>125</v>
      </c>
      <c r="J10" s="278">
        <v>125</v>
      </c>
      <c r="K10" s="278">
        <v>125</v>
      </c>
      <c r="L10" s="278">
        <v>125</v>
      </c>
      <c r="M10" s="278">
        <v>125</v>
      </c>
      <c r="N10" s="278">
        <v>125</v>
      </c>
      <c r="O10" s="274">
        <f t="shared" si="0"/>
        <v>1000</v>
      </c>
    </row>
    <row r="11" spans="1:15" x14ac:dyDescent="0.25">
      <c r="A11" s="279" t="s">
        <v>361</v>
      </c>
      <c r="B11" s="276"/>
      <c r="C11" s="278"/>
      <c r="D11" s="278"/>
      <c r="E11" s="278"/>
      <c r="F11" s="278"/>
      <c r="G11" s="278"/>
      <c r="H11" s="278"/>
      <c r="I11" s="278"/>
      <c r="J11" s="278"/>
      <c r="K11" s="278"/>
      <c r="L11" s="278"/>
      <c r="M11" s="278"/>
      <c r="N11" s="278"/>
      <c r="O11" s="274">
        <f t="shared" si="0"/>
        <v>0</v>
      </c>
    </row>
    <row r="12" spans="1:15" x14ac:dyDescent="0.25">
      <c r="A12" s="279" t="s">
        <v>360</v>
      </c>
      <c r="B12" s="276"/>
      <c r="C12" s="278"/>
      <c r="D12" s="278"/>
      <c r="E12" s="278"/>
      <c r="F12" s="278"/>
      <c r="G12" s="278">
        <v>266.66666666666669</v>
      </c>
      <c r="H12" s="278">
        <v>266.66666666666669</v>
      </c>
      <c r="I12" s="278">
        <v>266.66666666666669</v>
      </c>
      <c r="J12" s="278">
        <v>266.66666666666669</v>
      </c>
      <c r="K12" s="278">
        <v>266.66666666666669</v>
      </c>
      <c r="L12" s="278">
        <v>266.66666666666669</v>
      </c>
      <c r="M12" s="278"/>
      <c r="N12" s="278"/>
      <c r="O12" s="274">
        <f t="shared" si="0"/>
        <v>1600.0000000000002</v>
      </c>
    </row>
    <row r="13" spans="1:15" x14ac:dyDescent="0.25">
      <c r="A13" s="279" t="s">
        <v>359</v>
      </c>
      <c r="B13" s="276"/>
      <c r="C13" s="278"/>
      <c r="D13" s="278">
        <v>283.33300000000003</v>
      </c>
      <c r="E13" s="278">
        <v>283.33300000000003</v>
      </c>
      <c r="F13" s="278">
        <v>283.33300000000003</v>
      </c>
      <c r="G13" s="278">
        <v>283.33333333333331</v>
      </c>
      <c r="H13" s="278">
        <v>283.33333333333331</v>
      </c>
      <c r="I13" s="278">
        <v>141.66666666666666</v>
      </c>
      <c r="J13" s="278">
        <v>425</v>
      </c>
      <c r="K13" s="278">
        <v>283.33333333333331</v>
      </c>
      <c r="L13" s="278">
        <v>141.66666666666666</v>
      </c>
      <c r="M13" s="278">
        <v>141.66666666666666</v>
      </c>
      <c r="N13" s="278"/>
      <c r="O13" s="274">
        <f t="shared" si="0"/>
        <v>2549.9989999999998</v>
      </c>
    </row>
    <row r="14" spans="1:15" x14ac:dyDescent="0.25">
      <c r="A14" s="279" t="s">
        <v>358</v>
      </c>
      <c r="B14" s="276"/>
      <c r="C14" s="278">
        <v>110.89477519999998</v>
      </c>
      <c r="D14" s="278">
        <v>110.89477519999998</v>
      </c>
      <c r="E14" s="278">
        <v>110.89477519999998</v>
      </c>
      <c r="F14" s="278">
        <v>110.89477519999998</v>
      </c>
      <c r="G14" s="278">
        <v>110.89477519999998</v>
      </c>
      <c r="H14" s="278">
        <v>110.89477519999998</v>
      </c>
      <c r="I14" s="278">
        <v>110.89477519999998</v>
      </c>
      <c r="J14" s="278">
        <v>110.89477519999998</v>
      </c>
      <c r="K14" s="278">
        <v>110.89477519999998</v>
      </c>
      <c r="L14" s="278">
        <v>110.89477519999998</v>
      </c>
      <c r="M14" s="278">
        <v>110.89477519999998</v>
      </c>
      <c r="N14" s="278">
        <v>110.89477519999998</v>
      </c>
      <c r="O14" s="274">
        <f t="shared" si="0"/>
        <v>1330.7373023999999</v>
      </c>
    </row>
    <row r="15" spans="1:15" x14ac:dyDescent="0.25">
      <c r="A15" s="279" t="s">
        <v>357</v>
      </c>
      <c r="B15" s="276"/>
      <c r="C15" s="278">
        <v>0</v>
      </c>
      <c r="D15" s="278">
        <v>0</v>
      </c>
      <c r="E15" s="278">
        <v>400</v>
      </c>
      <c r="F15" s="278">
        <v>400</v>
      </c>
      <c r="G15" s="278">
        <v>0</v>
      </c>
      <c r="H15" s="278">
        <v>600</v>
      </c>
      <c r="I15" s="278">
        <v>600</v>
      </c>
      <c r="J15" s="278">
        <v>0</v>
      </c>
      <c r="K15" s="278">
        <v>400</v>
      </c>
      <c r="L15" s="278">
        <v>400</v>
      </c>
      <c r="M15" s="278">
        <v>600</v>
      </c>
      <c r="N15" s="278">
        <v>600</v>
      </c>
      <c r="O15" s="274">
        <f t="shared" si="0"/>
        <v>4000</v>
      </c>
    </row>
    <row r="16" spans="1:15" x14ac:dyDescent="0.25">
      <c r="A16" s="279" t="s">
        <v>356</v>
      </c>
      <c r="B16" s="276"/>
      <c r="C16" s="278">
        <v>134.19</v>
      </c>
      <c r="D16" s="278">
        <v>133.66499999999999</v>
      </c>
      <c r="E16" s="278">
        <v>133.13999999999999</v>
      </c>
      <c r="F16" s="278">
        <v>132.61500000000001</v>
      </c>
      <c r="G16" s="278">
        <v>132.82499999999999</v>
      </c>
      <c r="H16" s="278">
        <v>132.30000000000001</v>
      </c>
      <c r="I16" s="278">
        <v>131.77500000000001</v>
      </c>
      <c r="J16" s="278">
        <v>131.25</v>
      </c>
      <c r="K16" s="278">
        <v>131.04</v>
      </c>
      <c r="L16" s="278">
        <v>137.34</v>
      </c>
      <c r="M16" s="278">
        <v>136.91999999999999</v>
      </c>
      <c r="N16" s="278">
        <v>136.71</v>
      </c>
      <c r="O16" s="274">
        <f t="shared" si="0"/>
        <v>1603.7699999999998</v>
      </c>
    </row>
    <row r="17" spans="1:15" x14ac:dyDescent="0.25">
      <c r="A17" s="279" t="s">
        <v>355</v>
      </c>
      <c r="B17" s="276"/>
      <c r="C17" s="278">
        <v>118</v>
      </c>
      <c r="D17" s="278">
        <v>118</v>
      </c>
      <c r="E17" s="278">
        <v>118</v>
      </c>
      <c r="F17" s="278">
        <v>118</v>
      </c>
      <c r="G17" s="278">
        <v>118</v>
      </c>
      <c r="H17" s="278">
        <v>118</v>
      </c>
      <c r="I17" s="278">
        <v>118</v>
      </c>
      <c r="J17" s="278">
        <v>118</v>
      </c>
      <c r="K17" s="278">
        <v>118</v>
      </c>
      <c r="L17" s="278">
        <f>76900/1000</f>
        <v>76.900000000000006</v>
      </c>
      <c r="M17" s="278">
        <f>76900/1000</f>
        <v>76.900000000000006</v>
      </c>
      <c r="N17" s="278">
        <f>76900/1000</f>
        <v>76.900000000000006</v>
      </c>
      <c r="O17" s="274">
        <f t="shared" si="0"/>
        <v>1292.7000000000003</v>
      </c>
    </row>
    <row r="18" spans="1:15" x14ac:dyDescent="0.25">
      <c r="A18" s="279" t="s">
        <v>354</v>
      </c>
      <c r="B18" s="276"/>
      <c r="C18" s="278">
        <v>47</v>
      </c>
      <c r="D18" s="278"/>
      <c r="E18" s="278"/>
      <c r="F18" s="278">
        <v>47</v>
      </c>
      <c r="G18" s="278"/>
      <c r="H18" s="278"/>
      <c r="I18" s="278">
        <v>47</v>
      </c>
      <c r="J18" s="278"/>
      <c r="K18" s="278"/>
      <c r="L18" s="278">
        <v>47</v>
      </c>
      <c r="M18" s="278"/>
      <c r="N18" s="278"/>
      <c r="O18" s="274">
        <f t="shared" si="0"/>
        <v>188</v>
      </c>
    </row>
    <row r="19" spans="1:15" x14ac:dyDescent="0.25">
      <c r="A19" s="277"/>
      <c r="B19" s="276"/>
      <c r="C19" s="275">
        <f t="shared" ref="C19:O19" si="1">SUM(C7:C18)</f>
        <v>410.08477519999997</v>
      </c>
      <c r="D19" s="275">
        <f t="shared" si="1"/>
        <v>1033.7715630787879</v>
      </c>
      <c r="E19" s="275">
        <f t="shared" si="1"/>
        <v>1433.2465630787879</v>
      </c>
      <c r="F19" s="275">
        <f t="shared" si="1"/>
        <v>1813.054896412121</v>
      </c>
      <c r="G19" s="275">
        <f t="shared" si="1"/>
        <v>1424.5985630787877</v>
      </c>
      <c r="H19" s="275">
        <f t="shared" si="1"/>
        <v>2357.4068964121211</v>
      </c>
      <c r="I19" s="275">
        <f t="shared" si="1"/>
        <v>1928.8818964121213</v>
      </c>
      <c r="J19" s="275">
        <f t="shared" si="1"/>
        <v>2064.6902297454544</v>
      </c>
      <c r="K19" s="275">
        <f t="shared" si="1"/>
        <v>1989.4802297454544</v>
      </c>
      <c r="L19" s="275">
        <f t="shared" si="1"/>
        <v>1860.0135630787879</v>
      </c>
      <c r="M19" s="275">
        <f t="shared" si="1"/>
        <v>1745.9268964121213</v>
      </c>
      <c r="N19" s="275">
        <f t="shared" si="1"/>
        <v>1604.0502297454545</v>
      </c>
      <c r="O19" s="274">
        <f t="shared" si="1"/>
        <v>19665.206302400002</v>
      </c>
    </row>
    <row r="21" spans="1:15" x14ac:dyDescent="0.25">
      <c r="C21" s="273" t="s">
        <v>353</v>
      </c>
      <c r="D21" s="272" t="s">
        <v>352</v>
      </c>
      <c r="E21" s="272" t="s">
        <v>351</v>
      </c>
      <c r="F21" s="272" t="s">
        <v>350</v>
      </c>
      <c r="G21" s="272" t="s">
        <v>349</v>
      </c>
      <c r="H21" s="272" t="s">
        <v>348</v>
      </c>
      <c r="I21" s="272" t="s">
        <v>347</v>
      </c>
      <c r="J21" s="272" t="s">
        <v>346</v>
      </c>
      <c r="K21" s="272" t="s">
        <v>345</v>
      </c>
      <c r="L21" s="272" t="s">
        <v>344</v>
      </c>
      <c r="M21" s="272" t="s">
        <v>343</v>
      </c>
      <c r="N21" s="272" t="s">
        <v>342</v>
      </c>
    </row>
    <row r="22" spans="1:15" x14ac:dyDescent="0.25">
      <c r="B22" s="270" t="s">
        <v>341</v>
      </c>
      <c r="C22" s="271">
        <f t="shared" ref="C22:N22" si="2">+C19-C18-C17-C16</f>
        <v>110.89477519999997</v>
      </c>
      <c r="D22" s="271">
        <f t="shared" si="2"/>
        <v>782.10656307878799</v>
      </c>
      <c r="E22" s="271">
        <f t="shared" si="2"/>
        <v>1182.106563078788</v>
      </c>
      <c r="F22" s="271">
        <f t="shared" si="2"/>
        <v>1515.439896412121</v>
      </c>
      <c r="G22" s="271">
        <f t="shared" si="2"/>
        <v>1173.7735630787877</v>
      </c>
      <c r="H22" s="271">
        <f t="shared" si="2"/>
        <v>2107.1068964121209</v>
      </c>
      <c r="I22" s="271">
        <f t="shared" si="2"/>
        <v>1632.1068964121212</v>
      </c>
      <c r="J22" s="271">
        <f t="shared" si="2"/>
        <v>1815.4402297454544</v>
      </c>
      <c r="K22" s="271">
        <f t="shared" si="2"/>
        <v>1740.4402297454544</v>
      </c>
      <c r="L22" s="271">
        <f t="shared" si="2"/>
        <v>1598.7735630787879</v>
      </c>
      <c r="M22" s="271">
        <f t="shared" si="2"/>
        <v>1532.1068964121212</v>
      </c>
      <c r="N22" s="271">
        <f t="shared" si="2"/>
        <v>1390.4402297454544</v>
      </c>
    </row>
    <row r="23" spans="1:15" x14ac:dyDescent="0.25">
      <c r="B23" s="270" t="s">
        <v>271</v>
      </c>
      <c r="C23" s="271">
        <f t="shared" ref="C23:N23" si="3">+C16+C17</f>
        <v>252.19</v>
      </c>
      <c r="D23" s="271">
        <f t="shared" si="3"/>
        <v>251.66499999999999</v>
      </c>
      <c r="E23" s="271">
        <f t="shared" si="3"/>
        <v>251.14</v>
      </c>
      <c r="F23" s="271">
        <f t="shared" si="3"/>
        <v>250.61500000000001</v>
      </c>
      <c r="G23" s="271">
        <f t="shared" si="3"/>
        <v>250.82499999999999</v>
      </c>
      <c r="H23" s="271">
        <f t="shared" si="3"/>
        <v>250.3</v>
      </c>
      <c r="I23" s="271">
        <f t="shared" si="3"/>
        <v>249.77500000000001</v>
      </c>
      <c r="J23" s="271">
        <f t="shared" si="3"/>
        <v>249.25</v>
      </c>
      <c r="K23" s="271">
        <f t="shared" si="3"/>
        <v>249.04</v>
      </c>
      <c r="L23" s="271">
        <f t="shared" si="3"/>
        <v>214.24</v>
      </c>
      <c r="M23" s="271">
        <f t="shared" si="3"/>
        <v>213.82</v>
      </c>
      <c r="N23" s="271">
        <f t="shared" si="3"/>
        <v>213.61</v>
      </c>
    </row>
    <row r="24" spans="1:15" x14ac:dyDescent="0.25">
      <c r="B24" s="270" t="s">
        <v>340</v>
      </c>
      <c r="C24" s="271">
        <f t="shared" ref="C24:N24" si="4">+C18</f>
        <v>47</v>
      </c>
      <c r="D24" s="271">
        <f t="shared" si="4"/>
        <v>0</v>
      </c>
      <c r="E24" s="271">
        <f t="shared" si="4"/>
        <v>0</v>
      </c>
      <c r="F24" s="271">
        <f t="shared" si="4"/>
        <v>47</v>
      </c>
      <c r="G24" s="271">
        <f t="shared" si="4"/>
        <v>0</v>
      </c>
      <c r="H24" s="271">
        <f t="shared" si="4"/>
        <v>0</v>
      </c>
      <c r="I24" s="271">
        <f t="shared" si="4"/>
        <v>47</v>
      </c>
      <c r="J24" s="271">
        <f t="shared" si="4"/>
        <v>0</v>
      </c>
      <c r="K24" s="271">
        <f t="shared" si="4"/>
        <v>0</v>
      </c>
      <c r="L24" s="271">
        <f t="shared" si="4"/>
        <v>47</v>
      </c>
      <c r="M24" s="271">
        <f t="shared" si="4"/>
        <v>0</v>
      </c>
      <c r="N24" s="271">
        <f t="shared" si="4"/>
        <v>0</v>
      </c>
    </row>
    <row r="25" spans="1:15" ht="13" x14ac:dyDescent="0.3">
      <c r="B25" s="270"/>
      <c r="C25" s="269">
        <f t="shared" ref="C25:N25" si="5">SUM(C22:C24)</f>
        <v>410.08477519999997</v>
      </c>
      <c r="D25" s="269">
        <f t="shared" si="5"/>
        <v>1033.7715630787879</v>
      </c>
      <c r="E25" s="269">
        <f t="shared" si="5"/>
        <v>1433.2465630787879</v>
      </c>
      <c r="F25" s="269">
        <f t="shared" si="5"/>
        <v>1813.054896412121</v>
      </c>
      <c r="G25" s="269">
        <f t="shared" si="5"/>
        <v>1424.5985630787877</v>
      </c>
      <c r="H25" s="269">
        <f t="shared" si="5"/>
        <v>2357.4068964121211</v>
      </c>
      <c r="I25" s="269">
        <f t="shared" si="5"/>
        <v>1928.8818964121213</v>
      </c>
      <c r="J25" s="269">
        <f t="shared" si="5"/>
        <v>2064.6902297454544</v>
      </c>
      <c r="K25" s="269">
        <f t="shared" si="5"/>
        <v>1989.4802297454544</v>
      </c>
      <c r="L25" s="269">
        <f t="shared" si="5"/>
        <v>1860.0135630787879</v>
      </c>
      <c r="M25" s="269">
        <f t="shared" si="5"/>
        <v>1745.9268964121211</v>
      </c>
      <c r="N25" s="269">
        <f t="shared" si="5"/>
        <v>1604.0502297454545</v>
      </c>
      <c r="O25" s="268">
        <f>SUM(C25:N25)</f>
        <v>19665.206302400002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O20"/>
  <sheetViews>
    <sheetView zoomScale="69" zoomScaleNormal="69" workbookViewId="0"/>
  </sheetViews>
  <sheetFormatPr baseColWidth="10" defaultColWidth="11.453125" defaultRowHeight="12.5" x14ac:dyDescent="0.25"/>
  <cols>
    <col min="1" max="1" width="27" style="284" bestFit="1" customWidth="1"/>
    <col min="2" max="2" width="4.1796875" style="284" customWidth="1"/>
    <col min="3" max="16384" width="11.453125" style="284"/>
  </cols>
  <sheetData>
    <row r="2" spans="1:15" x14ac:dyDescent="0.25">
      <c r="C2" s="284" t="s">
        <v>389</v>
      </c>
      <c r="D2" s="284" t="s">
        <v>388</v>
      </c>
      <c r="E2" s="284" t="s">
        <v>387</v>
      </c>
      <c r="F2" s="284" t="s">
        <v>386</v>
      </c>
      <c r="G2" s="284" t="s">
        <v>385</v>
      </c>
      <c r="H2" s="284" t="s">
        <v>384</v>
      </c>
      <c r="I2" s="284" t="s">
        <v>383</v>
      </c>
      <c r="J2" s="284" t="s">
        <v>382</v>
      </c>
      <c r="K2" s="284" t="s">
        <v>381</v>
      </c>
      <c r="L2" s="284" t="s">
        <v>380</v>
      </c>
      <c r="M2" s="284" t="s">
        <v>379</v>
      </c>
      <c r="N2" s="284" t="s">
        <v>378</v>
      </c>
    </row>
    <row r="3" spans="1:15" x14ac:dyDescent="0.25">
      <c r="A3" s="284" t="s">
        <v>377</v>
      </c>
      <c r="C3" s="286"/>
      <c r="D3" s="286"/>
      <c r="E3" s="286">
        <v>262.5</v>
      </c>
      <c r="F3" s="286">
        <v>262.5</v>
      </c>
      <c r="G3" s="286">
        <v>0</v>
      </c>
      <c r="H3" s="286">
        <v>242.5</v>
      </c>
      <c r="I3" s="286">
        <v>242.5</v>
      </c>
      <c r="J3" s="286">
        <v>0</v>
      </c>
      <c r="K3" s="286">
        <v>450</v>
      </c>
      <c r="L3" s="286">
        <v>450</v>
      </c>
      <c r="M3" s="286">
        <v>450</v>
      </c>
      <c r="N3" s="286">
        <v>0</v>
      </c>
      <c r="O3" s="286"/>
    </row>
    <row r="4" spans="1:15" x14ac:dyDescent="0.25">
      <c r="A4" s="284" t="s">
        <v>376</v>
      </c>
      <c r="C4" s="286"/>
      <c r="D4" s="286">
        <v>273.63473459999994</v>
      </c>
      <c r="E4" s="286">
        <v>273.63473459999994</v>
      </c>
      <c r="F4" s="286">
        <v>275</v>
      </c>
      <c r="G4" s="286">
        <v>275</v>
      </c>
      <c r="H4" s="286">
        <v>275</v>
      </c>
      <c r="I4" s="286">
        <v>275</v>
      </c>
      <c r="J4" s="286">
        <v>0</v>
      </c>
      <c r="K4" s="286">
        <v>337.5</v>
      </c>
      <c r="L4" s="286">
        <v>337.5</v>
      </c>
      <c r="M4" s="286">
        <v>337.5</v>
      </c>
      <c r="N4" s="286">
        <v>337.5</v>
      </c>
      <c r="O4" s="286"/>
    </row>
    <row r="5" spans="1:15" x14ac:dyDescent="0.25">
      <c r="A5" s="284" t="s">
        <v>375</v>
      </c>
      <c r="C5" s="286">
        <v>350</v>
      </c>
      <c r="D5" s="286">
        <v>350</v>
      </c>
      <c r="E5" s="286">
        <v>350</v>
      </c>
      <c r="F5" s="286">
        <v>350</v>
      </c>
      <c r="G5" s="286">
        <v>350</v>
      </c>
      <c r="H5" s="286">
        <v>0</v>
      </c>
      <c r="I5" s="286">
        <v>273.63473459999994</v>
      </c>
      <c r="J5" s="286">
        <v>273.63473459999994</v>
      </c>
      <c r="K5" s="286">
        <v>273.63473459999994</v>
      </c>
      <c r="L5" s="286">
        <v>0</v>
      </c>
      <c r="M5" s="286">
        <v>0</v>
      </c>
      <c r="N5" s="286">
        <v>0</v>
      </c>
      <c r="O5" s="286"/>
    </row>
    <row r="6" spans="1:15" x14ac:dyDescent="0.25">
      <c r="A6" s="284" t="s">
        <v>374</v>
      </c>
      <c r="C6" s="286">
        <v>308.26100000000002</v>
      </c>
      <c r="D6" s="286">
        <v>308.26100000000002</v>
      </c>
      <c r="E6" s="286">
        <v>691.59400000000005</v>
      </c>
      <c r="F6" s="286">
        <v>758.26099999999997</v>
      </c>
      <c r="G6" s="286">
        <v>624.928</v>
      </c>
      <c r="H6" s="286">
        <v>308.26100000000002</v>
      </c>
      <c r="I6" s="286">
        <v>308.26100000000002</v>
      </c>
      <c r="J6" s="286">
        <v>746.26099999999997</v>
      </c>
      <c r="K6" s="286">
        <v>746.26099999999997</v>
      </c>
      <c r="L6" s="286">
        <v>746.26099999999997</v>
      </c>
      <c r="M6" s="286">
        <v>308.26100000000002</v>
      </c>
      <c r="N6" s="286">
        <v>308.26100000000002</v>
      </c>
      <c r="O6" s="286"/>
    </row>
    <row r="7" spans="1:15" x14ac:dyDescent="0.25">
      <c r="A7" s="284" t="s">
        <v>373</v>
      </c>
      <c r="C7" s="286">
        <v>150</v>
      </c>
      <c r="D7" s="286">
        <v>250</v>
      </c>
      <c r="E7" s="286">
        <v>190</v>
      </c>
      <c r="F7" s="286"/>
      <c r="G7" s="286">
        <v>210</v>
      </c>
      <c r="H7" s="286"/>
      <c r="I7" s="286">
        <v>100</v>
      </c>
      <c r="J7" s="286"/>
      <c r="K7" s="286"/>
      <c r="L7" s="286"/>
      <c r="M7" s="286"/>
      <c r="N7" s="286"/>
      <c r="O7" s="286"/>
    </row>
    <row r="8" spans="1:15" x14ac:dyDescent="0.25">
      <c r="A8" s="284" t="s">
        <v>372</v>
      </c>
      <c r="C8" s="286"/>
      <c r="D8" s="286"/>
      <c r="E8" s="286"/>
      <c r="F8" s="286">
        <v>330</v>
      </c>
      <c r="G8" s="286"/>
      <c r="H8" s="286">
        <v>423</v>
      </c>
      <c r="I8" s="286"/>
      <c r="J8" s="286">
        <v>423</v>
      </c>
      <c r="K8" s="286">
        <v>423</v>
      </c>
      <c r="L8" s="286">
        <v>423</v>
      </c>
      <c r="M8" s="286">
        <v>423</v>
      </c>
      <c r="N8" s="286">
        <v>423</v>
      </c>
      <c r="O8" s="286"/>
    </row>
    <row r="9" spans="1:15" x14ac:dyDescent="0.25">
      <c r="A9" s="284" t="s">
        <v>371</v>
      </c>
      <c r="C9" s="286">
        <v>444.34433000000001</v>
      </c>
      <c r="D9" s="286">
        <v>285</v>
      </c>
      <c r="E9" s="286"/>
      <c r="F9" s="286"/>
      <c r="G9" s="286"/>
      <c r="H9" s="286">
        <v>305</v>
      </c>
      <c r="I9" s="286">
        <v>398.68900000000002</v>
      </c>
      <c r="J9" s="286"/>
      <c r="K9" s="286"/>
      <c r="L9" s="286"/>
      <c r="M9" s="286"/>
      <c r="N9" s="286"/>
      <c r="O9" s="286"/>
    </row>
    <row r="10" spans="1:15" x14ac:dyDescent="0.25">
      <c r="A10" s="284" t="s">
        <v>370</v>
      </c>
      <c r="C10" s="286">
        <v>135</v>
      </c>
      <c r="D10" s="286"/>
      <c r="E10" s="286">
        <v>350</v>
      </c>
      <c r="F10" s="286">
        <v>295</v>
      </c>
      <c r="G10" s="286">
        <v>310</v>
      </c>
      <c r="H10" s="286"/>
      <c r="I10" s="286">
        <v>195</v>
      </c>
      <c r="J10" s="286">
        <v>255</v>
      </c>
      <c r="K10" s="286">
        <v>350</v>
      </c>
      <c r="L10" s="286">
        <v>266</v>
      </c>
      <c r="M10" s="286">
        <v>265</v>
      </c>
      <c r="N10" s="286">
        <v>245</v>
      </c>
      <c r="O10" s="286"/>
    </row>
    <row r="11" spans="1:15" x14ac:dyDescent="0.25">
      <c r="A11" s="284" t="s">
        <v>369</v>
      </c>
      <c r="C11" s="286"/>
      <c r="D11" s="286"/>
      <c r="E11" s="286"/>
      <c r="F11" s="286"/>
      <c r="G11" s="286"/>
      <c r="H11" s="286"/>
      <c r="I11" s="286"/>
      <c r="J11" s="286"/>
      <c r="K11" s="286"/>
      <c r="L11" s="286"/>
      <c r="M11" s="286"/>
      <c r="N11" s="286"/>
      <c r="O11" s="286"/>
    </row>
    <row r="12" spans="1:15" x14ac:dyDescent="0.25">
      <c r="A12" s="284" t="s">
        <v>356</v>
      </c>
      <c r="C12" s="286">
        <v>219.66000000000003</v>
      </c>
      <c r="D12" s="286">
        <v>215.77500000000001</v>
      </c>
      <c r="E12" s="286">
        <v>212.1</v>
      </c>
      <c r="F12" s="286">
        <v>215.14499999999998</v>
      </c>
      <c r="G12" s="286">
        <v>217.14</v>
      </c>
      <c r="H12" s="286">
        <v>215.35500000000002</v>
      </c>
      <c r="I12" s="286">
        <v>218.505</v>
      </c>
      <c r="J12" s="286">
        <v>219.97499999999999</v>
      </c>
      <c r="K12" s="286">
        <v>218.505</v>
      </c>
      <c r="L12" s="286">
        <v>220.08</v>
      </c>
      <c r="M12" s="286">
        <v>223.125</v>
      </c>
      <c r="N12" s="286">
        <v>225.75</v>
      </c>
      <c r="O12" s="286"/>
    </row>
    <row r="13" spans="1:15" x14ac:dyDescent="0.25">
      <c r="A13" s="284" t="s">
        <v>368</v>
      </c>
      <c r="C13" s="286">
        <v>20</v>
      </c>
      <c r="D13" s="286">
        <v>20</v>
      </c>
      <c r="E13" s="286">
        <v>20</v>
      </c>
      <c r="F13" s="286">
        <v>20</v>
      </c>
      <c r="G13" s="286">
        <v>20</v>
      </c>
      <c r="H13" s="286">
        <v>20</v>
      </c>
      <c r="I13" s="286">
        <v>20</v>
      </c>
      <c r="J13" s="286">
        <v>20</v>
      </c>
      <c r="K13" s="286">
        <v>20</v>
      </c>
      <c r="L13" s="286">
        <v>20</v>
      </c>
      <c r="M13" s="286">
        <v>20</v>
      </c>
      <c r="N13" s="286">
        <v>20</v>
      </c>
      <c r="O13" s="286"/>
    </row>
    <row r="14" spans="1:15" x14ac:dyDescent="0.25">
      <c r="A14" s="284" t="s">
        <v>354</v>
      </c>
      <c r="C14" s="286"/>
      <c r="D14" s="286"/>
      <c r="E14" s="286"/>
      <c r="F14" s="286"/>
      <c r="G14" s="286"/>
      <c r="H14" s="286"/>
      <c r="I14" s="286"/>
      <c r="J14" s="286"/>
      <c r="K14" s="286"/>
      <c r="L14" s="286"/>
      <c r="M14" s="286"/>
      <c r="N14" s="286"/>
      <c r="O14" s="286"/>
    </row>
    <row r="15" spans="1:15" ht="13" x14ac:dyDescent="0.3">
      <c r="C15" s="287">
        <f t="shared" ref="C15:N15" si="0">SUM(C3:C14)</f>
        <v>1627.2653299999999</v>
      </c>
      <c r="D15" s="287">
        <f t="shared" si="0"/>
        <v>1702.6707346000001</v>
      </c>
      <c r="E15" s="287">
        <f t="shared" si="0"/>
        <v>2349.8287346000002</v>
      </c>
      <c r="F15" s="287">
        <f t="shared" si="0"/>
        <v>2505.9059999999999</v>
      </c>
      <c r="G15" s="287">
        <f t="shared" si="0"/>
        <v>2007.0679999999998</v>
      </c>
      <c r="H15" s="287">
        <f t="shared" si="0"/>
        <v>1789.116</v>
      </c>
      <c r="I15" s="287">
        <f t="shared" si="0"/>
        <v>2031.5897346000002</v>
      </c>
      <c r="J15" s="287">
        <f t="shared" si="0"/>
        <v>1937.8707345999999</v>
      </c>
      <c r="K15" s="287">
        <f t="shared" si="0"/>
        <v>2818.9007345999999</v>
      </c>
      <c r="L15" s="287">
        <f t="shared" si="0"/>
        <v>2462.8409999999999</v>
      </c>
      <c r="M15" s="287">
        <f t="shared" si="0"/>
        <v>2026.886</v>
      </c>
      <c r="N15" s="287">
        <f t="shared" si="0"/>
        <v>1559.511</v>
      </c>
      <c r="O15" s="285">
        <f>SUM(C15:N15)</f>
        <v>24819.454002999999</v>
      </c>
    </row>
    <row r="18" spans="1:14" x14ac:dyDescent="0.25">
      <c r="A18" s="284" t="s">
        <v>367</v>
      </c>
      <c r="C18" s="286">
        <f t="shared" ref="C18:N18" si="1">+C3+C4+C5+C6+C7+C8+C9+C10+C11</f>
        <v>1387.6053299999999</v>
      </c>
      <c r="D18" s="286">
        <f t="shared" si="1"/>
        <v>1466.8957346</v>
      </c>
      <c r="E18" s="286">
        <f t="shared" si="1"/>
        <v>2117.7287346000003</v>
      </c>
      <c r="F18" s="286">
        <f t="shared" si="1"/>
        <v>2270.761</v>
      </c>
      <c r="G18" s="286">
        <f t="shared" si="1"/>
        <v>1769.9279999999999</v>
      </c>
      <c r="H18" s="286">
        <f t="shared" si="1"/>
        <v>1553.761</v>
      </c>
      <c r="I18" s="286">
        <f t="shared" si="1"/>
        <v>1793.0847346</v>
      </c>
      <c r="J18" s="286">
        <f t="shared" si="1"/>
        <v>1697.8957346</v>
      </c>
      <c r="K18" s="286">
        <f t="shared" si="1"/>
        <v>2580.3957345999997</v>
      </c>
      <c r="L18" s="286">
        <f t="shared" si="1"/>
        <v>2222.761</v>
      </c>
      <c r="M18" s="286">
        <f t="shared" si="1"/>
        <v>1783.761</v>
      </c>
      <c r="N18" s="286">
        <f t="shared" si="1"/>
        <v>1313.761</v>
      </c>
    </row>
    <row r="19" spans="1:14" x14ac:dyDescent="0.25">
      <c r="A19" s="284" t="s">
        <v>273</v>
      </c>
      <c r="C19" s="286">
        <f t="shared" ref="C19:N19" si="2">+C12+C13</f>
        <v>239.66000000000003</v>
      </c>
      <c r="D19" s="286">
        <f t="shared" si="2"/>
        <v>235.77500000000001</v>
      </c>
      <c r="E19" s="286">
        <f t="shared" si="2"/>
        <v>232.1</v>
      </c>
      <c r="F19" s="286">
        <f t="shared" si="2"/>
        <v>235.14499999999998</v>
      </c>
      <c r="G19" s="286">
        <f t="shared" si="2"/>
        <v>237.14</v>
      </c>
      <c r="H19" s="286">
        <f t="shared" si="2"/>
        <v>235.35500000000002</v>
      </c>
      <c r="I19" s="286">
        <f t="shared" si="2"/>
        <v>238.505</v>
      </c>
      <c r="J19" s="286">
        <f t="shared" si="2"/>
        <v>239.97499999999999</v>
      </c>
      <c r="K19" s="286">
        <f t="shared" si="2"/>
        <v>238.505</v>
      </c>
      <c r="L19" s="286">
        <f t="shared" si="2"/>
        <v>240.08</v>
      </c>
      <c r="M19" s="286">
        <f t="shared" si="2"/>
        <v>243.125</v>
      </c>
      <c r="N19" s="286">
        <f t="shared" si="2"/>
        <v>245.75</v>
      </c>
    </row>
    <row r="20" spans="1:14" x14ac:dyDescent="0.25">
      <c r="C20" s="285">
        <f t="shared" ref="C20:N20" si="3">SUM(C18:C19)</f>
        <v>1627.2653299999999</v>
      </c>
      <c r="D20" s="285">
        <f t="shared" si="3"/>
        <v>1702.6707346000001</v>
      </c>
      <c r="E20" s="285">
        <f t="shared" si="3"/>
        <v>2349.8287346000002</v>
      </c>
      <c r="F20" s="285">
        <f t="shared" si="3"/>
        <v>2505.9059999999999</v>
      </c>
      <c r="G20" s="285">
        <f t="shared" si="3"/>
        <v>2007.0679999999998</v>
      </c>
      <c r="H20" s="285">
        <f t="shared" si="3"/>
        <v>1789.116</v>
      </c>
      <c r="I20" s="285">
        <f t="shared" si="3"/>
        <v>2031.5897346000002</v>
      </c>
      <c r="J20" s="285">
        <f t="shared" si="3"/>
        <v>1937.8707345999999</v>
      </c>
      <c r="K20" s="285">
        <f t="shared" si="3"/>
        <v>2818.9007345999999</v>
      </c>
      <c r="L20" s="285">
        <f t="shared" si="3"/>
        <v>2462.8409999999999</v>
      </c>
      <c r="M20" s="285">
        <f t="shared" si="3"/>
        <v>2026.886</v>
      </c>
      <c r="N20" s="285">
        <f t="shared" si="3"/>
        <v>1559.511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65</vt:i4>
      </vt:variant>
    </vt:vector>
  </HeadingPairs>
  <TitlesOfParts>
    <vt:vector size="85" baseType="lpstr">
      <vt:lpstr>INICIO</vt:lpstr>
      <vt:lpstr>BDER</vt:lpstr>
      <vt:lpstr>BDBG</vt:lpstr>
      <vt:lpstr>BDPP</vt:lpstr>
      <vt:lpstr>BDFE</vt:lpstr>
      <vt:lpstr>FE</vt:lpstr>
      <vt:lpstr>Fed</vt:lpstr>
      <vt:lpstr>BG</vt:lpstr>
      <vt:lpstr>ER</vt:lpstr>
      <vt:lpstr>Tendencias</vt:lpstr>
      <vt:lpstr>ER Act</vt:lpstr>
      <vt:lpstr>ER AA</vt:lpstr>
      <vt:lpstr>ER Ppto</vt:lpstr>
      <vt:lpstr>Trimestre</vt:lpstr>
      <vt:lpstr>Hoja3</vt:lpstr>
      <vt:lpstr>cobros 2018</vt:lpstr>
      <vt:lpstr>V_Exelco</vt:lpstr>
      <vt:lpstr>V_Silnsa</vt:lpstr>
      <vt:lpstr>Hoja4</vt:lpstr>
      <vt:lpstr>Hoja5</vt:lpstr>
      <vt:lpstr>Archivo_Bath</vt:lpstr>
      <vt:lpstr>BDBG!Área_de_impresión</vt:lpstr>
      <vt:lpstr>BDER!Área_de_impresión</vt:lpstr>
      <vt:lpstr>BDFE!Área_de_impresión</vt:lpstr>
      <vt:lpstr>ER!Área_de_impresión</vt:lpstr>
      <vt:lpstr>'ER AA'!Área_de_impresión</vt:lpstr>
      <vt:lpstr>'ER Act'!Área_de_impresión</vt:lpstr>
      <vt:lpstr>'ER Ppto'!Área_de_impresión</vt:lpstr>
      <vt:lpstr>FE!Área_de_impresión</vt:lpstr>
      <vt:lpstr>Fed!Área_de_impresión</vt:lpstr>
      <vt:lpstr>Tendencias!Área_de_impresión</vt:lpstr>
      <vt:lpstr>V_Exelco!Área_de_impresión</vt:lpstr>
      <vt:lpstr>V_Silnsa!Área_de_impresión</vt:lpstr>
      <vt:lpstr>DIF_BG_ACT</vt:lpstr>
      <vt:lpstr>DIF_ER_ACT</vt:lpstr>
      <vt:lpstr>DIF_FE_ACT</vt:lpstr>
      <vt:lpstr>ER_A_DIV</vt:lpstr>
      <vt:lpstr>ER_A_INMEXE</vt:lpstr>
      <vt:lpstr>ER_A_SILN</vt:lpstr>
      <vt:lpstr>ER_M_DIV</vt:lpstr>
      <vt:lpstr>ER_M_INMEXE</vt:lpstr>
      <vt:lpstr>ER_M_SILN</vt:lpstr>
      <vt:lpstr>ER_P_DIV</vt:lpstr>
      <vt:lpstr>ER_P_INMEXE</vt:lpstr>
      <vt:lpstr>ER_P_SILN</vt:lpstr>
      <vt:lpstr>ER_T_DIV</vt:lpstr>
      <vt:lpstr>ER_T_INMEXE</vt:lpstr>
      <vt:lpstr>ER_T_SILN</vt:lpstr>
      <vt:lpstr>Fecha_ProyeccionT</vt:lpstr>
      <vt:lpstr>Fecha_Trimestre</vt:lpstr>
      <vt:lpstr>Inicio_Compañia</vt:lpstr>
      <vt:lpstr>Inicio_Renglones</vt:lpstr>
      <vt:lpstr>Inicio_Reporte</vt:lpstr>
      <vt:lpstr>Inicio_Select</vt:lpstr>
      <vt:lpstr>INMEXEL_COBRANZA</vt:lpstr>
      <vt:lpstr>INMEXEL_VENTAS</vt:lpstr>
      <vt:lpstr>Inmob_613_600</vt:lpstr>
      <vt:lpstr>Inmob_613_601</vt:lpstr>
      <vt:lpstr>Inmob_613_610</vt:lpstr>
      <vt:lpstr>Inmob_613_650</vt:lpstr>
      <vt:lpstr>Inmob_615_600</vt:lpstr>
      <vt:lpstr>Inmob_615_601</vt:lpstr>
      <vt:lpstr>Inmob_615_610</vt:lpstr>
      <vt:lpstr>Inmob_615_650</vt:lpstr>
      <vt:lpstr>L_Reportes_Ejecutivos</vt:lpstr>
      <vt:lpstr>Lista_Empresas_Reportes</vt:lpstr>
      <vt:lpstr>Lista_ER_AA_Empresas</vt:lpstr>
      <vt:lpstr>Lista_ER_Mes_Empresas</vt:lpstr>
      <vt:lpstr>Lista_ER_Ppto_Empresas</vt:lpstr>
      <vt:lpstr>MES_CIERRE</vt:lpstr>
      <vt:lpstr>Presentacion</vt:lpstr>
      <vt:lpstr>Presentación</vt:lpstr>
      <vt:lpstr>Rango_Inmob_613_600</vt:lpstr>
      <vt:lpstr>Rango_Inmob_613_601</vt:lpstr>
      <vt:lpstr>Rango_Inmob_613_610</vt:lpstr>
      <vt:lpstr>Rango_Inmob_613_650</vt:lpstr>
      <vt:lpstr>Rango_Inmob_615_600</vt:lpstr>
      <vt:lpstr>Rango_Inmob_615_601</vt:lpstr>
      <vt:lpstr>Rango_Inmob_615_610</vt:lpstr>
      <vt:lpstr>Rango_Inmob_615_650</vt:lpstr>
      <vt:lpstr>SILN_ARRENDAMIENTO</vt:lpstr>
      <vt:lpstr>SILN_VENTAS</vt:lpstr>
      <vt:lpstr>V_Exelco</vt:lpstr>
      <vt:lpstr>V_Silnsa</vt:lpstr>
      <vt:lpstr>V_Silsa</vt:lpstr>
    </vt:vector>
  </TitlesOfParts>
  <Company>Grupo Alfri-Loder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Juan</cp:lastModifiedBy>
  <cp:lastPrinted>2018-07-10T18:40:09Z</cp:lastPrinted>
  <dcterms:created xsi:type="dcterms:W3CDTF">2005-05-31T22:40:14Z</dcterms:created>
  <dcterms:modified xsi:type="dcterms:W3CDTF">2019-10-10T23:30:19Z</dcterms:modified>
</cp:coreProperties>
</file>