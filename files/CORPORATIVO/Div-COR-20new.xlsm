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webindicator\files\CORPORATIVO\"/>
    </mc:Choice>
  </mc:AlternateContent>
  <bookViews>
    <workbookView xWindow="0" yWindow="0" windowWidth="14360" windowHeight="5320" tabRatio="799" activeTab="1"/>
  </bookViews>
  <sheets>
    <sheet name="Inicio" sheetId="5" r:id="rId1"/>
    <sheet name="TablasER" sheetId="1" r:id="rId2"/>
    <sheet name="TablasERxDiv" sheetId="8" r:id="rId3"/>
    <sheet name="variacion" sheetId="18" r:id="rId4"/>
    <sheet name="division" sheetId="17" r:id="rId5"/>
    <sheet name="ajustes" sheetId="16" r:id="rId6"/>
    <sheet name="proyeccion" sheetId="19" r:id="rId7"/>
    <sheet name="mxn-dll" sheetId="15" r:id="rId8"/>
    <sheet name="Costos_Gastos" sheetId="6" r:id="rId9"/>
    <sheet name="Tendencias" sheetId="4" r:id="rId10"/>
    <sheet name="FE" sheetId="12" r:id="rId11"/>
    <sheet name="BG" sheetId="9" r:id="rId12"/>
    <sheet name="BDER_sig" sheetId="20" r:id="rId13"/>
    <sheet name="BDER" sheetId="7" r:id="rId14"/>
    <sheet name="BDBG" sheetId="10" r:id="rId15"/>
    <sheet name="BDFE" sheetId="11" r:id="rId16"/>
    <sheet name="ELIM" sheetId="14" r:id="rId17"/>
    <sheet name="otros" sheetId="13" r:id="rId18"/>
  </sheets>
  <functionGroups builtInGroupCount="18"/>
  <externalReferences>
    <externalReference r:id="rId19"/>
  </externalReferences>
  <definedNames>
    <definedName name="_xlnm._FilterDatabase" localSheetId="14" hidden="1">BDBG!$A$1:$J$1621</definedName>
    <definedName name="_xlnm._FilterDatabase" localSheetId="13" hidden="1">BDER!$A$1:$T$664</definedName>
    <definedName name="_xlnm._FilterDatabase" localSheetId="15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TablasERxDiv!$BG$31:$BS$51</definedName>
    <definedName name="div_er_acum_alimmx">TablasERxDiv!$N$31:$AB$53</definedName>
    <definedName name="div_er_acum_auto">TablasERxDiv!$B$30:$L$53</definedName>
    <definedName name="div_er_acum_energ">TablasERxDiv!$AE$30:$AU$53</definedName>
    <definedName name="div_er_acum_inmeu">TablasERxDiv!$BU$31:$CG$51</definedName>
    <definedName name="div_er_acum_inmmx">TablasERxDiv!$AW$31:$BE$53</definedName>
    <definedName name="div_er_alimeu">TablasERxDiv!$BG$4:$BQ$24</definedName>
    <definedName name="div_er_alimmx">TablasERxDiv!$N$4:$AB$26</definedName>
    <definedName name="div_er_auto">TablasERxDiv!$B$3:$L$26</definedName>
    <definedName name="div_er_energ">TablasERxDiv!$AE$3:$AU$26</definedName>
    <definedName name="div_er_inmeu">TablasERxDiv!$BU$4:$CG$24</definedName>
    <definedName name="div_er_inmmx">TablasERxDiv!$AW$4:$BE$26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BDER!$B$420:$S$440</definedName>
    <definedName name="rng_613_610">BDBG!$B$1029:$I$1081</definedName>
    <definedName name="rng_613_650">BDFE!$B$1146:$F$1209</definedName>
    <definedName name="rng_615_600">BDER!$B$442:$S$462</definedName>
    <definedName name="rng_615_610">BDBG!$B$1083:$I$1135</definedName>
    <definedName name="rng_615_650">BDFE!$B$1211:$F$1274</definedName>
    <definedName name="rng_804_600">BDER!$B$464:$P$485</definedName>
    <definedName name="rng_804_605">BDFE!$B$1276:$F$1347</definedName>
    <definedName name="rng_804_610">BDBG!$B$1137:$I$1189</definedName>
    <definedName name="rng_805_600">BDER!$B$487:$P$508</definedName>
    <definedName name="rng_805_605">BDFE!$B$1349:$F$1420</definedName>
    <definedName name="rng_805_610">BDBG!$B$1191:$I$1243</definedName>
    <definedName name="rng_807_600">BDER!$B$510:$P$530</definedName>
    <definedName name="rng_807_605">BDFE!$B$1422:$F$1493</definedName>
    <definedName name="rng_807_610">BDBG!$B$1245:$I$1297</definedName>
    <definedName name="rng_808_600">BDER!$B$532:$P$552</definedName>
    <definedName name="rng_808_605">BDFE!$B$1495:$F$1566</definedName>
    <definedName name="rng_808_610">BDBG!$B$1299:$I$1351</definedName>
    <definedName name="rng_811_600">BDER!$B$554:$P$575</definedName>
    <definedName name="rng_811_605">BDFE!$B$1568:$F$1639</definedName>
    <definedName name="rng_811_610">BDBG!$B$1353:$I$1405</definedName>
    <definedName name="rng_812_600">BDER!$B$577:$P$597</definedName>
    <definedName name="rng_812_605">BDFE!$B$1641:$F$1712</definedName>
    <definedName name="rng_812_610">BDBG!$B$1407:$I$1459</definedName>
    <definedName name="rng_813_600">BDER!$B$599:$P$620</definedName>
    <definedName name="rng_813_605">BDFE!$B$1714:$F$1785</definedName>
    <definedName name="rng_813_610">BDBG!$B$1461:$I$1513</definedName>
    <definedName name="rng_816_600">BDER!$B$622:$P$642</definedName>
    <definedName name="rng_816_605">BDFE!$B$1787:$F$1858</definedName>
    <definedName name="rng_816_610">BDBG!$B$1515:$I$1567</definedName>
    <definedName name="rng_817_600">BDER!$B$644:$P$664</definedName>
    <definedName name="rng_817_605">BDFE!$B$1860:$F$1931</definedName>
    <definedName name="rng_817_610">BDBG!$B$1569:$I$1621</definedName>
    <definedName name="TC_MES">Inicio!$B$4</definedName>
    <definedName name="TC_MES_ACT">[1]INICIO!$E$8</definedName>
    <definedName name="TC_PROM">Inicio!$B$5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BDER!$A$419:$T$419</definedName>
    <definedName name="titulo_613_610">BDBG!$A$1028:$J$1028</definedName>
    <definedName name="titulo_613_650">BDFE!$A$1145:$G$1145</definedName>
    <definedName name="titulo_615_600">BDER!$A$441:$T$441</definedName>
    <definedName name="titulo_615_610">BDBG!$A$1082:$J$1082</definedName>
    <definedName name="titulo_615_650">BDFE!$A$1210:$G$1210</definedName>
    <definedName name="titulo_804_600">BDER!$A$463:$Q$463</definedName>
    <definedName name="titulo_804_605">BDFE!$A$1275:$G$1275</definedName>
    <definedName name="titulo_804_610">BDBG!$A$1136:$J$1136</definedName>
    <definedName name="titulo_805_600">BDER!$A$486:$Q$486</definedName>
    <definedName name="titulo_805_605">BDFE!$A$1348:$G$1348</definedName>
    <definedName name="titulo_805_610">BDBG!$A$1190:$J$1190</definedName>
    <definedName name="titulo_807_600">BDER!$A$509:$Q$509</definedName>
    <definedName name="titulo_807_605">BDFE!$A$1421:$G$1421</definedName>
    <definedName name="titulo_807_610">BDBG!$A$1244:$J$1244</definedName>
    <definedName name="titulo_808_600">BDER!$A$531:$Q$531</definedName>
    <definedName name="titulo_808_605">BDFE!$A$1494:$G$1494</definedName>
    <definedName name="titulo_808_610">BDBG!$A$1298:$J$1298</definedName>
    <definedName name="titulo_811_600">BDER!$A$553:$Q$553</definedName>
    <definedName name="titulo_811_605">BDFE!$A$1567:$G$1567</definedName>
    <definedName name="titulo_811_610">BDBG!$A$1352:$J$1352</definedName>
    <definedName name="titulo_812_600">BDER!$A$576:$Q$576</definedName>
    <definedName name="titulo_812_605">BDFE!$A$1640:$G$1640</definedName>
    <definedName name="titulo_812_610">BDBG!$A$1406:$J$1406</definedName>
    <definedName name="titulo_813_600">BDER!$A$598:$Q$598</definedName>
    <definedName name="titulo_813_605">BDFE!$A$1713:$G$1713</definedName>
    <definedName name="titulo_813_610">BDBG!$A$1460:$J$1460</definedName>
    <definedName name="titulo_816_600">BDER!$A$621:$Q$621</definedName>
    <definedName name="titulo_816_605">BDFE!$A$1786:$G$1786</definedName>
    <definedName name="titulo_816_610">BDBG!$A$1514:$J$1514</definedName>
    <definedName name="titulo_817_600">BDER!$A$643:$Q$643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8" hidden="1">Costos_Gastos!$I:$L</definedName>
    <definedName name="Z_B1EDEF4C_89DF_4126_A83B_947936932253_.wvu.PrintArea" localSheetId="8" hidden="1">Costos_Gastos!$A$1:$L$43</definedName>
    <definedName name="Z_B1EDEF4C_89DF_4126_A83B_947936932253_.wvu.PrintArea" localSheetId="9" hidden="1">Tendencias!#REF!</definedName>
    <definedName name="Z_B1EDEF4C_89DF_4126_A83B_947936932253_.wvu.Rows" localSheetId="9" hidden="1">Tendencias!$225:$302,Tendencias!$316:$392,Tendencias!$410:$454,Tendencias!$473:$487,Tendencias!$503:$534</definedName>
  </definedName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0" i="1" l="1"/>
  <c r="O31" i="1"/>
  <c r="O28" i="1" l="1"/>
  <c r="Q68" i="1" l="1"/>
  <c r="Q31" i="1"/>
  <c r="U4" i="18" l="1"/>
  <c r="I8" i="4"/>
  <c r="O4" i="1"/>
  <c r="O5" i="1"/>
  <c r="J692" i="12"/>
  <c r="J690" i="12"/>
  <c r="J689" i="12"/>
  <c r="J671" i="12"/>
  <c r="J662" i="12"/>
  <c r="J643" i="12"/>
  <c r="J642" i="12"/>
  <c r="J640" i="12"/>
  <c r="J639" i="12"/>
  <c r="J638" i="12"/>
  <c r="J637" i="12"/>
  <c r="J636" i="12"/>
  <c r="J635" i="12"/>
  <c r="J634" i="12"/>
  <c r="J633" i="12"/>
  <c r="J632" i="12"/>
  <c r="J631" i="12"/>
  <c r="J630" i="12"/>
  <c r="J629" i="12"/>
  <c r="J628" i="12"/>
  <c r="J627" i="12"/>
  <c r="J626" i="12"/>
  <c r="J625" i="12"/>
  <c r="J624" i="12"/>
  <c r="J621" i="12"/>
  <c r="J620" i="12"/>
  <c r="J619" i="12"/>
  <c r="J618" i="12"/>
  <c r="J617" i="12"/>
  <c r="J616" i="12"/>
  <c r="J615" i="12"/>
  <c r="J612" i="12"/>
  <c r="J611" i="12"/>
  <c r="J610" i="12"/>
  <c r="J609" i="12"/>
  <c r="J608" i="12"/>
  <c r="J607" i="12"/>
  <c r="J606" i="12"/>
  <c r="J605" i="12"/>
  <c r="J602" i="12"/>
  <c r="J656" i="12"/>
  <c r="AR31" i="8" l="1"/>
  <c r="AR4" i="8"/>
  <c r="B165" i="4" l="1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34" i="4"/>
  <c r="N20" i="4"/>
  <c r="N18" i="4"/>
  <c r="B1" i="5" l="1"/>
  <c r="A4" i="4" s="1"/>
  <c r="A174" i="4" s="1"/>
  <c r="A180" i="4"/>
  <c r="A167" i="4"/>
  <c r="A155" i="4"/>
  <c r="A129" i="4"/>
  <c r="A114" i="4"/>
  <c r="A96" i="4"/>
  <c r="A76" i="4"/>
  <c r="A57" i="4"/>
  <c r="A40" i="4"/>
  <c r="A5" i="4" l="1"/>
  <c r="A124" i="4" s="1"/>
  <c r="A8" i="4"/>
  <c r="A55" i="4" s="1"/>
  <c r="A9" i="4"/>
  <c r="A113" i="4" s="1"/>
  <c r="A23" i="6"/>
  <c r="A6" i="4"/>
  <c r="A176" i="4" s="1"/>
  <c r="A7" i="4"/>
  <c r="A152" i="4" s="1"/>
  <c r="A175" i="4"/>
  <c r="A56" i="4"/>
  <c r="A149" i="4"/>
  <c r="A74" i="4"/>
  <c r="A39" i="4"/>
  <c r="A34" i="4"/>
  <c r="A123" i="4"/>
  <c r="A112" i="4"/>
  <c r="A75" i="4"/>
  <c r="A94" i="4"/>
  <c r="A125" i="4"/>
  <c r="A161" i="4"/>
  <c r="A38" i="4"/>
  <c r="A72" i="4"/>
  <c r="A108" i="4"/>
  <c r="A165" i="4"/>
  <c r="A70" i="4"/>
  <c r="A128" i="4"/>
  <c r="A153" i="4"/>
  <c r="A90" i="4"/>
  <c r="A51" i="4"/>
  <c r="A24" i="6"/>
  <c r="A5" i="6"/>
  <c r="A6" i="6"/>
  <c r="A7" i="6"/>
  <c r="A22" i="6"/>
  <c r="BY3" i="18"/>
  <c r="BY28" i="18"/>
  <c r="A35" i="4" l="1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S47" i="18"/>
  <c r="BS46" i="18"/>
  <c r="BS42" i="18"/>
  <c r="BS41" i="18"/>
  <c r="BS40" i="18"/>
  <c r="BS39" i="18"/>
  <c r="BS38" i="18"/>
  <c r="BS34" i="18"/>
  <c r="BS33" i="18"/>
  <c r="BS32" i="18"/>
  <c r="BS29" i="18"/>
  <c r="BS28" i="18"/>
  <c r="BQ47" i="18"/>
  <c r="BQ46" i="18"/>
  <c r="BQ42" i="18"/>
  <c r="BQ41" i="18"/>
  <c r="BQ40" i="18"/>
  <c r="BQ39" i="18"/>
  <c r="BQ38" i="18"/>
  <c r="BQ34" i="18"/>
  <c r="BQ33" i="18"/>
  <c r="BQ32" i="18"/>
  <c r="BQ29" i="18"/>
  <c r="BQ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Q35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A3" i="18" l="1"/>
  <c r="BQ30" i="18"/>
  <c r="BQ36" i="18" s="1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36" i="18" s="1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BS21" i="18"/>
  <c r="BS17" i="18"/>
  <c r="L44" i="18" s="1"/>
  <c r="BS16" i="18"/>
  <c r="BS15" i="18"/>
  <c r="BS14" i="18"/>
  <c r="BS13" i="18"/>
  <c r="BS9" i="18"/>
  <c r="BS8" i="18"/>
  <c r="BS7" i="18"/>
  <c r="BS4" i="18"/>
  <c r="BS3" i="18"/>
  <c r="BT7" i="18" s="1"/>
  <c r="BS22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BQ22" i="18"/>
  <c r="BQ21" i="18"/>
  <c r="BQ17" i="18"/>
  <c r="I44" i="18" s="1"/>
  <c r="J44" i="18" s="1"/>
  <c r="BQ16" i="18"/>
  <c r="BQ15" i="18"/>
  <c r="BQ14" i="18"/>
  <c r="BQ13" i="18"/>
  <c r="I40" i="18" s="1"/>
  <c r="J40" i="18" s="1"/>
  <c r="BQ9" i="18"/>
  <c r="BQ8" i="18"/>
  <c r="BQ7" i="18"/>
  <c r="BQ4" i="18"/>
  <c r="BQ3" i="18"/>
  <c r="BR10" i="18" s="1"/>
  <c r="BN3" i="18"/>
  <c r="BR23" i="18"/>
  <c r="BX22" i="18"/>
  <c r="BR19" i="18"/>
  <c r="BR15" i="18"/>
  <c r="BR14" i="18"/>
  <c r="BU36" i="18" l="1"/>
  <c r="BU44" i="18" s="1"/>
  <c r="BU48" i="18" s="1"/>
  <c r="BT16" i="18"/>
  <c r="BT5" i="18"/>
  <c r="BV21" i="18"/>
  <c r="BR4" i="18"/>
  <c r="BP14" i="18"/>
  <c r="AD4" i="18"/>
  <c r="BQ10" i="18"/>
  <c r="BT21" i="18"/>
  <c r="BT8" i="18"/>
  <c r="BR9" i="18"/>
  <c r="BR24" i="18"/>
  <c r="BS18" i="18"/>
  <c r="L40" i="18"/>
  <c r="BS10" i="18"/>
  <c r="BX21" i="18"/>
  <c r="BQ44" i="18"/>
  <c r="BQ48" i="18" s="1"/>
  <c r="BQ49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S49" i="18"/>
  <c r="BS44" i="18"/>
  <c r="BS48" i="18" s="1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U49" i="18" l="1"/>
  <c r="M40" i="18"/>
  <c r="BS11" i="18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24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9" i="18" s="1"/>
  <c r="BZ19" i="18" s="1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AD20" i="18" l="1"/>
  <c r="AD23" i="18" s="1"/>
  <c r="AX28" i="18"/>
  <c r="BE3" i="18" s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BJ7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X13" i="18" s="1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X4" i="18" s="1"/>
  <c r="AS4" i="20"/>
  <c r="BI16" i="18" l="1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AO128" i="1"/>
  <c r="AO127" i="1"/>
  <c r="AO123" i="1"/>
  <c r="AO122" i="1"/>
  <c r="AO121" i="1"/>
  <c r="AO120" i="1"/>
  <c r="AO119" i="1"/>
  <c r="AO115" i="1"/>
  <c r="AO114" i="1"/>
  <c r="AO113" i="1"/>
  <c r="AO110" i="1"/>
  <c r="AO109" i="1"/>
  <c r="AM109" i="1"/>
  <c r="Y123" i="1"/>
  <c r="Y122" i="1"/>
  <c r="Y128" i="1"/>
  <c r="Y127" i="1"/>
  <c r="Y121" i="1"/>
  <c r="Y120" i="1"/>
  <c r="Y119" i="1"/>
  <c r="Y115" i="1"/>
  <c r="Y114" i="1"/>
  <c r="Y113" i="1"/>
  <c r="Y110" i="1"/>
  <c r="Y109" i="1"/>
  <c r="AO96" i="1"/>
  <c r="AO95" i="1"/>
  <c r="AO91" i="1"/>
  <c r="AO90" i="1"/>
  <c r="AO89" i="1"/>
  <c r="AO88" i="1"/>
  <c r="AO87" i="1"/>
  <c r="AO83" i="1"/>
  <c r="AO82" i="1"/>
  <c r="AO81" i="1"/>
  <c r="AO78" i="1"/>
  <c r="AO77" i="1"/>
  <c r="Y96" i="1"/>
  <c r="Y95" i="1"/>
  <c r="Y91" i="1"/>
  <c r="Y90" i="1"/>
  <c r="Y89" i="1"/>
  <c r="Y88" i="1"/>
  <c r="Y87" i="1"/>
  <c r="Y83" i="1"/>
  <c r="Y82" i="1"/>
  <c r="Y81" i="1"/>
  <c r="Y78" i="1"/>
  <c r="Y124" i="1" l="1"/>
  <c r="Y92" i="1"/>
  <c r="AO92" i="1"/>
  <c r="AO124" i="1"/>
  <c r="E311" i="12"/>
  <c r="E359" i="12"/>
  <c r="G24" i="9" l="1"/>
  <c r="AP32" i="8"/>
  <c r="AP5" i="8"/>
  <c r="AE19" i="18" l="1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37" i="8" l="1"/>
  <c r="AH37" i="8"/>
  <c r="AJ10" i="8"/>
  <c r="AH10" i="8"/>
  <c r="AR37" i="8" l="1"/>
  <c r="AL10" i="8"/>
  <c r="AL37" i="8"/>
  <c r="AF37" i="8"/>
  <c r="AR10" i="8"/>
  <c r="AP10" i="8"/>
  <c r="AF10" i="8"/>
  <c r="AR32" i="8" l="1"/>
  <c r="AR5" i="8"/>
  <c r="AL32" i="8" l="1"/>
  <c r="AJ32" i="8"/>
  <c r="AH32" i="8"/>
  <c r="AF32" i="8"/>
  <c r="AL5" i="8"/>
  <c r="AJ5" i="8"/>
  <c r="AH5" i="8"/>
  <c r="AF5" i="8"/>
  <c r="P57" i="4" l="1"/>
  <c r="P56" i="4"/>
  <c r="C7" i="5" l="1"/>
  <c r="C6" i="5"/>
  <c r="B7" i="5"/>
  <c r="B6" i="5"/>
  <c r="B4" i="5"/>
  <c r="B5" i="5"/>
  <c r="AO10" i="1" l="1"/>
  <c r="Y55" i="1"/>
  <c r="Y9" i="1"/>
  <c r="Y52" i="1"/>
  <c r="AO60" i="1"/>
  <c r="Y59" i="1"/>
  <c r="Y60" i="1"/>
  <c r="Y47" i="1"/>
  <c r="AO52" i="1"/>
  <c r="Y18" i="1"/>
  <c r="L18" i="18" s="1"/>
  <c r="M18" i="18" s="1"/>
  <c r="AO14" i="1"/>
  <c r="AO41" i="1"/>
  <c r="AO16" i="1"/>
  <c r="Y51" i="1"/>
  <c r="AO46" i="1"/>
  <c r="Y10" i="1"/>
  <c r="Y46" i="1"/>
  <c r="AO42" i="1"/>
  <c r="Y5" i="1"/>
  <c r="Y22" i="1"/>
  <c r="Y23" i="1"/>
  <c r="AO55" i="1"/>
  <c r="AO47" i="1"/>
  <c r="AO23" i="1"/>
  <c r="Y17" i="1"/>
  <c r="AO22" i="1"/>
  <c r="Y8" i="1"/>
  <c r="Y41" i="1"/>
  <c r="AO15" i="1"/>
  <c r="AO53" i="1"/>
  <c r="AO4" i="1"/>
  <c r="AO9" i="1"/>
  <c r="Y42" i="1"/>
  <c r="Y14" i="1"/>
  <c r="Y45" i="1"/>
  <c r="AO5" i="1"/>
  <c r="AO17" i="1"/>
  <c r="Y53" i="1"/>
  <c r="Y16" i="1"/>
  <c r="AO59" i="1"/>
  <c r="AO51" i="1"/>
  <c r="Y54" i="1"/>
  <c r="AO18" i="1"/>
  <c r="Y15" i="1"/>
  <c r="AO45" i="1"/>
  <c r="Y4" i="1"/>
  <c r="AO8" i="1"/>
  <c r="AO54" i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3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15" i="1" l="1"/>
  <c r="BJ15" i="8"/>
  <c r="O14" i="1" l="1"/>
  <c r="AN32" i="8"/>
  <c r="AT32" i="8" l="1"/>
  <c r="AP45" i="8"/>
  <c r="C5" i="8" l="1"/>
  <c r="BV49" i="8" l="1"/>
  <c r="BV48" i="8"/>
  <c r="BV44" i="8"/>
  <c r="BV43" i="8"/>
  <c r="BV42" i="8"/>
  <c r="BV38" i="8"/>
  <c r="BV37" i="8"/>
  <c r="BV36" i="8"/>
  <c r="BV33" i="8"/>
  <c r="BV32" i="8"/>
  <c r="BV22" i="8"/>
  <c r="BV21" i="8"/>
  <c r="BV17" i="8"/>
  <c r="BV16" i="8"/>
  <c r="BV15" i="8"/>
  <c r="BV11" i="8"/>
  <c r="BV10" i="8"/>
  <c r="BV9" i="8"/>
  <c r="BV6" i="8"/>
  <c r="BV5" i="8"/>
  <c r="I375" i="12" l="1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6" i="8" l="1"/>
  <c r="CD49" i="8" l="1"/>
  <c r="CD48" i="8"/>
  <c r="CD44" i="8"/>
  <c r="CD43" i="8"/>
  <c r="CD42" i="8"/>
  <c r="CD38" i="8"/>
  <c r="CD37" i="8"/>
  <c r="CD36" i="8"/>
  <c r="CD33" i="8"/>
  <c r="CD32" i="8"/>
  <c r="CD5" i="8"/>
  <c r="CB49" i="8"/>
  <c r="CB48" i="8"/>
  <c r="CB44" i="8"/>
  <c r="CB43" i="8"/>
  <c r="CB42" i="8"/>
  <c r="CB38" i="8"/>
  <c r="CB37" i="8"/>
  <c r="CB36" i="8"/>
  <c r="CB33" i="8"/>
  <c r="CB32" i="8"/>
  <c r="CB22" i="8"/>
  <c r="BZ48" i="8"/>
  <c r="BZ49" i="8"/>
  <c r="BZ44" i="8"/>
  <c r="BZ43" i="8"/>
  <c r="BZ42" i="8"/>
  <c r="BZ38" i="8"/>
  <c r="BZ37" i="8"/>
  <c r="BZ36" i="8"/>
  <c r="BZ33" i="8"/>
  <c r="BZ32" i="8"/>
  <c r="BZ22" i="8"/>
  <c r="BX49" i="8"/>
  <c r="BX48" i="8"/>
  <c r="BX44" i="8"/>
  <c r="BX43" i="8"/>
  <c r="BX42" i="8"/>
  <c r="BX38" i="8"/>
  <c r="BX37" i="8"/>
  <c r="BX36" i="8"/>
  <c r="BX33" i="8"/>
  <c r="BX32" i="8"/>
  <c r="BH49" i="8"/>
  <c r="BH48" i="8"/>
  <c r="BH44" i="8"/>
  <c r="BH43" i="8"/>
  <c r="BH42" i="8"/>
  <c r="BH38" i="8"/>
  <c r="BH37" i="8"/>
  <c r="BH36" i="8"/>
  <c r="BH33" i="8"/>
  <c r="BH32" i="8"/>
  <c r="BP49" i="8"/>
  <c r="BP48" i="8"/>
  <c r="BP44" i="8"/>
  <c r="BP43" i="8"/>
  <c r="BP42" i="8"/>
  <c r="BP38" i="8"/>
  <c r="BP37" i="8"/>
  <c r="BP36" i="8"/>
  <c r="BP33" i="8"/>
  <c r="BP32" i="8"/>
  <c r="BN22" i="8"/>
  <c r="BN49" i="8"/>
  <c r="BN48" i="8"/>
  <c r="BN44" i="8"/>
  <c r="BN43" i="8"/>
  <c r="BN42" i="8"/>
  <c r="BN38" i="8"/>
  <c r="BN37" i="8"/>
  <c r="BN36" i="8"/>
  <c r="BN33" i="8"/>
  <c r="BN32" i="8"/>
  <c r="BL21" i="8"/>
  <c r="BL49" i="8"/>
  <c r="BL48" i="8"/>
  <c r="BL44" i="8"/>
  <c r="BL43" i="8"/>
  <c r="BL42" i="8"/>
  <c r="BL38" i="8"/>
  <c r="BL37" i="8"/>
  <c r="BL36" i="8"/>
  <c r="BL33" i="8"/>
  <c r="BL32" i="8"/>
  <c r="BJ22" i="8"/>
  <c r="BJ49" i="8"/>
  <c r="BJ48" i="8"/>
  <c r="BJ44" i="8"/>
  <c r="BJ43" i="8"/>
  <c r="BJ42" i="8"/>
  <c r="BJ38" i="8"/>
  <c r="BJ37" i="8"/>
  <c r="BJ36" i="8"/>
  <c r="BJ33" i="8"/>
  <c r="BJ32" i="8"/>
  <c r="BH22" i="8"/>
  <c r="CD22" i="8"/>
  <c r="CD21" i="8"/>
  <c r="CD17" i="8"/>
  <c r="CD16" i="8"/>
  <c r="CD15" i="8"/>
  <c r="CD11" i="8"/>
  <c r="CD10" i="8"/>
  <c r="CD9" i="8"/>
  <c r="CD6" i="8"/>
  <c r="CB21" i="8"/>
  <c r="CB17" i="8"/>
  <c r="CB16" i="8"/>
  <c r="CB15" i="8"/>
  <c r="CB11" i="8"/>
  <c r="CB10" i="8"/>
  <c r="CB9" i="8"/>
  <c r="CB6" i="8"/>
  <c r="CB5" i="8"/>
  <c r="BZ21" i="8"/>
  <c r="BZ17" i="8"/>
  <c r="BZ16" i="8"/>
  <c r="BZ15" i="8"/>
  <c r="BZ11" i="8"/>
  <c r="BZ10" i="8"/>
  <c r="BZ9" i="8"/>
  <c r="BZ6" i="8"/>
  <c r="BZ5" i="8"/>
  <c r="BX22" i="8"/>
  <c r="BX21" i="8"/>
  <c r="BX17" i="8"/>
  <c r="BX16" i="8"/>
  <c r="BX15" i="8"/>
  <c r="BX11" i="8"/>
  <c r="BX10" i="8"/>
  <c r="BX9" i="8"/>
  <c r="BX6" i="8"/>
  <c r="BX5" i="8"/>
  <c r="BN21" i="8"/>
  <c r="BN17" i="8"/>
  <c r="BN16" i="8"/>
  <c r="BN15" i="8"/>
  <c r="BN11" i="8"/>
  <c r="BN10" i="8"/>
  <c r="BN9" i="8"/>
  <c r="BN6" i="8"/>
  <c r="BN5" i="8"/>
  <c r="BL22" i="8"/>
  <c r="BL17" i="8"/>
  <c r="BL16" i="8"/>
  <c r="BL15" i="8"/>
  <c r="BL11" i="8"/>
  <c r="BL10" i="8"/>
  <c r="BL9" i="8"/>
  <c r="BL6" i="8"/>
  <c r="BL5" i="8"/>
  <c r="BJ21" i="8"/>
  <c r="BJ17" i="8"/>
  <c r="BJ16" i="8"/>
  <c r="BJ11" i="8"/>
  <c r="BJ10" i="8"/>
  <c r="BJ9" i="8"/>
  <c r="BJ6" i="8"/>
  <c r="BJ5" i="8"/>
  <c r="BH21" i="8"/>
  <c r="BH17" i="8"/>
  <c r="BH15" i="8"/>
  <c r="BH16" i="8"/>
  <c r="BH11" i="8"/>
  <c r="BH10" i="8"/>
  <c r="BH9" i="8"/>
  <c r="BH6" i="8"/>
  <c r="BH5" i="8"/>
  <c r="BA51" i="8"/>
  <c r="BA50" i="8"/>
  <c r="BA46" i="8"/>
  <c r="BA45" i="8"/>
  <c r="BA44" i="8"/>
  <c r="BA43" i="8"/>
  <c r="BA42" i="8"/>
  <c r="BA38" i="8"/>
  <c r="BA37" i="8"/>
  <c r="BA36" i="8"/>
  <c r="BA33" i="8"/>
  <c r="BA32" i="8"/>
  <c r="BA24" i="8"/>
  <c r="BA23" i="8"/>
  <c r="BA19" i="8"/>
  <c r="BA18" i="8"/>
  <c r="BA17" i="8"/>
  <c r="BA16" i="8"/>
  <c r="BA15" i="8"/>
  <c r="BA11" i="8"/>
  <c r="BA10" i="8"/>
  <c r="BA9" i="8"/>
  <c r="BA6" i="8"/>
  <c r="BA5" i="8"/>
  <c r="AY51" i="8"/>
  <c r="AY50" i="8"/>
  <c r="AY46" i="8"/>
  <c r="AY45" i="8"/>
  <c r="AY44" i="8"/>
  <c r="AY43" i="8"/>
  <c r="AY42" i="8"/>
  <c r="AY38" i="8"/>
  <c r="AY37" i="8"/>
  <c r="AY36" i="8"/>
  <c r="AY33" i="8"/>
  <c r="AY32" i="8"/>
  <c r="AY24" i="8"/>
  <c r="AY23" i="8"/>
  <c r="AY19" i="8"/>
  <c r="AY18" i="8"/>
  <c r="AY17" i="8"/>
  <c r="AY16" i="8"/>
  <c r="AY15" i="8"/>
  <c r="AY11" i="8"/>
  <c r="AY10" i="8"/>
  <c r="AY9" i="8"/>
  <c r="AY6" i="8"/>
  <c r="AY5" i="8"/>
  <c r="AP51" i="8"/>
  <c r="AP50" i="8"/>
  <c r="AP46" i="8"/>
  <c r="AP44" i="8"/>
  <c r="AP43" i="8"/>
  <c r="AP42" i="8"/>
  <c r="AP38" i="8"/>
  <c r="AP37" i="8"/>
  <c r="AP36" i="8"/>
  <c r="AP31" i="8"/>
  <c r="AP24" i="8"/>
  <c r="AR51" i="8"/>
  <c r="AR50" i="8"/>
  <c r="AR46" i="8"/>
  <c r="AR45" i="8"/>
  <c r="AR44" i="8"/>
  <c r="AR43" i="8"/>
  <c r="AR42" i="8"/>
  <c r="AR38" i="8"/>
  <c r="AR36" i="8"/>
  <c r="AR33" i="8"/>
  <c r="AR24" i="8"/>
  <c r="AR23" i="8"/>
  <c r="AR19" i="8"/>
  <c r="AR18" i="8"/>
  <c r="AR17" i="8"/>
  <c r="AR16" i="8"/>
  <c r="AR15" i="8"/>
  <c r="AR11" i="8"/>
  <c r="AR9" i="8"/>
  <c r="AR6" i="8"/>
  <c r="AP23" i="8"/>
  <c r="AP19" i="8"/>
  <c r="AP18" i="8"/>
  <c r="AP17" i="8"/>
  <c r="AP16" i="8"/>
  <c r="AP15" i="8"/>
  <c r="AP11" i="8"/>
  <c r="AP9" i="8"/>
  <c r="AP6" i="8"/>
  <c r="AP4" i="8"/>
  <c r="AN51" i="8"/>
  <c r="AN50" i="8"/>
  <c r="AN46" i="8"/>
  <c r="AN45" i="8"/>
  <c r="AN44" i="8"/>
  <c r="AN43" i="8"/>
  <c r="AN42" i="8"/>
  <c r="AN38" i="8"/>
  <c r="AN37" i="8"/>
  <c r="AN36" i="8"/>
  <c r="AN33" i="8"/>
  <c r="AN31" i="8"/>
  <c r="AN24" i="8"/>
  <c r="AN23" i="8"/>
  <c r="AN19" i="8"/>
  <c r="AN18" i="8"/>
  <c r="AN17" i="8"/>
  <c r="AN16" i="8"/>
  <c r="AN15" i="8"/>
  <c r="AN11" i="8"/>
  <c r="AN10" i="8"/>
  <c r="AN9" i="8"/>
  <c r="AN6" i="8"/>
  <c r="AN5" i="8"/>
  <c r="AN4" i="8"/>
  <c r="AL51" i="8"/>
  <c r="AL50" i="8"/>
  <c r="AL46" i="8"/>
  <c r="AL45" i="8"/>
  <c r="AL44" i="8"/>
  <c r="AL43" i="8"/>
  <c r="AL42" i="8"/>
  <c r="AL38" i="8"/>
  <c r="AL36" i="8"/>
  <c r="AL33" i="8"/>
  <c r="AL31" i="8"/>
  <c r="AL24" i="8"/>
  <c r="AL23" i="8"/>
  <c r="AL19" i="8"/>
  <c r="AL18" i="8"/>
  <c r="AL17" i="8"/>
  <c r="AL16" i="8"/>
  <c r="AL15" i="8"/>
  <c r="AL11" i="8"/>
  <c r="AL9" i="8"/>
  <c r="AL6" i="8"/>
  <c r="AL4" i="8"/>
  <c r="AF51" i="8"/>
  <c r="AF50" i="8"/>
  <c r="AF46" i="8"/>
  <c r="AF45" i="8"/>
  <c r="AF44" i="8"/>
  <c r="AF43" i="8"/>
  <c r="AF42" i="8"/>
  <c r="AF38" i="8"/>
  <c r="AF36" i="8"/>
  <c r="AF33" i="8"/>
  <c r="AF31" i="8"/>
  <c r="AF24" i="8"/>
  <c r="AJ51" i="8"/>
  <c r="AJ50" i="8"/>
  <c r="AJ46" i="8"/>
  <c r="AJ45" i="8"/>
  <c r="AJ44" i="8"/>
  <c r="AJ43" i="8"/>
  <c r="AJ42" i="8"/>
  <c r="AJ38" i="8"/>
  <c r="AJ36" i="8"/>
  <c r="AJ33" i="8"/>
  <c r="AJ24" i="8"/>
  <c r="AJ23" i="8"/>
  <c r="AJ19" i="8"/>
  <c r="AJ18" i="8"/>
  <c r="AJ17" i="8"/>
  <c r="AJ16" i="8"/>
  <c r="AJ15" i="8"/>
  <c r="AJ11" i="8"/>
  <c r="AJ9" i="8"/>
  <c r="AJ6" i="8"/>
  <c r="AJ31" i="8"/>
  <c r="AH51" i="8"/>
  <c r="AH50" i="8"/>
  <c r="AH46" i="8"/>
  <c r="AH45" i="8"/>
  <c r="AH44" i="8"/>
  <c r="AH43" i="8"/>
  <c r="AH42" i="8"/>
  <c r="AH38" i="8"/>
  <c r="AH36" i="8"/>
  <c r="AH33" i="8"/>
  <c r="AH31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1" i="8"/>
  <c r="Y50" i="8"/>
  <c r="Y46" i="8"/>
  <c r="Y45" i="8"/>
  <c r="Y44" i="8"/>
  <c r="Y43" i="8"/>
  <c r="Y42" i="8"/>
  <c r="Y38" i="8"/>
  <c r="Y37" i="8"/>
  <c r="Y36" i="8"/>
  <c r="Y33" i="8"/>
  <c r="Y32" i="8"/>
  <c r="Y5" i="8"/>
  <c r="W51" i="8"/>
  <c r="W50" i="8"/>
  <c r="W46" i="8"/>
  <c r="W45" i="8"/>
  <c r="W44" i="8"/>
  <c r="W43" i="8"/>
  <c r="W42" i="8"/>
  <c r="W38" i="8"/>
  <c r="W37" i="8"/>
  <c r="W36" i="8"/>
  <c r="W33" i="8"/>
  <c r="W32" i="8"/>
  <c r="W34" i="8" s="1"/>
  <c r="W5" i="8"/>
  <c r="U51" i="8"/>
  <c r="U50" i="8"/>
  <c r="U46" i="8"/>
  <c r="U45" i="8"/>
  <c r="U44" i="8"/>
  <c r="U43" i="8"/>
  <c r="U42" i="8"/>
  <c r="U38" i="8"/>
  <c r="U37" i="8"/>
  <c r="U36" i="8"/>
  <c r="U33" i="8"/>
  <c r="U32" i="8"/>
  <c r="U5" i="8"/>
  <c r="S51" i="8"/>
  <c r="S50" i="8"/>
  <c r="S46" i="8"/>
  <c r="S45" i="8"/>
  <c r="S44" i="8"/>
  <c r="S43" i="8"/>
  <c r="S42" i="8"/>
  <c r="S38" i="8"/>
  <c r="S37" i="8"/>
  <c r="S36" i="8"/>
  <c r="S33" i="8"/>
  <c r="S32" i="8"/>
  <c r="S5" i="8"/>
  <c r="Q51" i="8"/>
  <c r="Q50" i="8"/>
  <c r="Q46" i="8"/>
  <c r="Q45" i="8"/>
  <c r="Q44" i="8"/>
  <c r="Q43" i="8"/>
  <c r="Q42" i="8"/>
  <c r="Q38" i="8"/>
  <c r="Q37" i="8"/>
  <c r="Q36" i="8"/>
  <c r="Q33" i="8"/>
  <c r="Q32" i="8"/>
  <c r="Q5" i="8"/>
  <c r="O51" i="8"/>
  <c r="O50" i="8"/>
  <c r="O46" i="8"/>
  <c r="O45" i="8"/>
  <c r="O44" i="8"/>
  <c r="O43" i="8"/>
  <c r="O42" i="8"/>
  <c r="O38" i="8"/>
  <c r="O37" i="8"/>
  <c r="O36" i="8"/>
  <c r="O33" i="8"/>
  <c r="O32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2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O20" i="8" l="1"/>
  <c r="AT33" i="8"/>
  <c r="AT44" i="8"/>
  <c r="AT45" i="8"/>
  <c r="AT36" i="8"/>
  <c r="AT50" i="8"/>
  <c r="AT46" i="8"/>
  <c r="AT37" i="8"/>
  <c r="AT51" i="8"/>
  <c r="AT38" i="8"/>
  <c r="AT4" i="8"/>
  <c r="AT42" i="8"/>
  <c r="AH39" i="8"/>
  <c r="AT43" i="8"/>
  <c r="AR39" i="8"/>
  <c r="Q34" i="8"/>
  <c r="W39" i="8"/>
  <c r="AP39" i="8"/>
  <c r="AT31" i="8"/>
  <c r="Y20" i="8"/>
  <c r="S39" i="8"/>
  <c r="U20" i="8"/>
  <c r="I51" i="8"/>
  <c r="I50" i="8"/>
  <c r="I46" i="8"/>
  <c r="I45" i="8"/>
  <c r="I44" i="8"/>
  <c r="I43" i="8"/>
  <c r="I42" i="8"/>
  <c r="I38" i="8"/>
  <c r="I37" i="8"/>
  <c r="I33" i="8"/>
  <c r="I31" i="8"/>
  <c r="G51" i="8"/>
  <c r="G50" i="8"/>
  <c r="G46" i="8"/>
  <c r="G45" i="8"/>
  <c r="G44" i="8"/>
  <c r="G43" i="8"/>
  <c r="G42" i="8"/>
  <c r="G38" i="8"/>
  <c r="G37" i="8"/>
  <c r="G36" i="8"/>
  <c r="G33" i="8"/>
  <c r="G32" i="8"/>
  <c r="G31" i="8"/>
  <c r="E31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1" i="8"/>
  <c r="E50" i="8"/>
  <c r="E46" i="8"/>
  <c r="E45" i="8"/>
  <c r="E44" i="8"/>
  <c r="E43" i="8"/>
  <c r="E42" i="8"/>
  <c r="E38" i="8"/>
  <c r="E37" i="8"/>
  <c r="E36" i="8"/>
  <c r="E33" i="8"/>
  <c r="E32" i="8"/>
  <c r="C51" i="8"/>
  <c r="C50" i="8"/>
  <c r="C46" i="8"/>
  <c r="C45" i="8"/>
  <c r="C44" i="8"/>
  <c r="C43" i="8"/>
  <c r="C42" i="8"/>
  <c r="C38" i="8"/>
  <c r="C37" i="8"/>
  <c r="C36" i="8"/>
  <c r="C33" i="8"/>
  <c r="C32" i="8"/>
  <c r="C4" i="8"/>
  <c r="C31" i="8"/>
  <c r="C24" i="8"/>
  <c r="C23" i="8"/>
  <c r="C19" i="8"/>
  <c r="C18" i="8"/>
  <c r="C17" i="8"/>
  <c r="C16" i="8"/>
  <c r="C15" i="8"/>
  <c r="C11" i="8"/>
  <c r="C10" i="8"/>
  <c r="C9" i="8"/>
  <c r="C6" i="8"/>
  <c r="AT39" i="8" l="1"/>
  <c r="K4" i="8"/>
  <c r="K31" i="8"/>
  <c r="G34" i="8"/>
  <c r="E39" i="8"/>
  <c r="G47" i="8"/>
  <c r="BV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R49" i="8" l="1"/>
  <c r="BR43" i="8"/>
  <c r="BR42" i="8"/>
  <c r="BR37" i="8"/>
  <c r="BR36" i="8"/>
  <c r="BR48" i="8"/>
  <c r="BR44" i="8"/>
  <c r="BR38" i="8"/>
  <c r="BR33" i="8"/>
  <c r="BR32" i="8"/>
  <c r="BJ18" i="8"/>
  <c r="BN18" i="8"/>
  <c r="BH18" i="8"/>
  <c r="CD45" i="8"/>
  <c r="CB45" i="8"/>
  <c r="BZ45" i="8"/>
  <c r="BX45" i="8"/>
  <c r="BV45" i="8"/>
  <c r="CD39" i="8"/>
  <c r="CB39" i="8"/>
  <c r="BZ39" i="8"/>
  <c r="BZ40" i="8" s="1"/>
  <c r="BZ51" i="8" s="1"/>
  <c r="BX39" i="8"/>
  <c r="BV39" i="8"/>
  <c r="CD34" i="8"/>
  <c r="CB34" i="8"/>
  <c r="BZ34" i="8"/>
  <c r="BX34" i="8"/>
  <c r="BV34" i="8"/>
  <c r="CD18" i="8"/>
  <c r="CB18" i="8"/>
  <c r="BZ18" i="8"/>
  <c r="BX18" i="8"/>
  <c r="CD12" i="8"/>
  <c r="CB12" i="8"/>
  <c r="BZ12" i="8"/>
  <c r="BX12" i="8"/>
  <c r="BV12" i="8"/>
  <c r="CD7" i="8"/>
  <c r="CB7" i="8"/>
  <c r="BZ7" i="8"/>
  <c r="BX7" i="8"/>
  <c r="BV7" i="8"/>
  <c r="BP45" i="8"/>
  <c r="BN45" i="8"/>
  <c r="BL45" i="8"/>
  <c r="BJ45" i="8"/>
  <c r="BP39" i="8"/>
  <c r="BN39" i="8"/>
  <c r="BL39" i="8"/>
  <c r="BJ39" i="8"/>
  <c r="BP34" i="8"/>
  <c r="BN34" i="8"/>
  <c r="BL34" i="8"/>
  <c r="BJ34" i="8"/>
  <c r="CD40" i="8" l="1"/>
  <c r="CD51" i="8" s="1"/>
  <c r="BL40" i="8"/>
  <c r="BL51" i="8" s="1"/>
  <c r="BP40" i="8"/>
  <c r="BP51" i="8" s="1"/>
  <c r="CD46" i="8"/>
  <c r="CD50" i="8" s="1"/>
  <c r="CB40" i="8"/>
  <c r="BZ46" i="8"/>
  <c r="BZ50" i="8" s="1"/>
  <c r="BV40" i="8"/>
  <c r="BV51" i="8" s="1"/>
  <c r="BX40" i="8"/>
  <c r="BX51" i="8" s="1"/>
  <c r="BN40" i="8"/>
  <c r="BN51" i="8" s="1"/>
  <c r="BJ40" i="8"/>
  <c r="BJ51" i="8" s="1"/>
  <c r="CD13" i="8"/>
  <c r="CD24" i="8" s="1"/>
  <c r="CB13" i="8"/>
  <c r="CB24" i="8" s="1"/>
  <c r="BZ13" i="8"/>
  <c r="BZ24" i="8" s="1"/>
  <c r="BX13" i="8"/>
  <c r="BX24" i="8" s="1"/>
  <c r="BV13" i="8"/>
  <c r="BV24" i="8" s="1"/>
  <c r="BH45" i="8"/>
  <c r="BH39" i="8"/>
  <c r="BR45" i="8"/>
  <c r="BR39" i="8"/>
  <c r="BR34" i="8"/>
  <c r="BH34" i="8"/>
  <c r="BP15" i="8"/>
  <c r="BL18" i="8"/>
  <c r="BL46" i="8" l="1"/>
  <c r="BL50" i="8" s="1"/>
  <c r="BP46" i="8"/>
  <c r="BP50" i="8" s="1"/>
  <c r="G19" i="1"/>
  <c r="I41" i="18" s="1"/>
  <c r="J41" i="18" s="1"/>
  <c r="CB51" i="8"/>
  <c r="CB46" i="8"/>
  <c r="CB50" i="8" s="1"/>
  <c r="BV46" i="8"/>
  <c r="BX46" i="8"/>
  <c r="BX50" i="8" s="1"/>
  <c r="BN46" i="8"/>
  <c r="BN50" i="8" s="1"/>
  <c r="BJ46" i="8"/>
  <c r="BJ50" i="8" s="1"/>
  <c r="BR40" i="8"/>
  <c r="BR51" i="8" s="1"/>
  <c r="CD19" i="8"/>
  <c r="CD23" i="8" s="1"/>
  <c r="CB19" i="8"/>
  <c r="CB23" i="8" s="1"/>
  <c r="BZ19" i="8"/>
  <c r="BZ23" i="8" s="1"/>
  <c r="BX19" i="8"/>
  <c r="BX23" i="8" s="1"/>
  <c r="BV19" i="8"/>
  <c r="BV23" i="8" s="1"/>
  <c r="BH40" i="8"/>
  <c r="BH51" i="8" s="1"/>
  <c r="BR46" i="8" l="1"/>
  <c r="BR50" i="8" s="1"/>
  <c r="BH46" i="8"/>
  <c r="BH50" i="8" s="1"/>
  <c r="BN12" i="8" l="1"/>
  <c r="BL12" i="8"/>
  <c r="BJ12" i="8"/>
  <c r="BH12" i="8"/>
  <c r="BN7" i="8"/>
  <c r="BL7" i="8"/>
  <c r="BL13" i="8" s="1"/>
  <c r="BJ7" i="8"/>
  <c r="BH7" i="8"/>
  <c r="BA47" i="8"/>
  <c r="AY47" i="8"/>
  <c r="BA39" i="8"/>
  <c r="AY39" i="8"/>
  <c r="BA34" i="8"/>
  <c r="AY34" i="8"/>
  <c r="BA20" i="8"/>
  <c r="AY20" i="8"/>
  <c r="BA12" i="8"/>
  <c r="AY12" i="8"/>
  <c r="BA7" i="8"/>
  <c r="AY7" i="8"/>
  <c r="AY13" i="8" s="1"/>
  <c r="AY26" i="8" s="1"/>
  <c r="AR47" i="8"/>
  <c r="AP47" i="8"/>
  <c r="AN47" i="8"/>
  <c r="AL47" i="8"/>
  <c r="AJ47" i="8"/>
  <c r="AH47" i="8"/>
  <c r="AF47" i="8"/>
  <c r="AN39" i="8"/>
  <c r="AL39" i="8"/>
  <c r="AJ39" i="8"/>
  <c r="AF39" i="8"/>
  <c r="AR34" i="8"/>
  <c r="AP34" i="8"/>
  <c r="AN34" i="8"/>
  <c r="AL34" i="8"/>
  <c r="AJ34" i="8"/>
  <c r="AH34" i="8"/>
  <c r="AF34" i="8"/>
  <c r="AR20" i="8"/>
  <c r="AP20" i="8"/>
  <c r="AN20" i="8"/>
  <c r="AL20" i="8"/>
  <c r="AJ20" i="8"/>
  <c r="AH20" i="8"/>
  <c r="AF20" i="8"/>
  <c r="AR12" i="8"/>
  <c r="AS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R7" i="8"/>
  <c r="AP7" i="8"/>
  <c r="AN7" i="8"/>
  <c r="AL7" i="8"/>
  <c r="AJ7" i="8"/>
  <c r="AH7" i="8"/>
  <c r="AF7" i="8"/>
  <c r="Y47" i="8"/>
  <c r="W47" i="8"/>
  <c r="U47" i="8"/>
  <c r="S47" i="8"/>
  <c r="Q47" i="8"/>
  <c r="O47" i="8"/>
  <c r="Y39" i="8"/>
  <c r="U39" i="8"/>
  <c r="Q39" i="8"/>
  <c r="O39" i="8"/>
  <c r="Y34" i="8"/>
  <c r="U34" i="8"/>
  <c r="S34" i="8"/>
  <c r="O34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47" i="8"/>
  <c r="E47" i="8"/>
  <c r="C47" i="8"/>
  <c r="O13" i="8" l="1"/>
  <c r="AL40" i="8"/>
  <c r="AL53" i="8" s="1"/>
  <c r="AN13" i="8"/>
  <c r="AR13" i="8"/>
  <c r="AR26" i="8" s="1"/>
  <c r="U13" i="8"/>
  <c r="U26" i="8" s="1"/>
  <c r="AF13" i="8"/>
  <c r="AF21" i="8" s="1"/>
  <c r="AF25" i="8" s="1"/>
  <c r="Y40" i="8"/>
  <c r="Y53" i="8" s="1"/>
  <c r="BA13" i="8"/>
  <c r="BA26" i="8" s="1"/>
  <c r="BN13" i="8"/>
  <c r="BL24" i="8"/>
  <c r="BL19" i="8"/>
  <c r="BL23" i="8" s="1"/>
  <c r="BJ13" i="8"/>
  <c r="BH13" i="8"/>
  <c r="BH24" i="8"/>
  <c r="BH19" i="8"/>
  <c r="BH23" i="8" s="1"/>
  <c r="BA40" i="8"/>
  <c r="BA53" i="8" s="1"/>
  <c r="AY40" i="8"/>
  <c r="AY53" i="8" s="1"/>
  <c r="AY21" i="8"/>
  <c r="AY25" i="8" s="1"/>
  <c r="AP40" i="8"/>
  <c r="AR40" i="8"/>
  <c r="AR53" i="8" s="1"/>
  <c r="AP13" i="8"/>
  <c r="AQ13" i="8" s="1"/>
  <c r="AN40" i="8"/>
  <c r="AN21" i="8"/>
  <c r="AN25" i="8" s="1"/>
  <c r="AL13" i="8"/>
  <c r="AF40" i="8"/>
  <c r="AJ40" i="8"/>
  <c r="AJ53" i="8" s="1"/>
  <c r="AJ13" i="8"/>
  <c r="AK13" i="8" s="1"/>
  <c r="AH40" i="8"/>
  <c r="AH53" i="8" s="1"/>
  <c r="AH13" i="8"/>
  <c r="AI13" i="8" s="1"/>
  <c r="W40" i="8"/>
  <c r="W53" i="8" s="1"/>
  <c r="U40" i="8"/>
  <c r="U53" i="8" s="1"/>
  <c r="S40" i="8"/>
  <c r="Q40" i="8"/>
  <c r="Q53" i="8" s="1"/>
  <c r="O40" i="8"/>
  <c r="O53" i="8" s="1"/>
  <c r="Y13" i="8"/>
  <c r="Y26" i="8" s="1"/>
  <c r="W13" i="8"/>
  <c r="W26" i="8" s="1"/>
  <c r="S13" i="8"/>
  <c r="S26" i="8" s="1"/>
  <c r="Q13" i="8"/>
  <c r="Q21" i="8" s="1"/>
  <c r="Q25" i="8" s="1"/>
  <c r="AM12" i="8"/>
  <c r="U21" i="8" l="1"/>
  <c r="U25" i="8" s="1"/>
  <c r="O21" i="8"/>
  <c r="O25" i="8" s="1"/>
  <c r="O26" i="8"/>
  <c r="AH26" i="8"/>
  <c r="AJ48" i="8"/>
  <c r="AJ52" i="8" s="1"/>
  <c r="AK52" i="8" s="1"/>
  <c r="AH21" i="8"/>
  <c r="AH25" i="8" s="1"/>
  <c r="S21" i="8"/>
  <c r="S25" i="8" s="1"/>
  <c r="AL48" i="8"/>
  <c r="AL52" i="8" s="1"/>
  <c r="AM52" i="8" s="1"/>
  <c r="AN26" i="8"/>
  <c r="AO13" i="8"/>
  <c r="AR48" i="8"/>
  <c r="AR52" i="8" s="1"/>
  <c r="AS52" i="8" s="1"/>
  <c r="AP53" i="8"/>
  <c r="AP48" i="8"/>
  <c r="AP52" i="8" s="1"/>
  <c r="AQ52" i="8" s="1"/>
  <c r="AF26" i="8"/>
  <c r="Y48" i="8"/>
  <c r="Y52" i="8" s="1"/>
  <c r="AG13" i="8"/>
  <c r="BA21" i="8"/>
  <c r="BA25" i="8" s="1"/>
  <c r="AS13" i="8"/>
  <c r="AR21" i="8"/>
  <c r="AR25" i="8" s="1"/>
  <c r="BN24" i="8"/>
  <c r="BN19" i="8"/>
  <c r="BN23" i="8" s="1"/>
  <c r="BJ24" i="8"/>
  <c r="BJ19" i="8"/>
  <c r="BJ23" i="8" s="1"/>
  <c r="BA48" i="8"/>
  <c r="BA52" i="8" s="1"/>
  <c r="AY48" i="8"/>
  <c r="AY52" i="8" s="1"/>
  <c r="AP26" i="8"/>
  <c r="AP21" i="8"/>
  <c r="AP25" i="8" s="1"/>
  <c r="AN48" i="8"/>
  <c r="AN52" i="8" s="1"/>
  <c r="AO52" i="8" s="1"/>
  <c r="AN53" i="8"/>
  <c r="AM13" i="8"/>
  <c r="AL21" i="8"/>
  <c r="AL25" i="8" s="1"/>
  <c r="AL26" i="8"/>
  <c r="AF48" i="8"/>
  <c r="AF52" i="8" s="1"/>
  <c r="AG52" i="8" s="1"/>
  <c r="AF53" i="8"/>
  <c r="AJ26" i="8"/>
  <c r="AJ21" i="8"/>
  <c r="AJ25" i="8" s="1"/>
  <c r="AH48" i="8"/>
  <c r="AH52" i="8" s="1"/>
  <c r="AI52" i="8" s="1"/>
  <c r="W48" i="8"/>
  <c r="W52" i="8" s="1"/>
  <c r="U48" i="8"/>
  <c r="U52" i="8" s="1"/>
  <c r="S53" i="8"/>
  <c r="S48" i="8"/>
  <c r="S52" i="8" s="1"/>
  <c r="Q48" i="8"/>
  <c r="Q52" i="8" s="1"/>
  <c r="O48" i="8"/>
  <c r="O52" i="8" s="1"/>
  <c r="Y21" i="8"/>
  <c r="Y25" i="8" s="1"/>
  <c r="W21" i="8"/>
  <c r="W25" i="8" s="1"/>
  <c r="Q26" i="8"/>
  <c r="I39" i="8"/>
  <c r="G39" i="8"/>
  <c r="I34" i="8"/>
  <c r="E34" i="8"/>
  <c r="I12" i="8"/>
  <c r="G12" i="8"/>
  <c r="I7" i="8"/>
  <c r="G7" i="8"/>
  <c r="E7" i="8"/>
  <c r="I40" i="8" l="1"/>
  <c r="I53" i="8" s="1"/>
  <c r="G40" i="8"/>
  <c r="G53" i="8" s="1"/>
  <c r="I13" i="8"/>
  <c r="G13" i="8"/>
  <c r="E13" i="8"/>
  <c r="E40" i="8"/>
  <c r="E53" i="8" s="1"/>
  <c r="AZ37" i="8"/>
  <c r="G48" i="8" l="1"/>
  <c r="G52" i="8" s="1"/>
  <c r="I48" i="8"/>
  <c r="I52" i="8" s="1"/>
  <c r="I26" i="8"/>
  <c r="I21" i="8"/>
  <c r="I25" i="8" s="1"/>
  <c r="G26" i="8"/>
  <c r="G21" i="8"/>
  <c r="G25" i="8" s="1"/>
  <c r="E21" i="8"/>
  <c r="E25" i="8" s="1"/>
  <c r="E26" i="8"/>
  <c r="E48" i="8"/>
  <c r="E52" i="8" s="1"/>
  <c r="K5" i="8" l="1"/>
  <c r="C39" i="8" l="1"/>
  <c r="C34" i="8"/>
  <c r="C12" i="8"/>
  <c r="C7" i="8"/>
  <c r="D4" i="1" l="1"/>
  <c r="D31" i="1"/>
  <c r="D33" i="1"/>
  <c r="C40" i="8"/>
  <c r="C48" i="8" s="1"/>
  <c r="C52" i="8" s="1"/>
  <c r="C13" i="8"/>
  <c r="AC37" i="8"/>
  <c r="AA37" i="8" s="1"/>
  <c r="E46" i="1" s="1"/>
  <c r="E114" i="1" s="1"/>
  <c r="AC36" i="8"/>
  <c r="AA36" i="8" s="1"/>
  <c r="AC33" i="8"/>
  <c r="AA33" i="8" s="1"/>
  <c r="E42" i="1" s="1"/>
  <c r="E110" i="1" s="1"/>
  <c r="AC32" i="8"/>
  <c r="AA32" i="8" s="1"/>
  <c r="AA11" i="8"/>
  <c r="AC10" i="8"/>
  <c r="AA10" i="8" s="1"/>
  <c r="AC9" i="8"/>
  <c r="AA9" i="8" s="1"/>
  <c r="F34" i="18" s="1"/>
  <c r="AA6" i="8"/>
  <c r="AC6" i="8"/>
  <c r="AC5" i="8"/>
  <c r="AA5" i="8" s="1"/>
  <c r="F30" i="18" s="1"/>
  <c r="E9" i="1" l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3" i="8"/>
  <c r="E45" i="1"/>
  <c r="E113" i="1" s="1"/>
  <c r="E41" i="1"/>
  <c r="AA34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BI34" i="8" l="1"/>
  <c r="BI32" i="8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H640" i="12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30" i="12" s="1"/>
  <c r="I409" i="12"/>
  <c r="I400" i="12"/>
  <c r="H427" i="12"/>
  <c r="G409" i="12"/>
  <c r="G400" i="12"/>
  <c r="F427" i="12"/>
  <c r="F409" i="12"/>
  <c r="E427" i="12"/>
  <c r="E430" i="12" s="1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I481" i="12" l="1"/>
  <c r="G430" i="12"/>
  <c r="F430" i="12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I483" i="12"/>
  <c r="J400" i="12"/>
  <c r="J451" i="12"/>
  <c r="I432" i="12"/>
  <c r="G432" i="12"/>
  <c r="F432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I268" i="12" s="1"/>
  <c r="H267" i="12"/>
  <c r="G267" i="12"/>
  <c r="F267" i="12"/>
  <c r="E267" i="12"/>
  <c r="H266" i="12"/>
  <c r="G266" i="12"/>
  <c r="F266" i="12"/>
  <c r="E266" i="12"/>
  <c r="I266" i="12" s="1"/>
  <c r="H262" i="12"/>
  <c r="G262" i="12"/>
  <c r="F262" i="12"/>
  <c r="E262" i="12"/>
  <c r="H261" i="12"/>
  <c r="G261" i="12"/>
  <c r="F261" i="12"/>
  <c r="E261" i="12"/>
  <c r="I261" i="12" s="1"/>
  <c r="H260" i="12"/>
  <c r="G260" i="12"/>
  <c r="F260" i="12"/>
  <c r="E260" i="12"/>
  <c r="H259" i="12"/>
  <c r="G259" i="12"/>
  <c r="F259" i="12"/>
  <c r="E259" i="12"/>
  <c r="I259" i="12" s="1"/>
  <c r="H258" i="12"/>
  <c r="G258" i="12"/>
  <c r="F258" i="12"/>
  <c r="E258" i="12"/>
  <c r="H257" i="12"/>
  <c r="G257" i="12"/>
  <c r="F257" i="12"/>
  <c r="E257" i="12"/>
  <c r="I257" i="12" s="1"/>
  <c r="H253" i="12"/>
  <c r="G253" i="12"/>
  <c r="F253" i="12"/>
  <c r="E253" i="12"/>
  <c r="H252" i="12"/>
  <c r="G252" i="12"/>
  <c r="F252" i="12"/>
  <c r="E252" i="12"/>
  <c r="I252" i="12" s="1"/>
  <c r="H251" i="12"/>
  <c r="G251" i="12"/>
  <c r="F251" i="12"/>
  <c r="E251" i="12"/>
  <c r="H250" i="12"/>
  <c r="G250" i="12"/>
  <c r="F250" i="12"/>
  <c r="E250" i="12"/>
  <c r="I250" i="12" s="1"/>
  <c r="H249" i="12"/>
  <c r="G249" i="12"/>
  <c r="F249" i="12"/>
  <c r="E249" i="12"/>
  <c r="H248" i="12"/>
  <c r="G248" i="12"/>
  <c r="F248" i="12"/>
  <c r="E248" i="12"/>
  <c r="I248" i="12" s="1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I204" i="12" s="1"/>
  <c r="F610" i="12" s="1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49" i="12" l="1"/>
  <c r="F657" i="12" s="1"/>
  <c r="I251" i="12"/>
  <c r="F659" i="12" s="1"/>
  <c r="I260" i="12"/>
  <c r="F668" i="12" s="1"/>
  <c r="F677" i="12"/>
  <c r="I269" i="12"/>
  <c r="I273" i="12"/>
  <c r="F681" i="12" s="1"/>
  <c r="I282" i="12"/>
  <c r="F693" i="12" s="1"/>
  <c r="I196" i="12"/>
  <c r="I258" i="12"/>
  <c r="F666" i="12" s="1"/>
  <c r="F685" i="12"/>
  <c r="I277" i="12"/>
  <c r="I247" i="12"/>
  <c r="F655" i="12" s="1"/>
  <c r="I253" i="12"/>
  <c r="F661" i="12" s="1"/>
  <c r="I262" i="12"/>
  <c r="F670" i="12" s="1"/>
  <c r="F675" i="12"/>
  <c r="I267" i="12"/>
  <c r="I271" i="12"/>
  <c r="F679" i="12" s="1"/>
  <c r="I275" i="12"/>
  <c r="F683" i="12" s="1"/>
  <c r="I270" i="12"/>
  <c r="I272" i="12"/>
  <c r="F680" i="12" s="1"/>
  <c r="I274" i="12"/>
  <c r="F682" i="12" s="1"/>
  <c r="I276" i="12"/>
  <c r="I278" i="12"/>
  <c r="I244" i="12"/>
  <c r="I205" i="12"/>
  <c r="F611" i="12" s="1"/>
  <c r="F656" i="12"/>
  <c r="F658" i="12"/>
  <c r="F660" i="12"/>
  <c r="F665" i="12"/>
  <c r="F667" i="12"/>
  <c r="F669" i="12"/>
  <c r="F674" i="12"/>
  <c r="F676" i="12"/>
  <c r="F678" i="12"/>
  <c r="F652" i="12"/>
  <c r="I230" i="12"/>
  <c r="F638" i="12" s="1"/>
  <c r="I199" i="12"/>
  <c r="F605" i="12" s="1"/>
  <c r="I218" i="12"/>
  <c r="F624" i="12" s="1"/>
  <c r="I226" i="12"/>
  <c r="F632" i="12" s="1"/>
  <c r="I221" i="12"/>
  <c r="F627" i="12" s="1"/>
  <c r="I222" i="12"/>
  <c r="F628" i="12" s="1"/>
  <c r="F602" i="12"/>
  <c r="I209" i="12"/>
  <c r="F615" i="12" s="1"/>
  <c r="I234" i="12"/>
  <c r="F643" i="12" s="1"/>
  <c r="I210" i="12"/>
  <c r="F616" i="12" s="1"/>
  <c r="I229" i="12"/>
  <c r="F635" i="12" s="1"/>
  <c r="I213" i="12"/>
  <c r="F619" i="12" s="1"/>
  <c r="I223" i="12"/>
  <c r="F629" i="12" s="1"/>
  <c r="I211" i="12"/>
  <c r="F617" i="12" s="1"/>
  <c r="I224" i="12"/>
  <c r="F630" i="12" s="1"/>
  <c r="I200" i="12"/>
  <c r="F606" i="12" s="1"/>
  <c r="I202" i="12"/>
  <c r="F608" i="12" s="1"/>
  <c r="I212" i="12"/>
  <c r="F618" i="12" s="1"/>
  <c r="I225" i="12"/>
  <c r="F631" i="12" s="1"/>
  <c r="I214" i="12"/>
  <c r="F620" i="12" s="1"/>
  <c r="F684" i="12"/>
  <c r="F688" i="12"/>
  <c r="I219" i="12"/>
  <c r="F625" i="12" s="1"/>
  <c r="I227" i="12"/>
  <c r="F633" i="12" s="1"/>
  <c r="I220" i="12"/>
  <c r="F626" i="12" s="1"/>
  <c r="I228" i="12"/>
  <c r="F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I254" i="12" l="1"/>
  <c r="I263" i="12"/>
  <c r="I279" i="12"/>
  <c r="F233" i="12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H215" i="12"/>
  <c r="H254" i="12"/>
  <c r="H263" i="12"/>
  <c r="H279" i="12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K117" i="12"/>
  <c r="E619" i="12" s="1"/>
  <c r="K116" i="12"/>
  <c r="E618" i="12" s="1"/>
  <c r="K115" i="12"/>
  <c r="E617" i="12" s="1"/>
  <c r="K114" i="12"/>
  <c r="E616" i="12" s="1"/>
  <c r="K113" i="12"/>
  <c r="E615" i="12" s="1"/>
  <c r="K109" i="12"/>
  <c r="E611" i="12" s="1"/>
  <c r="K108" i="12"/>
  <c r="E610" i="12" s="1"/>
  <c r="K107" i="12"/>
  <c r="E609" i="12" s="1"/>
  <c r="K106" i="12"/>
  <c r="E608" i="12" s="1"/>
  <c r="K105" i="12"/>
  <c r="E607" i="12" s="1"/>
  <c r="K104" i="12"/>
  <c r="E606" i="12" s="1"/>
  <c r="K103" i="12"/>
  <c r="E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K110" i="12"/>
  <c r="E612" i="12" s="1"/>
  <c r="K119" i="12"/>
  <c r="E621" i="12" s="1"/>
  <c r="K158" i="12"/>
  <c r="E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K139" i="12"/>
  <c r="E644" i="12" s="1"/>
  <c r="E642" i="12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I34" i="12" s="1"/>
  <c r="F33" i="12"/>
  <c r="F32" i="12"/>
  <c r="F31" i="12"/>
  <c r="F29" i="12"/>
  <c r="F28" i="12"/>
  <c r="F27" i="12"/>
  <c r="F26" i="12"/>
  <c r="F30" i="12"/>
  <c r="F11" i="12"/>
  <c r="F9" i="12"/>
  <c r="F7" i="12"/>
  <c r="F23" i="12"/>
  <c r="I31" i="12" l="1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53" i="9"/>
  <c r="I19" i="9"/>
  <c r="H47" i="9" l="1"/>
  <c r="I45" i="9"/>
  <c r="I5" i="9"/>
  <c r="I37" i="9"/>
  <c r="D29" i="9"/>
  <c r="D30" i="9" s="1"/>
  <c r="H29" i="9"/>
  <c r="H30" i="9" s="1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BI48" i="8"/>
  <c r="BI49" i="8"/>
  <c r="BI51" i="8"/>
  <c r="BI50" i="8"/>
  <c r="BI46" i="8"/>
  <c r="BI45" i="8"/>
  <c r="BI44" i="8"/>
  <c r="BI43" i="8"/>
  <c r="BI42" i="8"/>
  <c r="BI40" i="8"/>
  <c r="BI39" i="8"/>
  <c r="BI38" i="8"/>
  <c r="BI37" i="8"/>
  <c r="BI36" i="8"/>
  <c r="BI33" i="8"/>
  <c r="AO53" i="8"/>
  <c r="AO51" i="8"/>
  <c r="AO50" i="8"/>
  <c r="AO48" i="8"/>
  <c r="AO47" i="8"/>
  <c r="AO46" i="8"/>
  <c r="AO45" i="8"/>
  <c r="AO44" i="8"/>
  <c r="AO43" i="8"/>
  <c r="AO42" i="8"/>
  <c r="AO40" i="8"/>
  <c r="AO39" i="8"/>
  <c r="AO38" i="8"/>
  <c r="AO37" i="8"/>
  <c r="AO36" i="8"/>
  <c r="AO34" i="8"/>
  <c r="AO33" i="8"/>
  <c r="AO32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2" i="8"/>
  <c r="R32" i="8"/>
  <c r="V32" i="8"/>
  <c r="X12" i="8"/>
  <c r="X21" i="8"/>
  <c r="AS5" i="8"/>
  <c r="AI37" i="8"/>
  <c r="CE17" i="8"/>
  <c r="CA16" i="8"/>
  <c r="BK16" i="8"/>
  <c r="AM60" i="1"/>
  <c r="AM59" i="1"/>
  <c r="AM55" i="1"/>
  <c r="AM54" i="1"/>
  <c r="AM53" i="1"/>
  <c r="AM52" i="1"/>
  <c r="AM51" i="1"/>
  <c r="AM46" i="1"/>
  <c r="AM47" i="1"/>
  <c r="AM45" i="1"/>
  <c r="AM42" i="1"/>
  <c r="AM41" i="1"/>
  <c r="W60" i="1"/>
  <c r="W59" i="1"/>
  <c r="W55" i="1"/>
  <c r="W54" i="1"/>
  <c r="W53" i="1"/>
  <c r="W52" i="1"/>
  <c r="W51" i="1"/>
  <c r="W47" i="1"/>
  <c r="W46" i="1"/>
  <c r="W45" i="1"/>
  <c r="W42" i="1"/>
  <c r="W41" i="1"/>
  <c r="AM23" i="1"/>
  <c r="AM22" i="1"/>
  <c r="AM18" i="1"/>
  <c r="AM17" i="1"/>
  <c r="AM16" i="1"/>
  <c r="AM15" i="1"/>
  <c r="AM14" i="1"/>
  <c r="AM10" i="1"/>
  <c r="AM9" i="1"/>
  <c r="AM8" i="1"/>
  <c r="AM5" i="1"/>
  <c r="E10" i="6" s="1"/>
  <c r="AM4" i="1"/>
  <c r="W23" i="1"/>
  <c r="W22" i="1"/>
  <c r="W18" i="1"/>
  <c r="I18" i="18" s="1"/>
  <c r="J18" i="18" s="1"/>
  <c r="W17" i="1"/>
  <c r="W16" i="1"/>
  <c r="W15" i="1"/>
  <c r="I15" i="18" s="1"/>
  <c r="J15" i="18" s="1"/>
  <c r="W14" i="1"/>
  <c r="W10" i="1"/>
  <c r="W9" i="1"/>
  <c r="W8" i="1"/>
  <c r="W5" i="1"/>
  <c r="E9" i="6" s="1"/>
  <c r="W4" i="1"/>
  <c r="AM56" i="1" l="1"/>
  <c r="W56" i="1"/>
  <c r="AM19" i="1"/>
  <c r="W19" i="1"/>
  <c r="I14" i="18"/>
  <c r="J14" i="18" s="1"/>
  <c r="H56" i="9"/>
  <c r="D56" i="9"/>
  <c r="I11" i="9"/>
  <c r="I55" i="9"/>
  <c r="I39" i="9"/>
  <c r="I29" i="9"/>
  <c r="I47" i="9"/>
  <c r="BV50" i="8"/>
  <c r="BW50" i="8" s="1"/>
  <c r="BW44" i="8"/>
  <c r="BP5" i="8"/>
  <c r="G4" i="1" s="1"/>
  <c r="I30" i="18" s="1"/>
  <c r="BW16" i="8"/>
  <c r="CF15" i="8"/>
  <c r="CC43" i="8"/>
  <c r="CE43" i="8"/>
  <c r="CE33" i="8"/>
  <c r="BY44" i="8"/>
  <c r="CE7" i="8"/>
  <c r="CC7" i="8"/>
  <c r="CE16" i="8"/>
  <c r="CE51" i="8"/>
  <c r="BY16" i="8"/>
  <c r="CE9" i="8"/>
  <c r="CE18" i="8"/>
  <c r="CE34" i="8"/>
  <c r="CE44" i="8"/>
  <c r="CE10" i="8"/>
  <c r="CE19" i="8"/>
  <c r="CE36" i="8"/>
  <c r="CE45" i="8"/>
  <c r="CC16" i="8"/>
  <c r="CC17" i="8"/>
  <c r="CE11" i="8"/>
  <c r="CE21" i="8"/>
  <c r="CE37" i="8"/>
  <c r="CE46" i="8"/>
  <c r="CC33" i="8"/>
  <c r="CE12" i="8"/>
  <c r="CE22" i="8"/>
  <c r="CE38" i="8"/>
  <c r="CE48" i="8"/>
  <c r="CE13" i="8"/>
  <c r="CE23" i="8"/>
  <c r="CE39" i="8"/>
  <c r="CE49" i="8"/>
  <c r="CC51" i="8"/>
  <c r="CE5" i="8"/>
  <c r="CE15" i="8"/>
  <c r="CE24" i="8"/>
  <c r="CE40" i="8"/>
  <c r="CE50" i="8"/>
  <c r="CA43" i="8"/>
  <c r="CE6" i="8"/>
  <c r="CE32" i="8"/>
  <c r="CE42" i="8"/>
  <c r="BO16" i="8"/>
  <c r="CC9" i="8"/>
  <c r="CC18" i="8"/>
  <c r="CC34" i="8"/>
  <c r="CC44" i="8"/>
  <c r="CA7" i="8"/>
  <c r="CC10" i="8"/>
  <c r="CC19" i="8"/>
  <c r="CC36" i="8"/>
  <c r="CC45" i="8"/>
  <c r="CA17" i="8"/>
  <c r="CC11" i="8"/>
  <c r="CC21" i="8"/>
  <c r="CC37" i="8"/>
  <c r="CC46" i="8"/>
  <c r="CA33" i="8"/>
  <c r="CC12" i="8"/>
  <c r="CC22" i="8"/>
  <c r="CC38" i="8"/>
  <c r="CC48" i="8"/>
  <c r="CC13" i="8"/>
  <c r="CC23" i="8"/>
  <c r="CC39" i="8"/>
  <c r="CC49" i="8"/>
  <c r="CC5" i="8"/>
  <c r="CC15" i="8"/>
  <c r="CC24" i="8"/>
  <c r="CC40" i="8"/>
  <c r="CC50" i="8"/>
  <c r="CA51" i="8"/>
  <c r="CC6" i="8"/>
  <c r="CC32" i="8"/>
  <c r="CC42" i="8"/>
  <c r="BW7" i="8"/>
  <c r="CA9" i="8"/>
  <c r="CA18" i="8"/>
  <c r="CA34" i="8"/>
  <c r="CA44" i="8"/>
  <c r="BY33" i="8"/>
  <c r="CA10" i="8"/>
  <c r="CA19" i="8"/>
  <c r="CA36" i="8"/>
  <c r="CA45" i="8"/>
  <c r="BY34" i="8"/>
  <c r="CA11" i="8"/>
  <c r="CA21" i="8"/>
  <c r="CA37" i="8"/>
  <c r="CA46" i="8"/>
  <c r="BY43" i="8"/>
  <c r="CA12" i="8"/>
  <c r="CA22" i="8"/>
  <c r="CA38" i="8"/>
  <c r="CA48" i="8"/>
  <c r="CA13" i="8"/>
  <c r="CA23" i="8"/>
  <c r="CA39" i="8"/>
  <c r="CA49" i="8"/>
  <c r="CA5" i="8"/>
  <c r="CA15" i="8"/>
  <c r="CA24" i="8"/>
  <c r="CA40" i="8"/>
  <c r="CA50" i="8"/>
  <c r="BY51" i="8"/>
  <c r="CA6" i="8"/>
  <c r="CA32" i="8"/>
  <c r="CA42" i="8"/>
  <c r="BY17" i="8"/>
  <c r="BW17" i="8"/>
  <c r="BY10" i="8"/>
  <c r="BY19" i="8"/>
  <c r="BY36" i="8"/>
  <c r="BY45" i="8"/>
  <c r="BW43" i="8"/>
  <c r="BW33" i="8"/>
  <c r="BW18" i="8"/>
  <c r="BY11" i="8"/>
  <c r="BY21" i="8"/>
  <c r="BY37" i="8"/>
  <c r="BY46" i="8"/>
  <c r="BW51" i="8"/>
  <c r="BW9" i="8"/>
  <c r="BW34" i="8"/>
  <c r="BY12" i="8"/>
  <c r="BY22" i="8"/>
  <c r="BY38" i="8"/>
  <c r="BY48" i="8"/>
  <c r="BY18" i="8"/>
  <c r="BY13" i="8"/>
  <c r="BY23" i="8"/>
  <c r="BY39" i="8"/>
  <c r="BY49" i="8"/>
  <c r="BY7" i="8"/>
  <c r="BY9" i="8"/>
  <c r="BY5" i="8"/>
  <c r="BY15" i="8"/>
  <c r="BY24" i="8"/>
  <c r="BY40" i="8"/>
  <c r="BY50" i="8"/>
  <c r="BY6" i="8"/>
  <c r="BY32" i="8"/>
  <c r="BY42" i="8"/>
  <c r="BO51" i="8"/>
  <c r="BW10" i="8"/>
  <c r="BW19" i="8"/>
  <c r="BW36" i="8"/>
  <c r="BW45" i="8"/>
  <c r="BQ51" i="8"/>
  <c r="BW11" i="8"/>
  <c r="BW21" i="8"/>
  <c r="BW37" i="8"/>
  <c r="BW46" i="8"/>
  <c r="BW12" i="8"/>
  <c r="BW22" i="8"/>
  <c r="BW38" i="8"/>
  <c r="BW48" i="8"/>
  <c r="BW13" i="8"/>
  <c r="BW23" i="8"/>
  <c r="BW39" i="8"/>
  <c r="BW49" i="8"/>
  <c r="BW5" i="8"/>
  <c r="BW24" i="8"/>
  <c r="BW40" i="8"/>
  <c r="BW6" i="8"/>
  <c r="BW32" i="8"/>
  <c r="BW42" i="8"/>
  <c r="BO9" i="8"/>
  <c r="BO18" i="8"/>
  <c r="BQ34" i="8"/>
  <c r="BQ44" i="8"/>
  <c r="BM16" i="8"/>
  <c r="BM17" i="8"/>
  <c r="BM51" i="8"/>
  <c r="BO33" i="8"/>
  <c r="BO43" i="8"/>
  <c r="BO7" i="8"/>
  <c r="BO17" i="8"/>
  <c r="BQ33" i="8"/>
  <c r="BQ43" i="8"/>
  <c r="BO10" i="8"/>
  <c r="BO19" i="8"/>
  <c r="BQ36" i="8"/>
  <c r="BQ45" i="8"/>
  <c r="BI16" i="8"/>
  <c r="BO11" i="8"/>
  <c r="BO21" i="8"/>
  <c r="BQ37" i="8"/>
  <c r="BQ46" i="8"/>
  <c r="BO12" i="8"/>
  <c r="BO22" i="8"/>
  <c r="BQ38" i="8"/>
  <c r="BQ48" i="8"/>
  <c r="BM7" i="8"/>
  <c r="BO13" i="8"/>
  <c r="BO23" i="8"/>
  <c r="BQ39" i="8"/>
  <c r="BQ49" i="8"/>
  <c r="BO5" i="8"/>
  <c r="BO15" i="8"/>
  <c r="BO24" i="8"/>
  <c r="BQ40" i="8"/>
  <c r="BQ50" i="8"/>
  <c r="BO6" i="8"/>
  <c r="BQ32" i="8"/>
  <c r="BQ42" i="8"/>
  <c r="BK17" i="8"/>
  <c r="BM33" i="8"/>
  <c r="BM43" i="8"/>
  <c r="BM9" i="8"/>
  <c r="BM18" i="8"/>
  <c r="BO34" i="8"/>
  <c r="BO44" i="8"/>
  <c r="BM10" i="8"/>
  <c r="BM19" i="8"/>
  <c r="BO36" i="8"/>
  <c r="BO45" i="8"/>
  <c r="BM11" i="8"/>
  <c r="BM21" i="8"/>
  <c r="BO37" i="8"/>
  <c r="BO46" i="8"/>
  <c r="BM12" i="8"/>
  <c r="BM22" i="8"/>
  <c r="BO38" i="8"/>
  <c r="BO48" i="8"/>
  <c r="BK7" i="8"/>
  <c r="BM13" i="8"/>
  <c r="BM23" i="8"/>
  <c r="BO39" i="8"/>
  <c r="BO49" i="8"/>
  <c r="BM5" i="8"/>
  <c r="BM15" i="8"/>
  <c r="BM24" i="8"/>
  <c r="BO40" i="8"/>
  <c r="BO50" i="8"/>
  <c r="BK51" i="8"/>
  <c r="BM6" i="8"/>
  <c r="BO32" i="8"/>
  <c r="BO42" i="8"/>
  <c r="BK9" i="8"/>
  <c r="BK18" i="8"/>
  <c r="BM34" i="8"/>
  <c r="BM44" i="8"/>
  <c r="BK10" i="8"/>
  <c r="BK19" i="8"/>
  <c r="BM36" i="8"/>
  <c r="BM45" i="8"/>
  <c r="BK11" i="8"/>
  <c r="BK21" i="8"/>
  <c r="BM37" i="8"/>
  <c r="BM46" i="8"/>
  <c r="BI7" i="8"/>
  <c r="BK12" i="8"/>
  <c r="BK22" i="8"/>
  <c r="BM38" i="8"/>
  <c r="BM48" i="8"/>
  <c r="BI17" i="8"/>
  <c r="BK13" i="8"/>
  <c r="BK23" i="8"/>
  <c r="BM39" i="8"/>
  <c r="BM49" i="8"/>
  <c r="BK5" i="8"/>
  <c r="BK15" i="8"/>
  <c r="BK24" i="8"/>
  <c r="BM40" i="8"/>
  <c r="BM50" i="8"/>
  <c r="BK6" i="8"/>
  <c r="BM32" i="8"/>
  <c r="BM42" i="8"/>
  <c r="BK33" i="8"/>
  <c r="BI9" i="8"/>
  <c r="BI18" i="8"/>
  <c r="BK34" i="8"/>
  <c r="BK44" i="8"/>
  <c r="BI10" i="8"/>
  <c r="BI19" i="8"/>
  <c r="BK36" i="8"/>
  <c r="BK45" i="8"/>
  <c r="BK43" i="8"/>
  <c r="BI11" i="8"/>
  <c r="BI21" i="8"/>
  <c r="BK37" i="8"/>
  <c r="BK46" i="8"/>
  <c r="BI12" i="8"/>
  <c r="BI22" i="8"/>
  <c r="BK38" i="8"/>
  <c r="BK48" i="8"/>
  <c r="BI13" i="8"/>
  <c r="BI23" i="8"/>
  <c r="BK39" i="8"/>
  <c r="BK49" i="8"/>
  <c r="BI5" i="8"/>
  <c r="BI15" i="8"/>
  <c r="BI24" i="8"/>
  <c r="BK40" i="8"/>
  <c r="BK50" i="8"/>
  <c r="BI6" i="8"/>
  <c r="BK32" i="8"/>
  <c r="BK42" i="8"/>
  <c r="BB19" i="8"/>
  <c r="BB10" i="8"/>
  <c r="BB42" i="8"/>
  <c r="BB52" i="8"/>
  <c r="BB43" i="8"/>
  <c r="BB33" i="8"/>
  <c r="BB48" i="8"/>
  <c r="BB39" i="8"/>
  <c r="AZ53" i="8"/>
  <c r="BB20" i="8"/>
  <c r="BB51" i="8"/>
  <c r="BB38" i="8"/>
  <c r="BB25" i="8"/>
  <c r="BB16" i="8"/>
  <c r="BB6" i="8"/>
  <c r="BB23" i="8"/>
  <c r="BB18" i="8"/>
  <c r="BB47" i="8"/>
  <c r="BB24" i="8"/>
  <c r="AS18" i="8"/>
  <c r="AZ45" i="8"/>
  <c r="BB32" i="8"/>
  <c r="AZ20" i="8"/>
  <c r="AZ47" i="8"/>
  <c r="AZ38" i="8"/>
  <c r="AS53" i="8"/>
  <c r="BB21" i="8"/>
  <c r="BB12" i="8"/>
  <c r="BB5" i="8"/>
  <c r="BB37" i="8"/>
  <c r="BB9" i="8"/>
  <c r="BB13" i="8"/>
  <c r="BB53" i="8"/>
  <c r="BB15" i="8"/>
  <c r="BB46" i="8"/>
  <c r="AZ36" i="8"/>
  <c r="BB36" i="8"/>
  <c r="BB45" i="8"/>
  <c r="AS20" i="8"/>
  <c r="BB7" i="8"/>
  <c r="BB17" i="8"/>
  <c r="BB26" i="8"/>
  <c r="BB40" i="8"/>
  <c r="BB50" i="8"/>
  <c r="AQ37" i="8"/>
  <c r="BB11" i="8"/>
  <c r="BB34" i="8"/>
  <c r="BB44" i="8"/>
  <c r="AZ12" i="8"/>
  <c r="AZ21" i="8"/>
  <c r="AZ13" i="8"/>
  <c r="AZ23" i="8"/>
  <c r="AZ46" i="8"/>
  <c r="AS23" i="8"/>
  <c r="AZ6" i="8"/>
  <c r="AZ16" i="8"/>
  <c r="AZ25" i="8"/>
  <c r="AZ39" i="8"/>
  <c r="AZ48" i="8"/>
  <c r="AZ7" i="8"/>
  <c r="AZ17" i="8"/>
  <c r="AZ26" i="8"/>
  <c r="AZ40" i="8"/>
  <c r="AZ50" i="8"/>
  <c r="AZ24" i="8"/>
  <c r="AZ9" i="8"/>
  <c r="AZ18" i="8"/>
  <c r="AZ32" i="8"/>
  <c r="AZ42" i="8"/>
  <c r="AZ51" i="8"/>
  <c r="AZ5" i="8"/>
  <c r="AZ10" i="8"/>
  <c r="AZ19" i="8"/>
  <c r="AZ33" i="8"/>
  <c r="AZ43" i="8"/>
  <c r="AZ52" i="8"/>
  <c r="AZ15" i="8"/>
  <c r="AZ11" i="8"/>
  <c r="AZ34" i="8"/>
  <c r="AZ44" i="8"/>
  <c r="AM42" i="8"/>
  <c r="AS19" i="8"/>
  <c r="AQ39" i="8"/>
  <c r="AS24" i="8"/>
  <c r="AS10" i="8"/>
  <c r="AQ53" i="8"/>
  <c r="AS6" i="8"/>
  <c r="AS9" i="8"/>
  <c r="AS25" i="8"/>
  <c r="AQ44" i="8"/>
  <c r="AQ34" i="8"/>
  <c r="AS16" i="8"/>
  <c r="AS15" i="8"/>
  <c r="AQ48" i="8"/>
  <c r="AS21" i="8"/>
  <c r="AS36" i="8"/>
  <c r="AS45" i="8"/>
  <c r="AQ20" i="8"/>
  <c r="AQ23" i="8"/>
  <c r="AS38" i="8"/>
  <c r="AS47" i="8"/>
  <c r="AS46" i="8"/>
  <c r="AS39" i="8"/>
  <c r="AS48" i="8"/>
  <c r="AS7" i="8"/>
  <c r="AS17" i="8"/>
  <c r="AS26" i="8"/>
  <c r="AS40" i="8"/>
  <c r="AS50" i="8"/>
  <c r="AS32" i="8"/>
  <c r="AS42" i="8"/>
  <c r="AS51" i="8"/>
  <c r="AS37" i="8"/>
  <c r="AS33" i="8"/>
  <c r="AS43" i="8"/>
  <c r="AQ46" i="8"/>
  <c r="AS11" i="8"/>
  <c r="AS34" i="8"/>
  <c r="AS44" i="8"/>
  <c r="AQ21" i="8"/>
  <c r="AQ36" i="8"/>
  <c r="AQ45" i="8"/>
  <c r="AQ5" i="8"/>
  <c r="AQ15" i="8"/>
  <c r="AQ24" i="8"/>
  <c r="AQ38" i="8"/>
  <c r="AQ47" i="8"/>
  <c r="AQ6" i="8"/>
  <c r="AQ16" i="8"/>
  <c r="AQ25" i="8"/>
  <c r="AQ7" i="8"/>
  <c r="AQ17" i="8"/>
  <c r="AQ26" i="8"/>
  <c r="AQ40" i="8"/>
  <c r="AQ50" i="8"/>
  <c r="AK25" i="8"/>
  <c r="AK20" i="8"/>
  <c r="AK16" i="8"/>
  <c r="AK11" i="8"/>
  <c r="AQ9" i="8"/>
  <c r="AQ18" i="8"/>
  <c r="AQ32" i="8"/>
  <c r="AQ42" i="8"/>
  <c r="AQ51" i="8"/>
  <c r="AQ10" i="8"/>
  <c r="AQ19" i="8"/>
  <c r="AQ33" i="8"/>
  <c r="AQ43" i="8"/>
  <c r="AQ11" i="8"/>
  <c r="AM20" i="8"/>
  <c r="AK19" i="8"/>
  <c r="AM38" i="8"/>
  <c r="AK45" i="8"/>
  <c r="Z17" i="8"/>
  <c r="AK10" i="8"/>
  <c r="AK6" i="8"/>
  <c r="AM18" i="8"/>
  <c r="AM23" i="8"/>
  <c r="AM24" i="8"/>
  <c r="AM51" i="8"/>
  <c r="AI20" i="8"/>
  <c r="AM32" i="8"/>
  <c r="AG24" i="8"/>
  <c r="AM5" i="8"/>
  <c r="AM37" i="8"/>
  <c r="AM9" i="8"/>
  <c r="AM53" i="8"/>
  <c r="AM46" i="8"/>
  <c r="AK53" i="8"/>
  <c r="AM15" i="8"/>
  <c r="AM47" i="8"/>
  <c r="AK18" i="8"/>
  <c r="AK5" i="8"/>
  <c r="AK36" i="8"/>
  <c r="AM21" i="8"/>
  <c r="AM36" i="8"/>
  <c r="AM45" i="8"/>
  <c r="AM6" i="8"/>
  <c r="AM16" i="8"/>
  <c r="AM25" i="8"/>
  <c r="AM39" i="8"/>
  <c r="AM48" i="8"/>
  <c r="AK15" i="8"/>
  <c r="AM7" i="8"/>
  <c r="AM17" i="8"/>
  <c r="AM26" i="8"/>
  <c r="AM40" i="8"/>
  <c r="AM50" i="8"/>
  <c r="AI46" i="8"/>
  <c r="AK21" i="8"/>
  <c r="AM10" i="8"/>
  <c r="AM19" i="8"/>
  <c r="AM33" i="8"/>
  <c r="AM43" i="8"/>
  <c r="AG37" i="8"/>
  <c r="AI45" i="8"/>
  <c r="AK24" i="8"/>
  <c r="AM11" i="8"/>
  <c r="AM34" i="8"/>
  <c r="AM44" i="8"/>
  <c r="AG34" i="8"/>
  <c r="AK23" i="8"/>
  <c r="AK37" i="8"/>
  <c r="AK46" i="8"/>
  <c r="AG39" i="8"/>
  <c r="AG32" i="8"/>
  <c r="AK38" i="8"/>
  <c r="AK47" i="8"/>
  <c r="AG53" i="8"/>
  <c r="AG15" i="8"/>
  <c r="Z45" i="8"/>
  <c r="AK39" i="8"/>
  <c r="AK48" i="8"/>
  <c r="AK7" i="8"/>
  <c r="AK17" i="8"/>
  <c r="AK26" i="8"/>
  <c r="AK40" i="8"/>
  <c r="AK50" i="8"/>
  <c r="V23" i="8"/>
  <c r="AI21" i="8"/>
  <c r="AK9" i="8"/>
  <c r="AK32" i="8"/>
  <c r="AK42" i="8"/>
  <c r="AK51" i="8"/>
  <c r="AG33" i="8"/>
  <c r="AI23" i="8"/>
  <c r="AK33" i="8"/>
  <c r="AK43" i="8"/>
  <c r="AG44" i="8"/>
  <c r="AG48" i="8"/>
  <c r="AI53" i="8"/>
  <c r="Z36" i="8"/>
  <c r="AI36" i="8"/>
  <c r="AK34" i="8"/>
  <c r="AK44" i="8"/>
  <c r="AI5" i="8"/>
  <c r="AI15" i="8"/>
  <c r="AI24" i="8"/>
  <c r="AI38" i="8"/>
  <c r="AI47" i="8"/>
  <c r="AG51" i="8"/>
  <c r="AG10" i="8"/>
  <c r="AG38" i="8"/>
  <c r="AI6" i="8"/>
  <c r="AI16" i="8"/>
  <c r="AI25" i="8"/>
  <c r="AI39" i="8"/>
  <c r="AI48" i="8"/>
  <c r="AG43" i="8"/>
  <c r="AI7" i="8"/>
  <c r="AI17" i="8"/>
  <c r="AI26" i="8"/>
  <c r="AI40" i="8"/>
  <c r="AI50" i="8"/>
  <c r="AG46" i="8"/>
  <c r="AI9" i="8"/>
  <c r="AI18" i="8"/>
  <c r="AI32" i="8"/>
  <c r="AI42" i="8"/>
  <c r="AI51" i="8"/>
  <c r="AG20" i="8"/>
  <c r="AG19" i="8"/>
  <c r="AG47" i="8"/>
  <c r="AI10" i="8"/>
  <c r="AI19" i="8"/>
  <c r="AI33" i="8"/>
  <c r="AI43" i="8"/>
  <c r="AG23" i="8"/>
  <c r="AG5" i="8"/>
  <c r="AI11" i="8"/>
  <c r="AI34" i="8"/>
  <c r="AI44" i="8"/>
  <c r="Z24" i="8"/>
  <c r="AG21" i="8"/>
  <c r="AG36" i="8"/>
  <c r="AG45" i="8"/>
  <c r="Z5" i="8"/>
  <c r="AG6" i="8"/>
  <c r="AG16" i="8"/>
  <c r="AG25" i="8"/>
  <c r="Z10" i="8"/>
  <c r="AG7" i="8"/>
  <c r="AG17" i="8"/>
  <c r="AG26" i="8"/>
  <c r="AG40" i="8"/>
  <c r="AG50" i="8"/>
  <c r="Z12" i="8"/>
  <c r="AG9" i="8"/>
  <c r="AG18" i="8"/>
  <c r="AG42" i="8"/>
  <c r="Z15" i="8"/>
  <c r="Z19" i="8"/>
  <c r="AG11" i="8"/>
  <c r="Z53" i="8"/>
  <c r="Z20" i="8"/>
  <c r="Z21" i="8"/>
  <c r="V5" i="8"/>
  <c r="V24" i="8"/>
  <c r="Z7" i="8"/>
  <c r="Z26" i="8"/>
  <c r="V15" i="8"/>
  <c r="Z13" i="8"/>
  <c r="Z23" i="8"/>
  <c r="Z37" i="8"/>
  <c r="Z46" i="8"/>
  <c r="Z38" i="8"/>
  <c r="Z47" i="8"/>
  <c r="R13" i="8"/>
  <c r="X20" i="8"/>
  <c r="Z6" i="8"/>
  <c r="Z16" i="8"/>
  <c r="Z25" i="8"/>
  <c r="Z39" i="8"/>
  <c r="Z48" i="8"/>
  <c r="Z40" i="8"/>
  <c r="Z50" i="8"/>
  <c r="T21" i="8"/>
  <c r="Z9" i="8"/>
  <c r="Z18" i="8"/>
  <c r="Z32" i="8"/>
  <c r="Z42" i="8"/>
  <c r="Z51" i="8"/>
  <c r="Z33" i="8"/>
  <c r="Z43" i="8"/>
  <c r="Z52" i="8"/>
  <c r="Z11" i="8"/>
  <c r="Z34" i="8"/>
  <c r="Z44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2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2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2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2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T23" i="8"/>
  <c r="AA15" i="8"/>
  <c r="F13" i="8"/>
  <c r="F23" i="8"/>
  <c r="AT24" i="8"/>
  <c r="AT19" i="8"/>
  <c r="AT15" i="8"/>
  <c r="O40" i="18" s="1"/>
  <c r="P40" i="18" s="1"/>
  <c r="AT11" i="8"/>
  <c r="F5" i="8"/>
  <c r="F15" i="8"/>
  <c r="F24" i="8"/>
  <c r="F6" i="8"/>
  <c r="F16" i="8"/>
  <c r="F25" i="8"/>
  <c r="AT17" i="8"/>
  <c r="F7" i="8"/>
  <c r="F17" i="8"/>
  <c r="F26" i="8"/>
  <c r="K57" i="1"/>
  <c r="K42" i="1"/>
  <c r="K110" i="1" s="1"/>
  <c r="F9" i="8"/>
  <c r="F18" i="8"/>
  <c r="F32" i="8"/>
  <c r="F10" i="8"/>
  <c r="F19" i="8"/>
  <c r="F11" i="8"/>
  <c r="K56" i="1"/>
  <c r="K120" i="1" s="1"/>
  <c r="AT18" i="8"/>
  <c r="AT16" i="8"/>
  <c r="AT9" i="8"/>
  <c r="O34" i="18" s="1"/>
  <c r="P34" i="18" s="1"/>
  <c r="AT10" i="8"/>
  <c r="AT5" i="8"/>
  <c r="O30" i="18" s="1"/>
  <c r="P30" i="18" s="1"/>
  <c r="AT6" i="8"/>
  <c r="K63" i="1"/>
  <c r="K127" i="1" s="1"/>
  <c r="AA16" i="8"/>
  <c r="AA17" i="8"/>
  <c r="CF42" i="8"/>
  <c r="CF32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F22" i="8"/>
  <c r="I27" i="1" s="1"/>
  <c r="CF10" i="8"/>
  <c r="I9" i="1" s="1"/>
  <c r="L35" i="18" s="1"/>
  <c r="M35" i="18" s="1"/>
  <c r="CF48" i="8"/>
  <c r="CF38" i="8"/>
  <c r="CF6" i="8"/>
  <c r="I5" i="1" s="1"/>
  <c r="CF11" i="8"/>
  <c r="I10" i="1" s="1"/>
  <c r="CF49" i="8"/>
  <c r="CF5" i="8"/>
  <c r="CF36" i="8"/>
  <c r="CF9" i="8"/>
  <c r="CF16" i="8"/>
  <c r="I20" i="1" s="1"/>
  <c r="CF43" i="8"/>
  <c r="CF33" i="8"/>
  <c r="CF37" i="8"/>
  <c r="CF21" i="8"/>
  <c r="I26" i="1" s="1"/>
  <c r="CF17" i="8"/>
  <c r="I21" i="1" s="1"/>
  <c r="BP11" i="8"/>
  <c r="G10" i="1" s="1"/>
  <c r="BP22" i="8"/>
  <c r="G27" i="1" s="1"/>
  <c r="BP6" i="8"/>
  <c r="G5" i="1" s="1"/>
  <c r="BP16" i="8"/>
  <c r="BP10" i="8"/>
  <c r="G9" i="1" s="1"/>
  <c r="I35" i="18" s="1"/>
  <c r="J35" i="18" s="1"/>
  <c r="BP17" i="8"/>
  <c r="G21" i="1" s="1"/>
  <c r="BP21" i="8"/>
  <c r="G26" i="1" s="1"/>
  <c r="BP9" i="8"/>
  <c r="BC33" i="8"/>
  <c r="M42" i="1" s="1"/>
  <c r="M110" i="1" s="1"/>
  <c r="BC51" i="8"/>
  <c r="M64" i="1" s="1"/>
  <c r="M128" i="1" s="1"/>
  <c r="BC42" i="8"/>
  <c r="BC32" i="8"/>
  <c r="BC17" i="8"/>
  <c r="BC9" i="8"/>
  <c r="R34" i="18" s="1"/>
  <c r="BC6" i="8"/>
  <c r="BC16" i="8"/>
  <c r="BC11" i="8"/>
  <c r="BC24" i="8"/>
  <c r="BC43" i="8"/>
  <c r="M56" i="1" s="1"/>
  <c r="M120" i="1" s="1"/>
  <c r="BC37" i="8"/>
  <c r="M46" i="1" s="1"/>
  <c r="M114" i="1" s="1"/>
  <c r="BC19" i="8"/>
  <c r="BC18" i="8"/>
  <c r="BC50" i="8"/>
  <c r="M63" i="1" s="1"/>
  <c r="M127" i="1" s="1"/>
  <c r="BC45" i="8"/>
  <c r="M58" i="1" s="1"/>
  <c r="M122" i="1" s="1"/>
  <c r="BC36" i="8"/>
  <c r="BC44" i="8"/>
  <c r="M57" i="1" s="1"/>
  <c r="M121" i="1" s="1"/>
  <c r="BC46" i="8"/>
  <c r="M59" i="1" s="1"/>
  <c r="M123" i="1" s="1"/>
  <c r="BC23" i="8"/>
  <c r="BC5" i="8"/>
  <c r="R30" i="18" s="1"/>
  <c r="S30" i="18" s="1"/>
  <c r="BC10" i="8"/>
  <c r="BC15" i="8"/>
  <c r="R40" i="18" s="1"/>
  <c r="S40" i="18" s="1"/>
  <c r="BC38" i="8"/>
  <c r="M47" i="1" s="1"/>
  <c r="M115" i="1" s="1"/>
  <c r="X51" i="8"/>
  <c r="X52" i="8"/>
  <c r="X53" i="8"/>
  <c r="V51" i="8"/>
  <c r="V52" i="8"/>
  <c r="V53" i="8"/>
  <c r="T51" i="8"/>
  <c r="T52" i="8"/>
  <c r="T53" i="8"/>
  <c r="R51" i="8"/>
  <c r="R52" i="8"/>
  <c r="R53" i="8"/>
  <c r="P51" i="8"/>
  <c r="P52" i="8"/>
  <c r="P53" i="8"/>
  <c r="X50" i="8"/>
  <c r="V50" i="8"/>
  <c r="T50" i="8"/>
  <c r="R50" i="8"/>
  <c r="P50" i="8"/>
  <c r="X43" i="8"/>
  <c r="X44" i="8"/>
  <c r="X45" i="8"/>
  <c r="X46" i="8"/>
  <c r="X47" i="8"/>
  <c r="X48" i="8"/>
  <c r="V43" i="8"/>
  <c r="V44" i="8"/>
  <c r="V45" i="8"/>
  <c r="V46" i="8"/>
  <c r="V47" i="8"/>
  <c r="V48" i="8"/>
  <c r="T43" i="8"/>
  <c r="T44" i="8"/>
  <c r="T45" i="8"/>
  <c r="T46" i="8"/>
  <c r="T47" i="8"/>
  <c r="T48" i="8"/>
  <c r="R43" i="8"/>
  <c r="R44" i="8"/>
  <c r="R45" i="8"/>
  <c r="R46" i="8"/>
  <c r="R47" i="8"/>
  <c r="R48" i="8"/>
  <c r="P43" i="8"/>
  <c r="P44" i="8"/>
  <c r="P45" i="8"/>
  <c r="P46" i="8"/>
  <c r="P47" i="8"/>
  <c r="P48" i="8"/>
  <c r="X42" i="8"/>
  <c r="V42" i="8"/>
  <c r="T42" i="8"/>
  <c r="R42" i="8"/>
  <c r="P42" i="8"/>
  <c r="P36" i="8"/>
  <c r="X37" i="8"/>
  <c r="X38" i="8"/>
  <c r="X39" i="8"/>
  <c r="X40" i="8"/>
  <c r="V37" i="8"/>
  <c r="V38" i="8"/>
  <c r="V39" i="8"/>
  <c r="V40" i="8"/>
  <c r="T37" i="8"/>
  <c r="T38" i="8"/>
  <c r="T39" i="8"/>
  <c r="T40" i="8"/>
  <c r="R37" i="8"/>
  <c r="R38" i="8"/>
  <c r="R39" i="8"/>
  <c r="R40" i="8"/>
  <c r="P37" i="8"/>
  <c r="P38" i="8"/>
  <c r="P39" i="8"/>
  <c r="P40" i="8"/>
  <c r="X36" i="8"/>
  <c r="V36" i="8"/>
  <c r="T36" i="8"/>
  <c r="R36" i="8"/>
  <c r="X33" i="8"/>
  <c r="X34" i="8"/>
  <c r="V33" i="8"/>
  <c r="V34" i="8"/>
  <c r="T33" i="8"/>
  <c r="T34" i="8"/>
  <c r="R33" i="8"/>
  <c r="R34" i="8"/>
  <c r="P33" i="8"/>
  <c r="P34" i="8"/>
  <c r="F51" i="8"/>
  <c r="H51" i="8"/>
  <c r="J51" i="8"/>
  <c r="F52" i="8"/>
  <c r="H52" i="8"/>
  <c r="J52" i="8"/>
  <c r="F53" i="8"/>
  <c r="H53" i="8"/>
  <c r="J53" i="8"/>
  <c r="F43" i="8"/>
  <c r="H43" i="8"/>
  <c r="J43" i="8"/>
  <c r="F44" i="8"/>
  <c r="H44" i="8"/>
  <c r="J44" i="8"/>
  <c r="F45" i="8"/>
  <c r="H45" i="8"/>
  <c r="J45" i="8"/>
  <c r="F46" i="8"/>
  <c r="H46" i="8"/>
  <c r="J46" i="8"/>
  <c r="F47" i="8"/>
  <c r="H47" i="8"/>
  <c r="J47" i="8"/>
  <c r="F48" i="8"/>
  <c r="H48" i="8"/>
  <c r="J48" i="8"/>
  <c r="F37" i="8"/>
  <c r="H37" i="8"/>
  <c r="J37" i="8"/>
  <c r="F38" i="8"/>
  <c r="H38" i="8"/>
  <c r="J38" i="8"/>
  <c r="F39" i="8"/>
  <c r="H39" i="8"/>
  <c r="J39" i="8"/>
  <c r="F40" i="8"/>
  <c r="H40" i="8"/>
  <c r="J40" i="8"/>
  <c r="F33" i="8"/>
  <c r="H33" i="8"/>
  <c r="J33" i="8"/>
  <c r="F34" i="8"/>
  <c r="H34" i="8"/>
  <c r="J34" i="8"/>
  <c r="J50" i="8"/>
  <c r="H50" i="8"/>
  <c r="F50" i="8"/>
  <c r="J42" i="8"/>
  <c r="H42" i="8"/>
  <c r="F42" i="8"/>
  <c r="J36" i="8"/>
  <c r="H36" i="8"/>
  <c r="F36" i="8"/>
  <c r="K32" i="8"/>
  <c r="K6" i="8"/>
  <c r="K10" i="8"/>
  <c r="K11" i="8"/>
  <c r="K9" i="8"/>
  <c r="K16" i="8"/>
  <c r="K17" i="8"/>
  <c r="K18" i="8"/>
  <c r="K19" i="8"/>
  <c r="K15" i="8"/>
  <c r="K23" i="8"/>
  <c r="M5" i="1" l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F45" i="8"/>
  <c r="CG45" i="8" s="1"/>
  <c r="CF39" i="8"/>
  <c r="CG39" i="8" s="1"/>
  <c r="CF34" i="8"/>
  <c r="I19" i="1"/>
  <c r="L41" i="18" s="1"/>
  <c r="M41" i="18" s="1"/>
  <c r="CF18" i="8"/>
  <c r="CG18" i="8" s="1"/>
  <c r="I8" i="1"/>
  <c r="CF12" i="8"/>
  <c r="CG12" i="8" s="1"/>
  <c r="F8" i="6"/>
  <c r="I4" i="1"/>
  <c r="CF7" i="8"/>
  <c r="CG7" i="8" s="1"/>
  <c r="G20" i="1"/>
  <c r="BP18" i="8"/>
  <c r="BQ18" i="8" s="1"/>
  <c r="G8" i="1"/>
  <c r="BP12" i="8"/>
  <c r="BQ12" i="8" s="1"/>
  <c r="E8" i="6"/>
  <c r="BP7" i="8"/>
  <c r="BQ7" i="8" s="1"/>
  <c r="M55" i="1"/>
  <c r="BC47" i="8"/>
  <c r="BD47" i="8" s="1"/>
  <c r="M45" i="1"/>
  <c r="M113" i="1" s="1"/>
  <c r="BC39" i="8"/>
  <c r="BD39" i="8" s="1"/>
  <c r="M41" i="1"/>
  <c r="M109" i="1" s="1"/>
  <c r="BC34" i="8"/>
  <c r="M18" i="1"/>
  <c r="BC20" i="8"/>
  <c r="M8" i="1"/>
  <c r="BC12" i="8"/>
  <c r="BD12" i="8" s="1"/>
  <c r="M4" i="1"/>
  <c r="R4" i="18" s="1"/>
  <c r="S4" i="18" s="1"/>
  <c r="BC7" i="8"/>
  <c r="K55" i="1"/>
  <c r="AT47" i="8"/>
  <c r="AU47" i="8" s="1"/>
  <c r="K45" i="1"/>
  <c r="K113" i="1" s="1"/>
  <c r="AU39" i="8"/>
  <c r="K41" i="1"/>
  <c r="K109" i="1" s="1"/>
  <c r="AT34" i="8"/>
  <c r="AU34" i="8" s="1"/>
  <c r="K18" i="1"/>
  <c r="AT20" i="8"/>
  <c r="K8" i="1"/>
  <c r="AT12" i="8"/>
  <c r="K4" i="1"/>
  <c r="AT7" i="8"/>
  <c r="E18" i="1"/>
  <c r="AA21" i="8"/>
  <c r="K12" i="8"/>
  <c r="L12" i="8" s="1"/>
  <c r="K7" i="8"/>
  <c r="I56" i="9"/>
  <c r="K20" i="8"/>
  <c r="CF44" i="8"/>
  <c r="CG44" i="8" s="1"/>
  <c r="BW15" i="8"/>
  <c r="CG16" i="8"/>
  <c r="CG6" i="8"/>
  <c r="CG15" i="8"/>
  <c r="CG5" i="8"/>
  <c r="CG22" i="8"/>
  <c r="CG21" i="8"/>
  <c r="CG11" i="8"/>
  <c r="CG10" i="8"/>
  <c r="CG17" i="8"/>
  <c r="CG9" i="8"/>
  <c r="CG42" i="8"/>
  <c r="CG32" i="8"/>
  <c r="CG49" i="8"/>
  <c r="CG48" i="8"/>
  <c r="CG38" i="8"/>
  <c r="CG37" i="8"/>
  <c r="CG36" i="8"/>
  <c r="CG33" i="8"/>
  <c r="CG43" i="8"/>
  <c r="BQ16" i="8"/>
  <c r="BQ6" i="8"/>
  <c r="BQ15" i="8"/>
  <c r="BQ5" i="8"/>
  <c r="BQ22" i="8"/>
  <c r="BQ21" i="8"/>
  <c r="BQ11" i="8"/>
  <c r="BQ10" i="8"/>
  <c r="BQ9" i="8"/>
  <c r="BQ17" i="8"/>
  <c r="BS51" i="8"/>
  <c r="BS42" i="8"/>
  <c r="BS32" i="8"/>
  <c r="BS50" i="8"/>
  <c r="BS40" i="8"/>
  <c r="BS49" i="8"/>
  <c r="BS39" i="8"/>
  <c r="BS48" i="8"/>
  <c r="BS38" i="8"/>
  <c r="BS34" i="8"/>
  <c r="BS46" i="8"/>
  <c r="BS37" i="8"/>
  <c r="BS44" i="8"/>
  <c r="BS45" i="8"/>
  <c r="BS36" i="8"/>
  <c r="BS43" i="8"/>
  <c r="BS33" i="8"/>
  <c r="BD11" i="8"/>
  <c r="BD19" i="8"/>
  <c r="BD10" i="8"/>
  <c r="BD18" i="8"/>
  <c r="BD9" i="8"/>
  <c r="BD23" i="8"/>
  <c r="BD17" i="8"/>
  <c r="BD16" i="8"/>
  <c r="BD6" i="8"/>
  <c r="BD24" i="8"/>
  <c r="BD15" i="8"/>
  <c r="BD5" i="8"/>
  <c r="BD44" i="8"/>
  <c r="BD34" i="8"/>
  <c r="BD43" i="8"/>
  <c r="BD33" i="8"/>
  <c r="BD51" i="8"/>
  <c r="BD42" i="8"/>
  <c r="BD32" i="8"/>
  <c r="BD50" i="8"/>
  <c r="BD46" i="8"/>
  <c r="BD37" i="8"/>
  <c r="BD38" i="8"/>
  <c r="BD45" i="8"/>
  <c r="BD36" i="8"/>
  <c r="AU44" i="8"/>
  <c r="AU43" i="8"/>
  <c r="AU33" i="8"/>
  <c r="AU51" i="8"/>
  <c r="AU42" i="8"/>
  <c r="AU32" i="8"/>
  <c r="AU50" i="8"/>
  <c r="AU38" i="8"/>
  <c r="AU36" i="8"/>
  <c r="AU46" i="8"/>
  <c r="AU37" i="8"/>
  <c r="AU45" i="8"/>
  <c r="AU11" i="8"/>
  <c r="AU19" i="8"/>
  <c r="AU10" i="8"/>
  <c r="AU18" i="8"/>
  <c r="AU9" i="8"/>
  <c r="AU17" i="8"/>
  <c r="AU16" i="8"/>
  <c r="AU6" i="8"/>
  <c r="AU24" i="8"/>
  <c r="AU15" i="8"/>
  <c r="AU5" i="8"/>
  <c r="AU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2" i="8"/>
  <c r="K33" i="8"/>
  <c r="K37" i="8"/>
  <c r="K45" i="8"/>
  <c r="K43" i="8"/>
  <c r="L11" i="8"/>
  <c r="L19" i="8"/>
  <c r="L10" i="8"/>
  <c r="L18" i="8"/>
  <c r="L9" i="8"/>
  <c r="L17" i="8"/>
  <c r="L16" i="8"/>
  <c r="L6" i="8"/>
  <c r="L15" i="8"/>
  <c r="L5" i="8"/>
  <c r="L23" i="8"/>
  <c r="L32" i="8"/>
  <c r="K38" i="8"/>
  <c r="K46" i="8"/>
  <c r="K44" i="8"/>
  <c r="K51" i="8"/>
  <c r="K42" i="8"/>
  <c r="K50" i="8"/>
  <c r="K36" i="8"/>
  <c r="D51" i="8"/>
  <c r="D42" i="8"/>
  <c r="D32" i="8"/>
  <c r="D50" i="8"/>
  <c r="D40" i="8"/>
  <c r="D48" i="8"/>
  <c r="D39" i="8"/>
  <c r="D47" i="8"/>
  <c r="D38" i="8"/>
  <c r="D46" i="8"/>
  <c r="D37" i="8"/>
  <c r="D45" i="8"/>
  <c r="D36" i="8"/>
  <c r="D53" i="8"/>
  <c r="D44" i="8"/>
  <c r="D34" i="8"/>
  <c r="D52" i="8"/>
  <c r="D43" i="8"/>
  <c r="D33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4" i="8"/>
  <c r="AB33" i="8"/>
  <c r="AA38" i="8"/>
  <c r="AB37" i="8"/>
  <c r="AA44" i="8"/>
  <c r="AA50" i="8"/>
  <c r="AA51" i="8"/>
  <c r="AA43" i="8"/>
  <c r="AB36" i="8"/>
  <c r="AA42" i="8"/>
  <c r="AA46" i="8"/>
  <c r="AA45" i="8"/>
  <c r="AU12" i="8" l="1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U20" i="8"/>
  <c r="O45" i="18"/>
  <c r="P45" i="18" s="1"/>
  <c r="BD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AA25" i="8"/>
  <c r="F46" i="18"/>
  <c r="G46" i="18" s="1"/>
  <c r="L4" i="18"/>
  <c r="M4" i="18" s="1"/>
  <c r="L30" i="18"/>
  <c r="U43" i="18"/>
  <c r="V43" i="18" s="1"/>
  <c r="AU7" i="8"/>
  <c r="O32" i="18"/>
  <c r="P32" i="18" s="1"/>
  <c r="BD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L7" i="8"/>
  <c r="K119" i="1"/>
  <c r="K60" i="1"/>
  <c r="K21" i="8"/>
  <c r="E23" i="1"/>
  <c r="M119" i="1"/>
  <c r="M60" i="1"/>
  <c r="CF40" i="8"/>
  <c r="CG40" i="8" s="1"/>
  <c r="CG34" i="8"/>
  <c r="CF13" i="8"/>
  <c r="CG13" i="8" s="1"/>
  <c r="I11" i="1"/>
  <c r="BP13" i="8"/>
  <c r="BQ13" i="8" s="1"/>
  <c r="H4" i="1"/>
  <c r="H5" i="1"/>
  <c r="BC40" i="8"/>
  <c r="BD40" i="8" s="1"/>
  <c r="BC13" i="8"/>
  <c r="AT13" i="8"/>
  <c r="AT40" i="8"/>
  <c r="AU40" i="8" s="1"/>
  <c r="L26" i="1"/>
  <c r="L27" i="1"/>
  <c r="AB51" i="8"/>
  <c r="E64" i="1"/>
  <c r="E128" i="1" s="1"/>
  <c r="AB50" i="8"/>
  <c r="E63" i="1"/>
  <c r="E127" i="1" s="1"/>
  <c r="AB46" i="8"/>
  <c r="E59" i="1"/>
  <c r="E123" i="1" s="1"/>
  <c r="AB45" i="8"/>
  <c r="E58" i="1"/>
  <c r="AB44" i="8"/>
  <c r="E57" i="1"/>
  <c r="AB43" i="8"/>
  <c r="E56" i="1"/>
  <c r="E120" i="1" s="1"/>
  <c r="AB42" i="8"/>
  <c r="E55" i="1"/>
  <c r="AA47" i="8"/>
  <c r="AB47" i="8" s="1"/>
  <c r="AB38" i="8"/>
  <c r="E47" i="1"/>
  <c r="E115" i="1" s="1"/>
  <c r="AA39" i="8"/>
  <c r="AB20" i="8"/>
  <c r="AB21" i="8"/>
  <c r="L51" i="8"/>
  <c r="L50" i="8"/>
  <c r="L46" i="8"/>
  <c r="L45" i="8"/>
  <c r="L43" i="8"/>
  <c r="L42" i="8"/>
  <c r="K47" i="8"/>
  <c r="L38" i="8"/>
  <c r="L37" i="8"/>
  <c r="L33" i="8"/>
  <c r="K34" i="8"/>
  <c r="L34" i="8" s="1"/>
  <c r="L20" i="8"/>
  <c r="L36" i="8"/>
  <c r="K39" i="8"/>
  <c r="L44" i="8"/>
  <c r="K24" i="8"/>
  <c r="AB25" i="8" l="1"/>
  <c r="F50" i="18"/>
  <c r="G50" i="18" s="1"/>
  <c r="M34" i="18"/>
  <c r="L37" i="18"/>
  <c r="M37" i="18" s="1"/>
  <c r="L24" i="8"/>
  <c r="AU13" i="8"/>
  <c r="O38" i="18"/>
  <c r="P38" i="18" s="1"/>
  <c r="J34" i="18"/>
  <c r="I37" i="18"/>
  <c r="J37" i="18" s="1"/>
  <c r="U34" i="18"/>
  <c r="V34" i="18" s="1"/>
  <c r="BD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BC26" i="8"/>
  <c r="E119" i="1"/>
  <c r="E60" i="1"/>
  <c r="CF46" i="8"/>
  <c r="CF51" i="8"/>
  <c r="CG51" i="8" s="1"/>
  <c r="CF24" i="8"/>
  <c r="CG24" i="8" s="1"/>
  <c r="CF19" i="8"/>
  <c r="CF23" i="8" s="1"/>
  <c r="CG23" i="8" s="1"/>
  <c r="BP19" i="8"/>
  <c r="BP23" i="8" s="1"/>
  <c r="BQ23" i="8" s="1"/>
  <c r="BP24" i="8"/>
  <c r="BQ24" i="8" s="1"/>
  <c r="BC48" i="8"/>
  <c r="BC52" i="8" s="1"/>
  <c r="BD52" i="8" s="1"/>
  <c r="BC53" i="8"/>
  <c r="BD53" i="8" s="1"/>
  <c r="BC21" i="8"/>
  <c r="AT21" i="8"/>
  <c r="AT26" i="8"/>
  <c r="AT48" i="8"/>
  <c r="AT52" i="8" s="1"/>
  <c r="AU52" i="8" s="1"/>
  <c r="AT53" i="8"/>
  <c r="AU53" i="8" s="1"/>
  <c r="AA40" i="8"/>
  <c r="AB39" i="8"/>
  <c r="K40" i="8"/>
  <c r="K48" i="8" s="1"/>
  <c r="L39" i="8"/>
  <c r="L47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D26" i="8" l="1"/>
  <c r="R51" i="18"/>
  <c r="S51" i="18" s="1"/>
  <c r="U49" i="18"/>
  <c r="V49" i="18" s="1"/>
  <c r="AU26" i="8"/>
  <c r="O51" i="18"/>
  <c r="P51" i="18" s="1"/>
  <c r="AT25" i="8"/>
  <c r="O46" i="18"/>
  <c r="P46" i="18" s="1"/>
  <c r="L26" i="8"/>
  <c r="L25" i="8"/>
  <c r="BC25" i="8"/>
  <c r="R46" i="18"/>
  <c r="S46" i="18" s="1"/>
  <c r="U45" i="18"/>
  <c r="V45" i="18" s="1"/>
  <c r="U37" i="18"/>
  <c r="V37" i="18" s="1"/>
  <c r="BQ19" i="8"/>
  <c r="CG46" i="8"/>
  <c r="CF50" i="8"/>
  <c r="CG50" i="8" s="1"/>
  <c r="CG19" i="8"/>
  <c r="BD48" i="8"/>
  <c r="BD21" i="8"/>
  <c r="AU21" i="8"/>
  <c r="AU48" i="8"/>
  <c r="AA53" i="8"/>
  <c r="AB53" i="8" s="1"/>
  <c r="AA48" i="8"/>
  <c r="AB40" i="8"/>
  <c r="K53" i="8"/>
  <c r="L53" i="8" s="1"/>
  <c r="L40" i="8"/>
  <c r="K52" i="8"/>
  <c r="L52" i="8" s="1"/>
  <c r="L48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W124" i="1" l="1"/>
  <c r="AU25" i="8"/>
  <c r="O50" i="18"/>
  <c r="P50" i="18" s="1"/>
  <c r="AM124" i="1"/>
  <c r="BD25" i="8"/>
  <c r="R50" i="18"/>
  <c r="S50" i="18" s="1"/>
  <c r="W92" i="1"/>
  <c r="AM92" i="1"/>
  <c r="AA52" i="8"/>
  <c r="AB52" i="8" s="1"/>
  <c r="AB48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N92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W77" i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M85" i="1" l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Y98" i="1" l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X57" i="1" l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I38" i="18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AY10" i="1" s="1"/>
  <c r="AA10" i="18" s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Q56" i="1" s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K19" i="1" s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AQ5" i="1"/>
  <c r="G10" i="6" s="1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O23" i="1" l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AJ10" i="18"/>
  <c r="AK10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U19" i="1"/>
  <c r="F19" i="18" s="1"/>
  <c r="G19" i="18" s="1"/>
  <c r="F14" i="18"/>
  <c r="G14" i="18" s="1"/>
  <c r="AA56" i="1"/>
  <c r="E13" i="1"/>
  <c r="O82" i="1"/>
  <c r="P33" i="1"/>
  <c r="P31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G29" i="1"/>
  <c r="I51" i="18" s="1"/>
  <c r="J51" i="18" s="1"/>
  <c r="D60" i="1"/>
  <c r="D43" i="1"/>
  <c r="F11" i="1"/>
  <c r="E16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P11" i="1"/>
  <c r="G28" i="1"/>
  <c r="I50" i="18" s="1"/>
  <c r="J50" i="18" s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G97" i="1" l="1"/>
  <c r="H97" i="1" s="1"/>
  <c r="G30" i="1"/>
  <c r="H30" i="1" s="1"/>
  <c r="I28" i="1"/>
  <c r="L50" i="18" s="1"/>
  <c r="M50" i="18" s="1"/>
  <c r="L46" i="18"/>
  <c r="M46" i="18" s="1"/>
  <c r="O24" i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7" i="1"/>
  <c r="J97" i="1" s="1"/>
  <c r="J28" i="1"/>
  <c r="I98" i="1"/>
  <c r="J29" i="1"/>
  <c r="G32" i="1"/>
  <c r="H32" i="1" s="1"/>
  <c r="G99" i="1"/>
  <c r="H99" i="1" s="1"/>
  <c r="H98" i="1"/>
  <c r="P111" i="4"/>
  <c r="E29" i="1"/>
  <c r="E24" i="1"/>
  <c r="E28" i="1" s="1"/>
  <c r="E30" i="1" s="1"/>
  <c r="F30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V46" i="18" l="1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G131" i="1" l="1"/>
  <c r="O67" i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K129" i="1"/>
  <c r="L129" i="1" s="1"/>
  <c r="L65" i="1"/>
  <c r="K99" i="1"/>
  <c r="L99" i="1" s="1"/>
  <c r="I34" i="1"/>
  <c r="J34" i="1" s="1"/>
  <c r="I101" i="1"/>
  <c r="J101" i="1" s="1"/>
  <c r="J67" i="1"/>
  <c r="I131" i="1"/>
  <c r="G103" i="1"/>
  <c r="H103" i="1" s="1"/>
  <c r="E32" i="1"/>
  <c r="F32" i="1" s="1"/>
  <c r="E99" i="1"/>
  <c r="F99" i="1" s="1"/>
  <c r="E131" i="1"/>
  <c r="F131" i="1" s="1"/>
  <c r="F67" i="1"/>
  <c r="D129" i="1"/>
  <c r="D65" i="1"/>
  <c r="O131" i="1"/>
  <c r="O129" i="1"/>
  <c r="H67" i="1"/>
  <c r="H131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F6" i="18" s="1"/>
  <c r="G6" i="18" s="1"/>
  <c r="AD19" i="1"/>
  <c r="W11" i="1"/>
  <c r="I11" i="18" s="1"/>
  <c r="J11" i="18" s="1"/>
  <c r="Y6" i="1"/>
  <c r="U11" i="1"/>
  <c r="AE8" i="1"/>
  <c r="AE10" i="1"/>
  <c r="X6" i="1"/>
  <c r="AE5" i="1"/>
  <c r="AE9" i="1"/>
  <c r="AC11" i="1"/>
  <c r="AE4" i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H26" i="6" l="1"/>
  <c r="R11" i="18"/>
  <c r="S11" i="18" s="1"/>
  <c r="G26" i="6"/>
  <c r="O11" i="18"/>
  <c r="P11" i="18" s="1"/>
  <c r="T6" i="1"/>
  <c r="AB6" i="1"/>
  <c r="O6" i="18"/>
  <c r="P6" i="18" s="1"/>
  <c r="K32" i="1"/>
  <c r="L32" i="1" s="1"/>
  <c r="V4" i="18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K34" i="1"/>
  <c r="L34" i="1" s="1"/>
  <c r="I103" i="1"/>
  <c r="J103" i="1" s="1"/>
  <c r="P67" i="1"/>
  <c r="G133" i="1"/>
  <c r="H133" i="1" s="1"/>
  <c r="E34" i="1"/>
  <c r="F34" i="1" s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BA4" i="1"/>
  <c r="AG4" i="18" s="1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U12" i="1"/>
  <c r="F12" i="18" s="1"/>
  <c r="G12" i="18" s="1"/>
  <c r="AE11" i="1"/>
  <c r="E133" i="1"/>
  <c r="P68" i="1"/>
  <c r="P70" i="1"/>
  <c r="J111" i="1"/>
  <c r="K101" i="1" l="1"/>
  <c r="L101" i="1" s="1"/>
  <c r="AA25" i="1"/>
  <c r="O25" i="18" s="1"/>
  <c r="P25" i="18" s="1"/>
  <c r="O12" i="18"/>
  <c r="P12" i="18" s="1"/>
  <c r="BF18" i="1"/>
  <c r="AG18" i="18"/>
  <c r="AH11" i="18"/>
  <c r="AH16" i="18"/>
  <c r="AH4" i="18"/>
  <c r="AH15" i="18"/>
  <c r="AH14" i="18"/>
  <c r="AH10" i="18"/>
  <c r="AH9" i="18"/>
  <c r="AH22" i="18"/>
  <c r="AH8" i="18"/>
  <c r="AH6" i="18"/>
  <c r="AH17" i="18"/>
  <c r="AH18" i="18"/>
  <c r="AH5" i="18"/>
  <c r="AH19" i="18"/>
  <c r="AH12" i="18"/>
  <c r="AH20" i="18"/>
  <c r="AH24" i="18"/>
  <c r="AH23" i="18"/>
  <c r="AD12" i="1"/>
  <c r="R12" i="18"/>
  <c r="S12" i="18" s="1"/>
  <c r="BA11" i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1" i="1"/>
  <c r="B23" i="6" s="1"/>
  <c r="BB10" i="1"/>
  <c r="BB18" i="1"/>
  <c r="BB9" i="1"/>
  <c r="BB17" i="1"/>
  <c r="BB8" i="1"/>
  <c r="BB15" i="1"/>
  <c r="BB5" i="1"/>
  <c r="BB23" i="1"/>
  <c r="BB4" i="1"/>
  <c r="BB16" i="1"/>
  <c r="T12" i="1"/>
  <c r="F69" i="1"/>
  <c r="BB6" i="1" l="1"/>
  <c r="AG6" i="18"/>
  <c r="B26" i="6"/>
  <c r="AG11" i="18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11" i="4"/>
  <c r="D205" i="4"/>
  <c r="O174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D152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52" i="4"/>
  <c r="C164" i="4"/>
  <c r="C166" i="4"/>
  <c r="C161" i="4"/>
  <c r="C149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D210" i="4" s="1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C150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I168" i="4" l="1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AU19" i="1"/>
  <c r="BC51" i="1"/>
  <c r="AU56" i="1"/>
  <c r="BC56" i="1" s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8" i="18"/>
  <c r="AB15" i="18"/>
  <c r="BG18" i="1"/>
  <c r="AA18" i="18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M19" i="18" s="1"/>
  <c r="AN19" i="18" s="1"/>
  <c r="AE20" i="1"/>
  <c r="U20" i="18" s="1"/>
  <c r="V20" i="18" s="1"/>
  <c r="AF14" i="1"/>
  <c r="BF14" i="1" l="1"/>
  <c r="AG14" i="18"/>
  <c r="AM14" i="18" s="1"/>
  <c r="AN14" i="18" s="1"/>
  <c r="BB14" i="1"/>
  <c r="BE14" i="1"/>
  <c r="BB51" i="1"/>
  <c r="BF51" i="1"/>
  <c r="AF20" i="1"/>
  <c r="BA20" i="1"/>
  <c r="AG20" i="18" s="1"/>
  <c r="AM20" i="18" s="1"/>
  <c r="AN20" i="18" s="1"/>
  <c r="AE24" i="1"/>
  <c r="U24" i="18" s="1"/>
  <c r="V24" i="18" s="1"/>
  <c r="BE19" i="1"/>
  <c r="BF19" i="1"/>
  <c r="BB19" i="1"/>
  <c r="BA56" i="1"/>
  <c r="BE56" i="1" s="1"/>
  <c r="BE51" i="1"/>
  <c r="BB56" i="1" l="1"/>
  <c r="BF56" i="1"/>
  <c r="BE20" i="1"/>
  <c r="BF20" i="1"/>
  <c r="BB20" i="1"/>
  <c r="BA57" i="1"/>
  <c r="BA61" i="1"/>
  <c r="BA24" i="1"/>
  <c r="AG23" i="18" s="1"/>
  <c r="AM23" i="18" s="1"/>
  <c r="AN23" i="18" s="1"/>
  <c r="AF24" i="1"/>
  <c r="BB61" i="1" l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<sst xmlns="http://schemas.openxmlformats.org/spreadsheetml/2006/main" count="2812" uniqueCount="416">
  <si>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</si>
  <si>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</si>
  <si>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</si>
  <si>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</si>
  <si>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</si>
  <si>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</si>
  <si>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</si>
  <si>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</si>
  <si>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</si>
  <si>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</si>
  <si>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</si>
  <si>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</si>
  <si>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</si>
  <si>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</si>
  <si>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</si>
  <si>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</si>
  <si>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</si>
  <si>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</si>
  <si>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</si>
  <si>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</si>
  <si>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</si>
  <si>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</si>
  <si>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</si>
  <si>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</si>
  <si>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</si>
  <si>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</si>
  <si>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</si>
  <si>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</si>
  <si>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</si>
  <si>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</si>
  <si>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</si>
  <si>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</si>
  <si>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</si>
  <si>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</si>
  <si>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</si>
  <si>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</si>
  <si>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</si>
  <si>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</si>
  <si>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</si>
  <si>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</si>
  <si>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</si>
  <si>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</si>
  <si>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</si>
  <si>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</si>
  <si>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</si>
  <si>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</si>
  <si>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</si>
  <si>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</si>
  <si>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</si>
  <si>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</si>
  <si>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</si>
  <si>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</si>
  <si>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</si>
  <si>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</si>
  <si>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</si>
  <si>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</si>
  <si>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</si>
  <si>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</si>
  <si>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</si>
  <si>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</si>
  <si>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</si>
  <si>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</si>
  <si>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</si>
  <si>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</si>
  <si>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</si>
  <si>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</si>
  <si>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</si>
  <si>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</si>
  <si>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</si>
  <si>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</si>
  <si>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</si>
  <si>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</si>
  <si>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</si>
  <si>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</si>
  <si>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</si>
  <si>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</si>
  <si>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</si>
  <si>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</si>
  <si>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</si>
  <si>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</si>
  <si>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</si>
  <si>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</si>
  <si>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</si>
  <si>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</si>
  <si>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</si>
  <si>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</si>
  <si>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</si>
  <si>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</si>
  <si>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</si>
  <si>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</si>
  <si>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</si>
  <si>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</si>
  <si>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</si>
  <si>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</si>
  <si>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</si>
  <si>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</si>
  <si>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</si>
  <si>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</si>
  <si>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</si>
  <si>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</si>
  <si>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</si>
  <si>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</si>
  <si>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</si>
  <si>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</si>
  <si>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</si>
  <si>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</si>
  <si>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</si>
  <si>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</si>
  <si>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</si>
  <si>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</si>
  <si>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</si>
  <si>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</si>
  <si>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</si>
  <si>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</si>
  <si>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</si>
  <si>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</si>
  <si>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</si>
  <si>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</si>
  <si>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</si>
  <si>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</si>
  <si>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</si>
  <si>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</si>
  <si>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>09-2019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</si>
  <si>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</si>
  <si>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</si>
  <si>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</si>
  <si>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</si>
  <si>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</si>
  <si>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</si>
  <si>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</si>
  <si>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</si>
  <si>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</si>
  <si>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</si>
  <si>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</si>
  <si>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</si>
  <si>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</si>
  <si>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</si>
  <si>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</si>
  <si>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</si>
  <si>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</si>
  <si>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</si>
  <si>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</si>
  <si>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</si>
  <si>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</si>
  <si>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</si>
  <si>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</si>
  <si>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</si>
  <si>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</si>
  <si>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</si>
  <si>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</si>
  <si>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</si>
  <si>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</si>
  <si>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</si>
  <si>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</si>
  <si>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</si>
  <si>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</si>
  <si>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</si>
  <si>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</si>
  <si>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</si>
  <si>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</si>
  <si>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</si>
  <si>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</si>
  <si>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</si>
  <si>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</si>
  <si>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</si>
  <si>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</si>
  <si>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</si>
  <si>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</si>
  <si>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</si>
  <si>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</si>
  <si>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</si>
  <si>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</si>
  <si>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</si>
  <si>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</si>
  <si>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</si>
  <si>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</si>
  <si>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</si>
  <si>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</si>
  <si>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</si>
  <si>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</si>
  <si>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</si>
  <si>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</si>
  <si>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</si>
  <si>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</si>
  <si>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</si>
  <si>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</si>
  <si>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</si>
  <si>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</si>
  <si>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</si>
  <si>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</si>
  <si>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</si>
  <si>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</si>
  <si>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</si>
  <si>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</si>
  <si>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</si>
  <si>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</si>
  <si>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</si>
  <si>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</si>
  <si>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</si>
  <si>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</si>
  <si>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</si>
  <si>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</si>
  <si>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</si>
  <si>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</si>
  <si>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</si>
  <si>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</si>
  <si>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</si>
  <si>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</si>
  <si>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</si>
  <si>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</si>
  <si>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</si>
  <si>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</si>
  <si>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</si>
  <si>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</si>
  <si>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</si>
  <si>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</si>
  <si>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</si>
  <si>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</si>
  <si>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</si>
  <si>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</si>
  <si>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</si>
  <si>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</si>
  <si>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</si>
  <si>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</si>
  <si>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</si>
  <si>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</si>
  <si>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</si>
  <si>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</si>
  <si>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</si>
  <si>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</si>
  <si>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</si>
  <si>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</si>
  <si>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</si>
  <si>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</si>
  <si>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</si>
  <si>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</si>
  <si>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</si>
  <si>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</si>
  <si>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</si>
  <si>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</si>
  <si>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</si>
  <si>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</si>
  <si>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</si>
  <si>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</si>
  <si>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</si>
  <si>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</si>
  <si>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</si>
  <si>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</si>
  <si>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</si>
  <si>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</si>
  <si>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</si>
  <si>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</si>
  <si>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</si>
  <si>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</si>
  <si>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</si>
  <si>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</si>
  <si>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</si>
  <si>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</si>
  <si>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</si>
  <si>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</si>
  <si>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</si>
  <si>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</si>
  <si>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</si>
  <si>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</si>
  <si>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</si>
  <si>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</si>
  <si>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</si>
  <si>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</si>
  <si>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</si>
  <si>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</si>
  <si>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</si>
  <si>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</si>
  <si>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</si>
  <si>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</si>
  <si>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</si>
  <si>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</si>
  <si>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</si>
  <si>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</si>
  <si>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</si>
  <si>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</si>
  <si>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</si>
  <si>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</si>
  <si>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</si>
  <si>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</si>
  <si>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</si>
  <si>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</si>
  <si>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</si>
  <si>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</si>
  <si>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</si>
  <si>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</si>
  <si>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</si>
  <si>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</si>
  <si>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</si>
  <si>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</si>
  <si>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</si>
  <si>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</si>
  <si>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</si>
  <si>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</si>
  <si>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</si>
  <si>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</si>
  <si>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</si>
  <si>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</si>
  <si>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</si>
  <si>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</si>
  <si>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</si>
  <si>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</si>
  <si>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</si>
  <si>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</si>
  <si>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</si>
  <si>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</si>
  <si>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</si>
  <si>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</si>
  <si>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</si>
  <si>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</si>
  <si>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</si>
  <si>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</si>
  <si>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</si>
  <si>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</si>
  <si>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</si>
  <si>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</si>
  <si>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</si>
  <si>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</si>
  <si>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</si>
  <si>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</si>
  <si>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</si>
  <si>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</si>
  <si>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</si>
  <si>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</si>
  <si>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</si>
  <si>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</si>
  <si>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</si>
  <si>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</si>
  <si>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</si>
  <si>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</si>
  <si>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</si>
  <si>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</si>
  <si>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</si>
  <si>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</si>
  <si>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</si>
  <si>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</si>
  <si>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</si>
  <si>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</si>
  <si>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</si>
  <si>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</si>
  <si>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</si>
  <si>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</si>
  <si>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</si>
  <si>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</si>
  <si>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</si>
  <si>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</si>
  <si>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</si>
  <si>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</si>
  <si>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</si>
  <si>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</si>
  <si>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</si>
  <si>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</si>
  <si>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</si>
  <si>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</si>
  <si>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</si>
  <si>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</si>
  <si>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</si>
  <si>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</si>
  <si>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</si>
  <si>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</si>
  <si>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</si>
  <si>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</si>
  <si>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</si>
  <si>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</si>
  <si>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</si>
  <si>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</si>
  <si>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</si>
  <si>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</si>
  <si>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</si>
  <si>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</si>
  <si>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</si>
  <si>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</si>
  <si>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</si>
  <si>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</si>
  <si>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</si>
  <si>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</si>
  <si>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</si>
  <si>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</si>
  <si>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</si>
  <si>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</si>
  <si>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</si>
  <si>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</si>
  <si>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</si>
  <si>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</si>
  <si>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</si>
  <si>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</si>
  <si>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</si>
  <si>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</si>
  <si>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</si>
  <si>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</si>
  <si>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</si>
  <si>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</si>
  <si>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</si>
  <si>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</si>
  <si>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</si>
  <si>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</si>
  <si>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</si>
  <si>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</si>
  <si>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</si>
  <si>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</si>
  <si>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</si>
  <si>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</si>
  <si>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</si>
  <si>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</si>
  <si>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</si>
  <si>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</si>
  <si>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</si>
  <si>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</si>
  <si>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</si>
  <si>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*verificar resultado</t>
  </si>
  <si>
    <t>Mes_sig</t>
  </si>
  <si>
    <t>capital - intereses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</si>
</sst>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0.0%;[Red]\-#.0%"/>
    <numFmt numFmtId="165" formatCode="#,##0_ ;[Red]\-#,##0\ "/>
    <numFmt numFmtId="166" formatCode="0%;[Red]\-#%"/>
    <numFmt numFmtId="167" formatCode="_(* #,##0.00_);_(* \(#,##0.00\);_(* &quot;-&quot;??_);_(@_)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74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4" fontId="2" fillId="0" borderId="0" xfId="0" applyNumberFormat="1" applyFont="1" applyFill="1"/>
    <xf numFmtId="164" fontId="3" fillId="0" borderId="0" xfId="0" applyNumberFormat="1" applyFont="1" applyFill="1" applyAlignment="1">
      <alignment horizontal="right"/>
    </xf>
    <xf numFmtId="0" fontId="2" fillId="0" borderId="0" xfId="0" applyFont="1" applyFill="1"/>
    <xf numFmtId="165" fontId="2" fillId="0" borderId="1" xfId="0" applyNumberFormat="1" applyFont="1" applyFill="1" applyBorder="1"/>
    <xf numFmtId="164" fontId="2" fillId="0" borderId="2" xfId="2" applyNumberFormat="1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center"/>
    </xf>
    <xf numFmtId="165" fontId="2" fillId="0" borderId="3" xfId="0" applyNumberFormat="1" applyFont="1" applyFill="1" applyBorder="1"/>
    <xf numFmtId="164" fontId="2" fillId="0" borderId="4" xfId="2" applyNumberFormat="1" applyFont="1" applyFill="1" applyBorder="1" applyAlignment="1">
      <alignment horizontal="center"/>
    </xf>
    <xf numFmtId="164" fontId="2" fillId="0" borderId="3" xfId="0" applyNumberFormat="1" applyFont="1" applyFill="1" applyBorder="1" applyAlignment="1">
      <alignment horizontal="center"/>
    </xf>
    <xf numFmtId="165" fontId="3" fillId="0" borderId="5" xfId="0" applyNumberFormat="1" applyFont="1" applyFill="1" applyBorder="1"/>
    <xf numFmtId="164" fontId="3" fillId="0" borderId="6" xfId="2" applyNumberFormat="1" applyFont="1" applyFill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165" fontId="2" fillId="0" borderId="0" xfId="0" applyNumberFormat="1" applyFont="1" applyFill="1"/>
    <xf numFmtId="164" fontId="2" fillId="0" borderId="0" xfId="2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5" fontId="3" fillId="0" borderId="7" xfId="0" applyNumberFormat="1" applyFont="1" applyFill="1" applyBorder="1"/>
    <xf numFmtId="166" fontId="2" fillId="0" borderId="3" xfId="0" applyNumberFormat="1" applyFont="1" applyFill="1" applyBorder="1" applyAlignment="1">
      <alignment horizontal="center"/>
    </xf>
    <xf numFmtId="164" fontId="3" fillId="0" borderId="5" xfId="2" applyNumberFormat="1" applyFont="1" applyFill="1" applyBorder="1" applyAlignment="1">
      <alignment horizontal="center"/>
    </xf>
    <xf numFmtId="166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6" fontId="2" fillId="0" borderId="1" xfId="2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165" fontId="3" fillId="0" borderId="8" xfId="0" applyNumberFormat="1" applyFont="1" applyFill="1" applyBorder="1"/>
    <xf numFmtId="164" fontId="3" fillId="0" borderId="8" xfId="2" applyNumberFormat="1" applyFont="1" applyFill="1" applyBorder="1" applyAlignment="1">
      <alignment horizontal="center"/>
    </xf>
    <xf numFmtId="164" fontId="3" fillId="0" borderId="1" xfId="2" applyNumberFormat="1" applyFont="1" applyFill="1" applyBorder="1" applyAlignment="1">
      <alignment horizontal="center"/>
    </xf>
    <xf numFmtId="165" fontId="2" fillId="0" borderId="7" xfId="0" applyNumberFormat="1" applyFont="1" applyFill="1" applyBorder="1"/>
    <xf numFmtId="164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7" fontId="2" fillId="0" borderId="0" xfId="0" applyNumberFormat="1" applyFont="1" applyFill="1"/>
    <xf numFmtId="165" fontId="0" fillId="0" borderId="0" xfId="0" applyNumberFormat="1" applyFill="1"/>
    <xf numFmtId="43" fontId="2" fillId="0" borderId="0" xfId="1" applyFont="1" applyFill="1"/>
    <xf numFmtId="166" fontId="2" fillId="0" borderId="3" xfId="2" applyNumberFormat="1" applyFont="1" applyFill="1" applyBorder="1" applyAlignment="1">
      <alignment horizontal="center"/>
    </xf>
    <xf numFmtId="166" fontId="3" fillId="0" borderId="5" xfId="2" applyNumberFormat="1" applyFont="1" applyFill="1" applyBorder="1" applyAlignment="1">
      <alignment horizontal="center"/>
    </xf>
    <xf numFmtId="166" fontId="2" fillId="0" borderId="0" xfId="2" applyNumberFormat="1" applyFont="1" applyFill="1" applyBorder="1" applyAlignment="1">
      <alignment horizontal="center"/>
    </xf>
    <xf numFmtId="166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43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7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7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7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7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7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7" fontId="7" fillId="0" borderId="0" xfId="4" applyNumberFormat="1" applyFont="1" applyFill="1" applyBorder="1"/>
    <xf numFmtId="167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3" fontId="12" fillId="3" borderId="0" xfId="4" applyNumberFormat="1" applyFont="1" applyFill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7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7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7" fontId="8" fillId="0" borderId="0" xfId="3" applyNumberFormat="1" applyFont="1" applyFill="1" applyBorder="1" applyAlignment="1">
      <alignment horizontal="center"/>
    </xf>
    <xf numFmtId="167" fontId="8" fillId="0" borderId="0" xfId="4" applyFont="1" applyFill="1" applyBorder="1"/>
    <xf numFmtId="167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6" fontId="2" fillId="0" borderId="1" xfId="5" applyNumberFormat="1" applyFont="1" applyFill="1" applyBorder="1" applyAlignment="1">
      <alignment horizontal="center"/>
    </xf>
    <xf numFmtId="164" fontId="2" fillId="0" borderId="3" xfId="5" applyNumberFormat="1" applyFont="1" applyFill="1" applyBorder="1" applyAlignment="1">
      <alignment horizontal="center"/>
    </xf>
    <xf numFmtId="164" fontId="3" fillId="0" borderId="5" xfId="5" applyNumberFormat="1" applyFont="1" applyFill="1" applyBorder="1" applyAlignment="1">
      <alignment horizontal="center"/>
    </xf>
    <xf numFmtId="164" fontId="2" fillId="0" borderId="0" xfId="5" applyNumberFormat="1" applyFont="1" applyFill="1" applyBorder="1" applyAlignment="1">
      <alignment horizontal="center"/>
    </xf>
    <xf numFmtId="164" fontId="2" fillId="0" borderId="1" xfId="5" applyNumberFormat="1" applyFont="1" applyFill="1" applyBorder="1" applyAlignment="1">
      <alignment horizontal="center"/>
    </xf>
    <xf numFmtId="164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7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7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4" fontId="2" fillId="0" borderId="0" xfId="0" applyNumberFormat="1" applyFont="1" applyFill="1" applyBorder="1"/>
    <xf numFmtId="164" fontId="3" fillId="0" borderId="0" xfId="0" applyNumberFormat="1" applyFont="1" applyFill="1" applyBorder="1" applyAlignment="1">
      <alignment horizontal="right"/>
    </xf>
    <xf numFmtId="164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2" fillId="0" borderId="4" xfId="5" applyNumberFormat="1" applyFont="1" applyFill="1" applyBorder="1" applyAlignment="1">
      <alignment horizontal="center"/>
    </xf>
    <xf numFmtId="164" fontId="2" fillId="0" borderId="7" xfId="2" applyNumberFormat="1" applyFont="1" applyFill="1" applyBorder="1" applyAlignment="1">
      <alignment horizontal="center"/>
    </xf>
    <xf numFmtId="165" fontId="3" fillId="0" borderId="13" xfId="0" applyNumberFormat="1" applyFont="1" applyFill="1" applyBorder="1"/>
    <xf numFmtId="165" fontId="3" fillId="0" borderId="12" xfId="0" applyNumberFormat="1" applyFont="1" applyFill="1" applyBorder="1"/>
    <xf numFmtId="166" fontId="2" fillId="0" borderId="7" xfId="2" applyNumberFormat="1" applyFont="1" applyFill="1" applyBorder="1" applyAlignment="1">
      <alignment horizontal="center"/>
    </xf>
    <xf numFmtId="165" fontId="2" fillId="0" borderId="11" xfId="0" applyNumberFormat="1" applyFont="1" applyFill="1" applyBorder="1"/>
    <xf numFmtId="165" fontId="2" fillId="0" borderId="14" xfId="0" applyNumberFormat="1" applyFont="1" applyFill="1" applyBorder="1"/>
    <xf numFmtId="165" fontId="2" fillId="0" borderId="13" xfId="0" applyNumberFormat="1" applyFont="1" applyFill="1" applyBorder="1"/>
    <xf numFmtId="165" fontId="2" fillId="0" borderId="9" xfId="0" applyNumberFormat="1" applyFont="1" applyFill="1" applyBorder="1"/>
    <xf numFmtId="165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5" fontId="3" fillId="0" borderId="1" xfId="0" applyNumberFormat="1" applyFont="1" applyFill="1" applyBorder="1"/>
    <xf numFmtId="165" fontId="0" fillId="0" borderId="0" xfId="0" applyNumberFormat="1"/>
    <xf numFmtId="165" fontId="3" fillId="0" borderId="0" xfId="0" applyNumberFormat="1" applyFont="1" applyFill="1" applyBorder="1"/>
    <xf numFmtId="165" fontId="2" fillId="0" borderId="5" xfId="0" applyNumberFormat="1" applyFont="1" applyFill="1" applyBorder="1"/>
    <xf numFmtId="165" fontId="2" fillId="0" borderId="2" xfId="0" applyNumberFormat="1" applyFont="1" applyFill="1" applyBorder="1"/>
    <xf numFmtId="0" fontId="17" fillId="2" borderId="0" xfId="6" applyFont="1" applyFill="1"/>
    <xf numFmtId="165" fontId="2" fillId="0" borderId="4" xfId="0" applyNumberFormat="1" applyFont="1" applyFill="1" applyBorder="1"/>
    <xf numFmtId="165" fontId="2" fillId="0" borderId="12" xfId="0" applyNumberFormat="1" applyFont="1" applyFill="1" applyBorder="1"/>
    <xf numFmtId="165" fontId="3" fillId="0" borderId="3" xfId="0" applyNumberFormat="1" applyFont="1" applyFill="1" applyBorder="1"/>
    <xf numFmtId="165" fontId="3" fillId="0" borderId="14" xfId="0" applyNumberFormat="1" applyFont="1" applyFill="1" applyBorder="1"/>
    <xf numFmtId="165" fontId="3" fillId="0" borderId="2" xfId="0" applyNumberFormat="1" applyFont="1" applyFill="1" applyBorder="1"/>
    <xf numFmtId="165" fontId="3" fillId="0" borderId="9" xfId="0" applyNumberFormat="1" applyFont="1" applyFill="1" applyBorder="1"/>
    <xf numFmtId="165" fontId="3" fillId="0" borderId="11" xfId="0" applyNumberFormat="1" applyFont="1" applyFill="1" applyBorder="1"/>
    <xf numFmtId="165" fontId="3" fillId="0" borderId="4" xfId="0" applyNumberFormat="1" applyFont="1" applyFill="1" applyBorder="1"/>
    <xf numFmtId="165" fontId="3" fillId="0" borderId="6" xfId="0" applyNumberFormat="1" applyFont="1" applyFill="1" applyBorder="1"/>
    <xf numFmtId="165" fontId="3" fillId="0" borderId="15" xfId="0" applyNumberFormat="1" applyFont="1" applyFill="1" applyBorder="1"/>
    <xf numFmtId="165" fontId="3" fillId="0" borderId="10" xfId="0" applyNumberFormat="1" applyFont="1" applyFill="1" applyBorder="1"/>
    <xf numFmtId="165" fontId="2" fillId="0" borderId="8" xfId="0" applyNumberFormat="1" applyFont="1" applyFill="1" applyBorder="1"/>
    <xf numFmtId="0" fontId="20" fillId="2" borderId="0" xfId="6" applyFont="1" applyFill="1"/>
    <xf numFmtId="164" fontId="2" fillId="0" borderId="3" xfId="2" applyNumberFormat="1" applyFont="1" applyFill="1" applyBorder="1" applyAlignment="1">
      <alignment horizontal="center"/>
    </xf>
    <xf numFmtId="164" fontId="2" fillId="0" borderId="1" xfId="2" applyNumberFormat="1" applyFont="1" applyFill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5" fontId="3" fillId="5" borderId="5" xfId="0" applyNumberFormat="1" applyFont="1" applyFill="1" applyBorder="1"/>
    <xf numFmtId="165" fontId="2" fillId="5" borderId="0" xfId="0" applyNumberFormat="1" applyFont="1" applyFill="1" applyBorder="1"/>
    <xf numFmtId="165" fontId="2" fillId="5" borderId="1" xfId="0" applyNumberFormat="1" applyFont="1" applyFill="1" applyBorder="1"/>
    <xf numFmtId="165" fontId="2" fillId="5" borderId="3" xfId="0" applyNumberFormat="1" applyFont="1" applyFill="1" applyBorder="1"/>
    <xf numFmtId="165" fontId="3" fillId="5" borderId="0" xfId="0" applyNumberFormat="1" applyFont="1" applyFill="1" applyBorder="1"/>
    <xf numFmtId="165" fontId="3" fillId="5" borderId="14" xfId="0" applyNumberFormat="1" applyFont="1" applyFill="1" applyBorder="1"/>
    <xf numFmtId="165" fontId="2" fillId="5" borderId="7" xfId="0" applyNumberFormat="1" applyFont="1" applyFill="1" applyBorder="1"/>
    <xf numFmtId="165" fontId="2" fillId="5" borderId="8" xfId="0" applyNumberFormat="1" applyFont="1" applyFill="1" applyBorder="1"/>
    <xf numFmtId="165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5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5" fontId="2" fillId="5" borderId="9" xfId="0" applyNumberFormat="1" applyFont="1" applyFill="1" applyBorder="1"/>
    <xf numFmtId="1" fontId="0" fillId="0" borderId="0" xfId="0" applyNumberFormat="1"/>
    <xf numFmtId="165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5" fontId="2" fillId="4" borderId="1" xfId="0" applyNumberFormat="1" applyFont="1" applyFill="1" applyBorder="1"/>
    <xf numFmtId="165" fontId="2" fillId="4" borderId="3" xfId="0" applyNumberFormat="1" applyFont="1" applyFill="1" applyBorder="1"/>
    <xf numFmtId="165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5" fontId="3" fillId="5" borderId="4" xfId="0" applyNumberFormat="1" applyFont="1" applyFill="1" applyBorder="1"/>
    <xf numFmtId="165" fontId="2" fillId="5" borderId="4" xfId="0" applyNumberFormat="1" applyFont="1" applyFill="1" applyBorder="1"/>
    <xf numFmtId="165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5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0" fillId="2" borderId="0" xfId="0" applyFill="1"/>
    <xf numFmtId="0" fontId="0" fillId="6" borderId="0" xfId="0" applyFill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5" fontId="5" fillId="0" borderId="5" xfId="0" applyNumberFormat="1" applyFont="1" applyFill="1" applyBorder="1"/>
    <xf numFmtId="165" fontId="3" fillId="5" borderId="2" xfId="0" applyNumberFormat="1" applyFont="1" applyFill="1" applyBorder="1"/>
    <xf numFmtId="165" fontId="3" fillId="5" borderId="12" xfId="0" applyNumberFormat="1" applyFont="1" applyFill="1" applyBorder="1"/>
    <xf numFmtId="165" fontId="3" fillId="5" borderId="6" xfId="0" applyNumberFormat="1" applyFont="1" applyFill="1" applyBorder="1"/>
    <xf numFmtId="165" fontId="2" fillId="5" borderId="2" xfId="0" applyNumberFormat="1" applyFont="1" applyFill="1" applyBorder="1"/>
    <xf numFmtId="0" fontId="16" fillId="0" borderId="0" xfId="6"/>
    <xf numFmtId="0" fontId="0" fillId="7" borderId="0" xfId="0" applyFill="1"/>
    <xf numFmtId="0" fontId="26" fillId="7" borderId="0" xfId="0" applyFont="1" applyFill="1"/>
    <xf numFmtId="164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0" fontId="0" fillId="8" borderId="0" xfId="0" applyFill="1"/>
    <xf numFmtId="166" fontId="2" fillId="0" borderId="0" xfId="0" applyNumberFormat="1" applyFont="1" applyFill="1" applyBorder="1" applyAlignment="1">
      <alignment horizontal="center"/>
    </xf>
    <xf numFmtId="166" fontId="2" fillId="0" borderId="3" xfId="5" applyNumberFormat="1" applyFont="1" applyFill="1" applyBorder="1" applyAlignment="1">
      <alignment horizontal="center"/>
    </xf>
    <xf numFmtId="166" fontId="3" fillId="0" borderId="5" xfId="5" applyNumberFormat="1" applyFont="1" applyFill="1" applyBorder="1" applyAlignment="1">
      <alignment horizontal="center"/>
    </xf>
    <xf numFmtId="166" fontId="2" fillId="0" borderId="0" xfId="5" applyNumberFormat="1" applyFont="1" applyFill="1" applyBorder="1" applyAlignment="1">
      <alignment horizontal="center"/>
    </xf>
    <xf numFmtId="166" fontId="0" fillId="0" borderId="0" xfId="0" applyNumberFormat="1"/>
    <xf numFmtId="166" fontId="3" fillId="0" borderId="1" xfId="2" applyNumberFormat="1" applyFont="1" applyFill="1" applyBorder="1" applyAlignment="1">
      <alignment horizontal="center"/>
    </xf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6" fontId="2" fillId="0" borderId="11" xfId="2" applyNumberFormat="1" applyFont="1" applyFill="1" applyBorder="1" applyAlignment="1">
      <alignment horizontal="center"/>
    </xf>
    <xf numFmtId="166" fontId="3" fillId="0" borderId="15" xfId="2" applyNumberFormat="1" applyFont="1" applyFill="1" applyBorder="1" applyAlignment="1">
      <alignment horizontal="center"/>
    </xf>
    <xf numFmtId="166" fontId="3" fillId="0" borderId="11" xfId="2" applyNumberFormat="1" applyFont="1" applyFill="1" applyBorder="1" applyAlignment="1">
      <alignment horizontal="center"/>
    </xf>
    <xf numFmtId="166" fontId="2" fillId="0" borderId="11" xfId="5" applyNumberFormat="1" applyFont="1" applyFill="1" applyBorder="1" applyAlignment="1">
      <alignment horizontal="center"/>
    </xf>
    <xf numFmtId="166" fontId="3" fillId="0" borderId="15" xfId="5" applyNumberFormat="1" applyFont="1" applyFill="1" applyBorder="1" applyAlignment="1">
      <alignment horizontal="center"/>
    </xf>
    <xf numFmtId="166" fontId="0" fillId="0" borderId="0" xfId="0" applyNumberFormat="1" applyBorder="1"/>
    <xf numFmtId="166" fontId="3" fillId="0" borderId="3" xfId="2" applyNumberFormat="1" applyFont="1" applyFill="1" applyBorder="1" applyAlignment="1">
      <alignment horizontal="center"/>
    </xf>
    <xf numFmtId="166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4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4" fontId="3" fillId="0" borderId="0" xfId="5" applyNumberFormat="1" applyFont="1" applyFill="1" applyAlignment="1">
      <alignment horizontal="center"/>
    </xf>
    <xf numFmtId="164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4" fontId="2" fillId="5" borderId="1" xfId="5" applyNumberFormat="1" applyFont="1" applyFill="1" applyBorder="1"/>
    <xf numFmtId="164" fontId="2" fillId="5" borderId="3" xfId="5" applyNumberFormat="1" applyFont="1" applyFill="1" applyBorder="1"/>
    <xf numFmtId="0" fontId="3" fillId="4" borderId="0" xfId="0" applyFont="1" applyFill="1"/>
    <xf numFmtId="164" fontId="3" fillId="5" borderId="5" xfId="5" applyNumberFormat="1" applyFont="1" applyFill="1" applyBorder="1"/>
    <xf numFmtId="0" fontId="2" fillId="4" borderId="0" xfId="0" applyFont="1" applyFill="1" applyBorder="1"/>
    <xf numFmtId="165" fontId="2" fillId="5" borderId="0" xfId="0" applyNumberFormat="1" applyFont="1" applyFill="1"/>
    <xf numFmtId="164" fontId="2" fillId="5" borderId="0" xfId="5" applyNumberFormat="1" applyFont="1" applyFill="1"/>
    <xf numFmtId="164" fontId="3" fillId="5" borderId="7" xfId="5" applyNumberFormat="1" applyFont="1" applyFill="1" applyBorder="1"/>
    <xf numFmtId="164" fontId="3" fillId="5" borderId="0" xfId="5" applyNumberFormat="1" applyFont="1" applyFill="1" applyBorder="1"/>
    <xf numFmtId="165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4" fontId="2" fillId="0" borderId="0" xfId="25" applyNumberFormat="1" applyFont="1" applyFill="1"/>
    <xf numFmtId="164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5" fontId="2" fillId="0" borderId="1" xfId="25" applyNumberFormat="1" applyFont="1" applyFill="1" applyBorder="1"/>
    <xf numFmtId="164" fontId="2" fillId="0" borderId="1" xfId="26" applyNumberFormat="1" applyFont="1" applyFill="1" applyBorder="1" applyAlignment="1">
      <alignment horizontal="center"/>
    </xf>
    <xf numFmtId="164" fontId="2" fillId="0" borderId="1" xfId="25" applyNumberFormat="1" applyFont="1" applyFill="1" applyBorder="1" applyAlignment="1">
      <alignment horizontal="center"/>
    </xf>
    <xf numFmtId="165" fontId="2" fillId="0" borderId="3" xfId="25" applyNumberFormat="1" applyFont="1" applyFill="1" applyBorder="1"/>
    <xf numFmtId="164" fontId="2" fillId="0" borderId="3" xfId="26" applyNumberFormat="1" applyFont="1" applyFill="1" applyBorder="1" applyAlignment="1">
      <alignment horizontal="center"/>
    </xf>
    <xf numFmtId="164" fontId="2" fillId="0" borderId="3" xfId="25" applyNumberFormat="1" applyFont="1" applyFill="1" applyBorder="1" applyAlignment="1">
      <alignment horizontal="center"/>
    </xf>
    <xf numFmtId="165" fontId="3" fillId="0" borderId="5" xfId="25" applyNumberFormat="1" applyFont="1" applyFill="1" applyBorder="1"/>
    <xf numFmtId="164" fontId="3" fillId="0" borderId="5" xfId="26" applyNumberFormat="1" applyFont="1" applyFill="1" applyBorder="1" applyAlignment="1">
      <alignment horizontal="center"/>
    </xf>
    <xf numFmtId="164" fontId="3" fillId="0" borderId="5" xfId="25" applyNumberFormat="1" applyFont="1" applyFill="1" applyBorder="1" applyAlignment="1">
      <alignment horizontal="center"/>
    </xf>
    <xf numFmtId="165" fontId="2" fillId="0" borderId="0" xfId="25" applyNumberFormat="1" applyFont="1" applyFill="1"/>
    <xf numFmtId="164" fontId="2" fillId="0" borderId="0" xfId="26" applyNumberFormat="1" applyFont="1" applyFill="1" applyAlignment="1">
      <alignment horizontal="center"/>
    </xf>
    <xf numFmtId="164" fontId="2" fillId="0" borderId="0" xfId="25" applyNumberFormat="1" applyFont="1" applyFill="1" applyAlignment="1">
      <alignment horizontal="center"/>
    </xf>
    <xf numFmtId="165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1" fontId="5" fillId="9" borderId="0" xfId="4" applyNumberFormat="1" applyFont="1" applyFill="1"/>
    <xf numFmtId="1" fontId="5" fillId="9" borderId="0" xfId="3" applyNumberFormat="1" applyFont="1" applyFill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0C329CC8-D92F-44A3-9DCA-A5FFFFCCA8D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3073DDD4-AAFB-4356-8893-559EC1B694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829DC0E-F7D3-4F85-AEDB-639AA285662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A07CD5FE-3C3A-4703-8157-88859222926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D9756514-2794-479D-850A-BB936F25B1D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BDA511E7-B428-400B-9AD1-D01B722FF3B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4435AA96-E542-4801-AEC7-BE0DB34AB1C7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DCC71C50-9106-49C7-A074-F08C01C9F18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9A012D65-8152-46F3-AFDA-13F5E2B8AF4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81952B8D-A276-496E-921F-2B84F3838D2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C0A41AF-1436-4811-ABAB-0CB62567EA8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1AB931A9-7176-4A62-9BF7-020497FD64A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68F752AD-C869-48D3-A913-1BEE01E3DAA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12221FE-A189-4088-AA2E-CB846C46D0E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91C2999-2D3A-48E9-82EF-90176CF25D1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AC7FA1E-6367-432F-9227-842BF23CC8A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E8D15CC9-B349-45DF-B8D2-CB1FA978A0C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4B069D2A-7300-4B99-8ABF-9FB706C4AF3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64750504"/>
        <c:axId val="364750112"/>
      </c:barChart>
      <c:catAx>
        <c:axId val="364750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4750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75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475050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5D10164D-9715-4E4E-864B-4137CEF59FF0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342D29D-92AD-4F23-8F1B-AAA48189454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359369D2-AFBD-4D5F-9BEE-E4C83D35BB3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54BFCA1A-DBF6-457B-A6BA-117536317B4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48303BE7-2E50-4036-89A7-CC9C4A511D7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E95A6D50-E1EC-4D58-A309-A2AD5197403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E85D6762-521F-4F45-A8C1-8C6CB23C6A9F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8F1C6BE-A928-4161-8C24-83A0EB7146C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8521C5D-E035-4E6D-8F41-6F8D3911C4D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03EDC9B8-8ED9-48B7-89F4-2971001A634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6FB31C09-747A-4502-86DF-6D21704F38B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5395FD56-494D-446B-B745-65AA041D006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19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8F4D38C0-4ABE-4DE1-9061-31C23BC258D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8B39C91-4994-43F8-B5A4-6383DF44A23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75E820B-B341-47D7-8363-86C61AC9B5B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69379EE1-AD39-4A46-BCB1-C81932FE489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A7B8B2A1-0A54-4CEE-B28F-7FBFC979368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CBB86BCA-3E87-4822-AF21-93C7781CE30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-   </c:v>
                  </c:pt>
                  <c:pt idx="1">
                    <c:v> -   </c:v>
                  </c:pt>
                  <c:pt idx="2">
                    <c:v> -   </c:v>
                  </c:pt>
                  <c:pt idx="3">
                    <c:v> -   </c:v>
                  </c:pt>
                  <c:pt idx="4">
                    <c:v> -   </c:v>
                  </c:pt>
                  <c:pt idx="5">
                    <c:v> -  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364749720"/>
        <c:axId val="370565136"/>
      </c:barChart>
      <c:catAx>
        <c:axId val="3647497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6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4749720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67096"/>
        <c:axId val="370563960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64352"/>
        <c:axId val="370565920"/>
      </c:lineChart>
      <c:catAx>
        <c:axId val="370567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3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63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7096"/>
        <c:crosses val="autoZero"/>
        <c:crossBetween val="between"/>
        <c:majorUnit val="50000"/>
      </c:valAx>
      <c:catAx>
        <c:axId val="37056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565920"/>
        <c:crosses val="autoZero"/>
        <c:auto val="1"/>
        <c:lblAlgn val="ctr"/>
        <c:lblOffset val="100"/>
        <c:noMultiLvlLbl val="0"/>
      </c:catAx>
      <c:valAx>
        <c:axId val="370565920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4352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52592"/>
        <c:axId val="370554552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60432"/>
        <c:axId val="370551808"/>
      </c:lineChart>
      <c:catAx>
        <c:axId val="370552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5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2592"/>
        <c:crosses val="autoZero"/>
        <c:crossBetween val="between"/>
      </c:valAx>
      <c:catAx>
        <c:axId val="3705604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0551808"/>
        <c:crosses val="max"/>
        <c:auto val="1"/>
        <c:lblAlgn val="ctr"/>
        <c:lblOffset val="100"/>
        <c:noMultiLvlLbl val="0"/>
      </c:catAx>
      <c:valAx>
        <c:axId val="37055180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0432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52984"/>
        <c:axId val="370552200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58472"/>
        <c:axId val="370555336"/>
      </c:lineChart>
      <c:catAx>
        <c:axId val="370552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5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2984"/>
        <c:crosses val="autoZero"/>
        <c:crossBetween val="between"/>
      </c:valAx>
      <c:catAx>
        <c:axId val="370558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555336"/>
        <c:crosses val="autoZero"/>
        <c:auto val="1"/>
        <c:lblAlgn val="ctr"/>
        <c:lblOffset val="100"/>
        <c:noMultiLvlLbl val="0"/>
      </c:catAx>
      <c:valAx>
        <c:axId val="370555336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8472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51416"/>
        <c:axId val="370558864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60040"/>
        <c:axId val="370559256"/>
      </c:lineChart>
      <c:catAx>
        <c:axId val="3705514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8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1416"/>
        <c:crosses val="autoZero"/>
        <c:crossBetween val="between"/>
      </c:valAx>
      <c:catAx>
        <c:axId val="370560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559256"/>
        <c:crosses val="autoZero"/>
        <c:auto val="1"/>
        <c:lblAlgn val="ctr"/>
        <c:lblOffset val="100"/>
        <c:noMultiLvlLbl val="0"/>
      </c:catAx>
      <c:valAx>
        <c:axId val="37055925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004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60824"/>
        <c:axId val="370562000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59648"/>
        <c:axId val="370553376"/>
      </c:lineChart>
      <c:catAx>
        <c:axId val="370560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2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62000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0824"/>
        <c:crosses val="autoZero"/>
        <c:crossBetween val="between"/>
        <c:majorUnit val="1500"/>
      </c:valAx>
      <c:catAx>
        <c:axId val="370559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553376"/>
        <c:crosses val="autoZero"/>
        <c:auto val="1"/>
        <c:lblAlgn val="ctr"/>
        <c:lblOffset val="100"/>
        <c:noMultiLvlLbl val="0"/>
      </c:catAx>
      <c:valAx>
        <c:axId val="37055337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9648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56512"/>
        <c:axId val="370562784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61216"/>
        <c:axId val="370557296"/>
      </c:lineChart>
      <c:catAx>
        <c:axId val="370556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62784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56512"/>
        <c:crosses val="autoZero"/>
        <c:crossBetween val="between"/>
      </c:valAx>
      <c:catAx>
        <c:axId val="3705612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557296"/>
        <c:crosses val="autoZero"/>
        <c:auto val="1"/>
        <c:lblAlgn val="ctr"/>
        <c:lblOffset val="100"/>
        <c:noMultiLvlLbl val="0"/>
      </c:catAx>
      <c:valAx>
        <c:axId val="370557296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121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561608"/>
        <c:axId val="370563176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20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UAFIRFL.P.20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20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77704"/>
        <c:axId val="362471432"/>
      </c:lineChart>
      <c:catAx>
        <c:axId val="3705616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3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056317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70561608"/>
        <c:crosses val="autoZero"/>
        <c:crossBetween val="between"/>
      </c:valAx>
      <c:catAx>
        <c:axId val="362477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2471432"/>
        <c:crosses val="autoZero"/>
        <c:auto val="1"/>
        <c:lblAlgn val="ctr"/>
        <c:lblOffset val="100"/>
        <c:noMultiLvlLbl val="0"/>
      </c:catAx>
      <c:valAx>
        <c:axId val="362471432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247770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62475744"/>
        <c:axId val="362472216"/>
      </c:barChart>
      <c:catAx>
        <c:axId val="3624757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6247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472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247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2470648"/>
        <c:axId val="362473000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20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19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62473784"/>
        <c:axId val="362474568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470648"/>
        <c:axId val="36247300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36247378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362474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474568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2473784"/>
        <c:crosses val="autoZero"/>
        <c:crossBetween val="between"/>
      </c:valAx>
      <c:catAx>
        <c:axId val="362470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2473000"/>
        <c:crosses val="autoZero"/>
        <c:auto val="1"/>
        <c:lblAlgn val="ctr"/>
        <c:lblOffset val="100"/>
        <c:noMultiLvlLbl val="0"/>
      </c:catAx>
      <c:valAx>
        <c:axId val="362473000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362470648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19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20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C24"/>
  <sheetViews>
    <sheetView workbookViewId="0">
      <selection activeCell="D11" sqref="D11"/>
    </sheetView>
  </sheetViews>
  <sheetFormatPr baseColWidth="10" defaultRowHeight="14.5" x14ac:dyDescent="0.35"/>
  <sheetData>
    <row r="1" spans="1:3" x14ac:dyDescent="0.35">
      <c r="A1" t="s">
        <v>111</v>
      </c>
      <c r="B1" s="145">
        <f>BDER!M2</f>
        <v>43831</v>
      </c>
    </row>
    <row r="2" spans="1:3" x14ac:dyDescent="0.35">
      <c r="A2" t="s">
        <v>414</v>
      </c>
      <c r="B2" s="366">
        <f>EDATE(Mes_cierre,1)</f>
        <v>43862</v>
      </c>
    </row>
    <row r="3" spans="1:3" x14ac:dyDescent="0.35">
      <c r="B3" t="s">
        <v>388</v>
      </c>
      <c r="C3" t="s">
        <v>391</v>
      </c>
    </row>
    <row r="4" spans="1:3" x14ac:dyDescent="0.35">
      <c r="A4" t="s">
        <v>120</v>
      </c>
      <c r="B4" s="273">
        <f>division!J2</f>
        <v>1</v>
      </c>
    </row>
    <row r="5" spans="1:3" x14ac:dyDescent="0.35">
      <c r="A5" t="s">
        <v>367</v>
      </c>
      <c r="B5">
        <f>division!J10/MONTH(Mes_cierre)</f>
        <v>1</v>
      </c>
    </row>
    <row r="6" spans="1:3" x14ac:dyDescent="0.35">
      <c r="A6" t="s">
        <v>390</v>
      </c>
      <c r="B6">
        <f>division!L2</f>
        <v>1</v>
      </c>
      <c r="C6">
        <f>division!L10</f>
        <v>1</v>
      </c>
    </row>
    <row r="7" spans="1:3" x14ac:dyDescent="0.35">
      <c r="A7" t="s">
        <v>387</v>
      </c>
      <c r="B7">
        <f>division!K2</f>
        <v>1</v>
      </c>
      <c r="C7">
        <f>division!K10</f>
        <v>1</v>
      </c>
    </row>
    <row r="10" spans="1:3" x14ac:dyDescent="0.35">
      <c r="A10" s="285"/>
    </row>
    <row r="11" spans="1:3" x14ac:dyDescent="0.35">
      <c r="A11" s="286"/>
    </row>
    <row r="23" spans="1:1" x14ac:dyDescent="0.35">
      <c r="A23" s="183"/>
    </row>
    <row r="24" spans="1:1" x14ac:dyDescent="0.35">
      <c r="A24" s="18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abSelected="1" topLeftCell="A13" zoomScale="70" zoomScaleNormal="70" workbookViewId="0">
      <selection activeCell="O30" sqref="O30"/>
    </sheetView>
  </sheetViews>
  <sheetFormatPr baseColWidth="10" defaultRowHeight="14.5" x14ac:dyDescent="0.35"/>
  <cols>
    <col min="2" max="2" width="21.1796875" bestFit="1" customWidth="1"/>
    <col min="3" max="3" width="13.54296875" hidden="1" customWidth="1"/>
    <col min="4" max="4" width="0" hidden="1" customWidth="1"/>
    <col min="5" max="5" width="12.26953125" bestFit="1" customWidth="1"/>
    <col min="7" max="7" width="11.1796875" bestFit="1" customWidth="1"/>
    <col min="10" max="10" width="10.90625" customWidth="1"/>
    <col min="11" max="11" width="13.90625" customWidth="1"/>
    <col min="13" max="13" width="11.1796875" bestFit="1" customWidth="1"/>
    <col min="15" max="15" width="11.90625" customWidth="1"/>
    <col min="17" max="17" width="11.1796875" bestFit="1" customWidth="1"/>
    <col min="19" max="19" width="11.81640625" bestFit="1" customWidth="1"/>
    <col min="21" max="21" width="12" customWidth="1"/>
    <col min="23" max="23" width="11.6328125" bestFit="1" customWidth="1"/>
    <col min="27" max="27" width="13.90625" bestFit="1" customWidth="1"/>
    <col min="31" max="31" width="13.90625" bestFit="1" customWidth="1"/>
    <col min="35" max="42" width="11" bestFit="1" customWidth="1"/>
    <col min="43" max="43" width="13.36328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71">
        <v>14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71" t="s">
        <v>23</v>
      </c>
      <c r="AY2" s="371"/>
      <c r="AZ2" s="371"/>
      <c r="BA2" s="371"/>
      <c r="BB2" s="371"/>
      <c r="BC2" s="371"/>
      <c r="BD2" s="371"/>
      <c r="BE2" s="371"/>
      <c r="BF2" s="371"/>
      <c r="BG2" s="371"/>
      <c r="BH2" s="371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5"/>
      <c r="BG3" s="26" t="s">
        <v>4</v>
      </c>
      <c r="BH3" s="186"/>
    </row>
    <row r="4" spans="1:60" x14ac:dyDescent="0.35">
      <c r="B4" s="7" t="s">
        <v>5</v>
      </c>
      <c r="C4" s="194"/>
      <c r="D4" s="29" t="str">
        <f>IF(C$4=0,"N.D.",C4/C$4)</f>
        <v>N.D.</v>
      </c>
      <c r="E4" s="8">
        <f>TablasERxDiv!AA5</f>
        <v>0</v>
      </c>
      <c r="F4" s="29" t="str">
        <f>IF(E$4=0,"N.D.",E4/E$4)</f>
        <v>N.D.</v>
      </c>
      <c r="G4" s="195">
        <f>TablasERxDiv!BP5*TC_MES</f>
        <v>0</v>
      </c>
      <c r="H4" s="29" t="str">
        <f>IF(G$4=0,"N.D.",G4/G$4)</f>
        <v>N.D.</v>
      </c>
      <c r="I4" s="195">
        <f>TablasERxDiv!CF5*TC_MES</f>
        <v>0</v>
      </c>
      <c r="J4" s="29" t="str">
        <f>IF(I$4=0,"N.D.",I4/I$4)</f>
        <v>N.D.</v>
      </c>
      <c r="K4" s="195">
        <f>TablasERxDiv!AT5</f>
        <v>0</v>
      </c>
      <c r="L4" s="29" t="str">
        <f>IF(K$4=0,"N.D.",K4/K$4)</f>
        <v>N.D.</v>
      </c>
      <c r="M4" s="195">
        <f>TablasERxDiv!BC5</f>
        <v>0</v>
      </c>
      <c r="N4" s="29" t="str">
        <f>IF(M$4=0,"N.D.",M4/M$4)</f>
        <v>N.D.</v>
      </c>
      <c r="O4" s="195">
        <f>+K4+E4+C4+M4+G4+I4</f>
        <v>0</v>
      </c>
      <c r="P4" s="29" t="str">
        <f>IF(O$4=0,"N.D.",O4/O$4)</f>
        <v>N.D.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(BDER!K466+BDER!K489+BDER!K556+BDER!K601)*TC_MES/1000</f>
        <v>0</v>
      </c>
      <c r="X4" s="29" t="str">
        <f>IF(W$4=0,"N.D.",W4/W$4)</f>
        <v>N.D.</v>
      </c>
      <c r="Y4" s="8">
        <f>Y77*TC_MES</f>
        <v>0</v>
      </c>
      <c r="Z4" s="29" t="str">
        <f t="shared" ref="Z4:AB6" si="0">IF(Y$4=0,"N.D.",Y4/Y$4)</f>
        <v>N.D.</v>
      </c>
      <c r="AA4" s="8">
        <f>(BDER!K290+BDER!K312+BDER!G334+BDER!K356+BDER!K378+BDER!K400)/1000</f>
        <v>0</v>
      </c>
      <c r="AB4" s="29" t="str">
        <f t="shared" si="0"/>
        <v>N.D.</v>
      </c>
      <c r="AC4" s="8">
        <f>(BDER!K422+BDER!K444)/1000</f>
        <v>0</v>
      </c>
      <c r="AD4" s="29" t="str">
        <f t="shared" ref="AD4" si="1">IF(AC$4=0,"N.D.",AC4/AC$4)</f>
        <v>N.D.</v>
      </c>
      <c r="AE4" s="8">
        <f>+AA4+U4+S4+AC4+W4+Y4</f>
        <v>0</v>
      </c>
      <c r="AF4" s="29" t="str">
        <f t="shared" ref="AF4" si="2">IF(AE$4=0,"N.D.",AE4/AE$4)</f>
        <v>N.D.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0</v>
      </c>
      <c r="AL4" s="29" t="str">
        <f t="shared" ref="AL4:AL6" si="3">IF(AK$4=0,"N.D.",AK4/AK$4)</f>
        <v>N.D.</v>
      </c>
      <c r="AM4" s="8">
        <f>(BDER!G466+BDER!G489+BDER!G556+BDER!G601)*TC_MES/1000</f>
        <v>0</v>
      </c>
      <c r="AN4" s="29" t="str">
        <f t="shared" ref="AN4:AN6" si="4">IF(AM$4=0,"N.D.",AM4/AM$4)</f>
        <v>N.D.</v>
      </c>
      <c r="AO4" s="8">
        <f>AO77*TC_MES</f>
        <v>0</v>
      </c>
      <c r="AP4" s="29" t="str">
        <f t="shared" ref="AP4:AP6" si="5">IF(AO$4=0,"N.D.",AO4/AO$4)</f>
        <v>N.D.</v>
      </c>
      <c r="AQ4" s="8">
        <f>(BDER!G290+BDER!G312+BDER!E334+BDER!G356+BDER!G378+BDER!G400)/1000</f>
        <v>0</v>
      </c>
      <c r="AR4" s="29" t="str">
        <f t="shared" ref="AR4:AR6" si="6">IF(AQ$4=0,"N.D.",AQ4/AQ$4)</f>
        <v>N.D.</v>
      </c>
      <c r="AS4" s="8">
        <f>(BDER!G422+BDER!G444)/1000</f>
        <v>0</v>
      </c>
      <c r="AT4" s="29" t="str">
        <f t="shared" ref="AT4:AT6" si="7">IF(AS$4=0,"N.D.",AS4/AS$4)</f>
        <v>N.D.</v>
      </c>
      <c r="AU4" s="8">
        <f>+AQ4+AK4+AI4+AS4+AM4+AO4</f>
        <v>0</v>
      </c>
      <c r="AV4" s="29" t="str">
        <f t="shared" ref="AV4:AV6" si="8">IF(AU$4=0,"N.D.",AU4/AU$4)</f>
        <v>N.D.</v>
      </c>
      <c r="AW4" s="25"/>
      <c r="AX4" s="1" t="s">
        <v>5</v>
      </c>
      <c r="AY4" s="8">
        <f>O4</f>
        <v>0</v>
      </c>
      <c r="AZ4" s="9" t="str">
        <f>IF(AY$4=0,"N.D.",AY4/AY$4)</f>
        <v>N.D.</v>
      </c>
      <c r="BA4" s="8">
        <f t="shared" ref="BA4:BA25" si="9">AE4</f>
        <v>0</v>
      </c>
      <c r="BB4" s="9" t="str">
        <f>IF(BA$4=0,"N.D.",BA4/BA$4)</f>
        <v>N.D.</v>
      </c>
      <c r="BC4" s="8">
        <f t="shared" ref="BC4:BC25" si="10">AU4</f>
        <v>0</v>
      </c>
      <c r="BD4" s="9" t="str">
        <f>IF(BC$4=0,"N.D.",BC4/BC$4)</f>
        <v>N.D.</v>
      </c>
      <c r="BE4" s="8">
        <f>+AY4-BA4</f>
        <v>0</v>
      </c>
      <c r="BF4" s="10" t="str">
        <f>IF(BA4=0,"N.D.",AY4/BA4-1)</f>
        <v>N.D.</v>
      </c>
      <c r="BG4" s="8">
        <f>AY4-BC4</f>
        <v>0</v>
      </c>
      <c r="BH4" s="10" t="str">
        <f>IF(BC4=0, "N.D.",AY4/BC4-1)</f>
        <v>N.D.</v>
      </c>
    </row>
    <row r="5" spans="1:60" x14ac:dyDescent="0.35">
      <c r="B5" s="7" t="s">
        <v>6</v>
      </c>
      <c r="C5" s="196"/>
      <c r="D5" s="193" t="str">
        <f>IF(C$4=0,"N.D.",C5/C$4)</f>
        <v>N.D.</v>
      </c>
      <c r="E5" s="34">
        <f>TablasERxDiv!AA6</f>
        <v>0</v>
      </c>
      <c r="F5" s="190" t="str">
        <f>IF(E$4=0,"N.D.",E5/E$4)</f>
        <v>N.D.</v>
      </c>
      <c r="G5" s="197">
        <f>TablasERxDiv!BP6*TC_MES</f>
        <v>0</v>
      </c>
      <c r="H5" s="193" t="str">
        <f>IF(G$4=0,"N.D.",G5/G$4)</f>
        <v>N.D.</v>
      </c>
      <c r="I5" s="197">
        <f>TablasERxDiv!CF6*TC_MES</f>
        <v>0</v>
      </c>
      <c r="J5" s="190" t="str">
        <f>IF(I$4=0,"N.D.",I5/I$4)</f>
        <v>N.D.</v>
      </c>
      <c r="K5" s="197">
        <f>TablasERxDiv!AT6</f>
        <v>0</v>
      </c>
      <c r="L5" s="190" t="str">
        <f>IF(K$4=0,"N.D.",K5/K$4)</f>
        <v>N.D.</v>
      </c>
      <c r="M5" s="197">
        <f>TablasERxDiv!BC6</f>
        <v>0</v>
      </c>
      <c r="N5" s="190" t="str">
        <f>IF(M$4=0,"N.D.",M5/M$4)</f>
        <v>N.D.</v>
      </c>
      <c r="O5" s="197">
        <f>+K5+E5+C5+M5+G5+I5</f>
        <v>0</v>
      </c>
      <c r="P5" s="193" t="str">
        <f>IF(O$4=0,"N.D.",O5/O$4)</f>
        <v>N.D.</v>
      </c>
      <c r="R5" s="7" t="s">
        <v>6</v>
      </c>
      <c r="S5" s="8"/>
      <c r="T5" s="42" t="str">
        <f t="shared" ref="T5:T6" si="11">IF(S$4=0,"N.D.",S5/S$4)</f>
        <v>N.D.</v>
      </c>
      <c r="U5" s="8">
        <f>(BDER!K5+BDER!K27+BDER!K49+BDER!K71+BDER!K93+BDER!K115)/1000</f>
        <v>0</v>
      </c>
      <c r="V5" s="42" t="str">
        <f t="shared" ref="V5:V6" si="12">IF(U$4=0,"N.D.",U5/U$4)</f>
        <v>N.D.</v>
      </c>
      <c r="W5" s="8">
        <f>(BDER!K467+BDER!K490+BDER!K557+BDER!K602)*TC_MES/1000</f>
        <v>0</v>
      </c>
      <c r="X5" s="42" t="str">
        <f t="shared" ref="X5:X6" si="13">IF(W$4=0,"N.D.",W5/W$4)</f>
        <v>N.D.</v>
      </c>
      <c r="Y5" s="8">
        <f>Y78*TC_MES</f>
        <v>0</v>
      </c>
      <c r="Z5" s="42" t="str">
        <f t="shared" ref="Z5" si="14">IF(Y$4=0,"N.D.",Y5/Y$4)</f>
        <v>N.D.</v>
      </c>
      <c r="AA5" s="8">
        <f>(BDER!K291+BDER!K313+BDER!G335+BDER!K357+BDER!K379+BDER!K401)/1000</f>
        <v>0</v>
      </c>
      <c r="AB5" s="42" t="str">
        <f t="shared" si="0"/>
        <v>N.D.</v>
      </c>
      <c r="AC5" s="8">
        <f>(BDER!K423+BDER!K445)/1000</f>
        <v>0</v>
      </c>
      <c r="AD5" s="42" t="str">
        <f t="shared" ref="AD5" si="15">IF(AC$4=0,"N.D.",AC5/AC$4)</f>
        <v>N.D.</v>
      </c>
      <c r="AE5" s="11">
        <f>+AA5+U5+S5+AC5+W5+Y5</f>
        <v>0</v>
      </c>
      <c r="AF5" s="42" t="str">
        <f t="shared" ref="AF5" si="16">IF(AE$4=0,"N.D.",AE5/AE$4)</f>
        <v>N.D.</v>
      </c>
      <c r="AG5" s="40"/>
      <c r="AH5" s="7" t="s">
        <v>6</v>
      </c>
      <c r="AI5" s="8"/>
      <c r="AJ5" s="42" t="str">
        <f t="shared" ref="AJ5:AJ6" si="17">IF(AI$4=0,"N.D.",AI5/AI$4)</f>
        <v>N.D.</v>
      </c>
      <c r="AK5" s="8">
        <f>(BDER!G5+BDER!G27+BDER!G49+BDER!G71+BDER!G93+BDER!G115)/1000</f>
        <v>0</v>
      </c>
      <c r="AL5" s="42" t="str">
        <f t="shared" si="3"/>
        <v>N.D.</v>
      </c>
      <c r="AM5" s="8">
        <f>(BDER!G467+BDER!G490+BDER!G557+BDER!G602)*TC_MES/1000</f>
        <v>0</v>
      </c>
      <c r="AN5" s="42" t="str">
        <f>IF(AM$4=0,"N.D.",AM5/AM$4)</f>
        <v>N.D.</v>
      </c>
      <c r="AO5" s="8">
        <f>AO78*TC_MES</f>
        <v>0</v>
      </c>
      <c r="AP5" s="42" t="str">
        <f t="shared" si="5"/>
        <v>N.D.</v>
      </c>
      <c r="AQ5" s="8">
        <f>(BDER!G291+BDER!G313+BDER!E335+BDER!G357+BDER!G379+BDER!G401)/1000</f>
        <v>0</v>
      </c>
      <c r="AR5" s="42" t="str">
        <f t="shared" si="6"/>
        <v>N.D.</v>
      </c>
      <c r="AS5" s="8">
        <f>(BDER!G423+BDER!G445)/1000</f>
        <v>0</v>
      </c>
      <c r="AT5" s="42" t="str">
        <f t="shared" si="7"/>
        <v>N.D.</v>
      </c>
      <c r="AU5" s="11">
        <f>+AQ5+AK5+AI5+AS5+AM5+AO5</f>
        <v>0</v>
      </c>
      <c r="AV5" s="42" t="str">
        <f t="shared" si="8"/>
        <v>N.D.</v>
      </c>
      <c r="AW5" s="25"/>
      <c r="AX5" s="1" t="s">
        <v>6</v>
      </c>
      <c r="AY5" s="11">
        <f>O5</f>
        <v>0</v>
      </c>
      <c r="AZ5" s="12" t="str">
        <f t="shared" ref="AZ5:AZ6" si="18">IF(AY$4=0,"N.D.",AY5/AY$4)</f>
        <v>N.D.</v>
      </c>
      <c r="BA5" s="11">
        <f t="shared" si="9"/>
        <v>0</v>
      </c>
      <c r="BB5" s="12" t="str">
        <f t="shared" ref="BB5:BB6" si="19">IF(BA$4=0,"N.D.",BA5/BA$4)</f>
        <v>N.D.</v>
      </c>
      <c r="BC5" s="11">
        <f>AU5</f>
        <v>0</v>
      </c>
      <c r="BD5" s="12" t="str">
        <f t="shared" ref="BD5:BD6" si="20">IF(BC$4=0,"N.D.",BC5/BC$4)</f>
        <v>N.D.</v>
      </c>
      <c r="BE5" s="11">
        <f>+AY5-BA5</f>
        <v>0</v>
      </c>
      <c r="BF5" s="13" t="str">
        <f>IF(BA5=0,"N.D.",AY5/BA5-1)</f>
        <v>N.D.</v>
      </c>
      <c r="BG5" s="11">
        <f>AY5-BC5</f>
        <v>0</v>
      </c>
      <c r="BH5" s="13" t="str">
        <f>IF(BC5=0, "N.D.",AY5/BC5-1)</f>
        <v>N.D.</v>
      </c>
    </row>
    <row r="6" spans="1:60" x14ac:dyDescent="0.35">
      <c r="B6" s="4" t="s">
        <v>7</v>
      </c>
      <c r="C6" s="20"/>
      <c r="D6" s="35" t="str">
        <f>IF(C$4=0,"N.D.",C6/C$4)</f>
        <v>N.D.</v>
      </c>
      <c r="E6" s="20">
        <f>+E4-E5</f>
        <v>0</v>
      </c>
      <c r="F6" s="35" t="str">
        <f>IF(E$4=0,"N.D.",E6/E$4)</f>
        <v>N.D.</v>
      </c>
      <c r="G6" s="20">
        <f>+G4-G5</f>
        <v>0</v>
      </c>
      <c r="H6" s="35" t="str">
        <f>IF(G$4=0,"N.D.",G6/G$4)</f>
        <v>N.D.</v>
      </c>
      <c r="I6" s="20">
        <f>+I4-I5</f>
        <v>0</v>
      </c>
      <c r="J6" s="35" t="str">
        <f>IF(I$4=0,"N.D.",I6/I$4)</f>
        <v>N.D.</v>
      </c>
      <c r="K6" s="20">
        <f>+K4-K5</f>
        <v>0</v>
      </c>
      <c r="L6" s="35" t="str">
        <f>IF(K$4=0,"N.D.",K6/K$4)</f>
        <v>N.D.</v>
      </c>
      <c r="M6" s="191">
        <f>+M4-M5</f>
        <v>0</v>
      </c>
      <c r="N6" s="35" t="str">
        <f>IF(M$4=0,"N.D.",M6/M$4)</f>
        <v>N.D.</v>
      </c>
      <c r="O6" s="192">
        <f>+O4-O5</f>
        <v>0</v>
      </c>
      <c r="P6" s="35" t="str">
        <f>IF(O$4=0,"N.D.",O6/O$4)</f>
        <v>N.D.</v>
      </c>
      <c r="R6" s="4" t="s">
        <v>7</v>
      </c>
      <c r="S6" s="14"/>
      <c r="T6" s="43" t="str">
        <f t="shared" si="11"/>
        <v>N.D.</v>
      </c>
      <c r="U6" s="14">
        <f>U4-U5</f>
        <v>0</v>
      </c>
      <c r="V6" s="43" t="str">
        <f t="shared" si="12"/>
        <v>N.D.</v>
      </c>
      <c r="W6" s="14">
        <f>W4-W5</f>
        <v>0</v>
      </c>
      <c r="X6" s="43" t="str">
        <f t="shared" si="13"/>
        <v>N.D.</v>
      </c>
      <c r="Y6" s="14">
        <f>Y4-Y5</f>
        <v>0</v>
      </c>
      <c r="Z6" s="43" t="str">
        <f t="shared" ref="Z6" si="21">IF(Y$4=0,"N.D.",Y6/Y$4)</f>
        <v>N.D.</v>
      </c>
      <c r="AA6" s="14">
        <f>AA4-AA5</f>
        <v>0</v>
      </c>
      <c r="AB6" s="43" t="str">
        <f t="shared" si="0"/>
        <v>N.D.</v>
      </c>
      <c r="AC6" s="14">
        <f>AC4-AC5</f>
        <v>0</v>
      </c>
      <c r="AD6" s="43" t="str">
        <f t="shared" ref="AD6" si="22">IF(AC$4=0,"N.D.",AC6/AC$4)</f>
        <v>N.D.</v>
      </c>
      <c r="AE6" s="14">
        <f>AE4-AE5</f>
        <v>0</v>
      </c>
      <c r="AF6" s="43" t="str">
        <f t="shared" ref="AF6" si="23">IF(AE$4=0,"N.D.",AE6/AE$4)</f>
        <v>N.D.</v>
      </c>
      <c r="AG6" s="25"/>
      <c r="AH6" s="4" t="s">
        <v>7</v>
      </c>
      <c r="AI6" s="14"/>
      <c r="AJ6" s="43" t="str">
        <f t="shared" si="17"/>
        <v>N.D.</v>
      </c>
      <c r="AK6" s="14">
        <f>+AK4-AK5</f>
        <v>0</v>
      </c>
      <c r="AL6" s="43" t="str">
        <f t="shared" si="3"/>
        <v>N.D.</v>
      </c>
      <c r="AM6" s="14">
        <f>+AM4-AM5</f>
        <v>0</v>
      </c>
      <c r="AN6" s="43" t="str">
        <f t="shared" si="4"/>
        <v>N.D.</v>
      </c>
      <c r="AO6" s="14">
        <f>+AO4-AO5</f>
        <v>0</v>
      </c>
      <c r="AP6" s="43" t="str">
        <f t="shared" si="5"/>
        <v>N.D.</v>
      </c>
      <c r="AQ6" s="14">
        <f>+AQ4-AQ5</f>
        <v>0</v>
      </c>
      <c r="AR6" s="43" t="str">
        <f t="shared" si="6"/>
        <v>N.D.</v>
      </c>
      <c r="AS6" s="14">
        <f>+AS4-AS5</f>
        <v>0</v>
      </c>
      <c r="AT6" s="43" t="str">
        <f t="shared" si="7"/>
        <v>N.D.</v>
      </c>
      <c r="AU6" s="14">
        <f>+AQ6+AK6+AI6+AS6+AM6+AO6</f>
        <v>0</v>
      </c>
      <c r="AV6" s="43" t="str">
        <f t="shared" si="8"/>
        <v>N.D.</v>
      </c>
      <c r="AW6" s="25"/>
      <c r="AX6" s="26" t="s">
        <v>7</v>
      </c>
      <c r="AY6" s="14">
        <f>O6</f>
        <v>0</v>
      </c>
      <c r="AZ6" s="15" t="str">
        <f t="shared" si="18"/>
        <v>N.D.</v>
      </c>
      <c r="BA6" s="14">
        <f t="shared" si="9"/>
        <v>0</v>
      </c>
      <c r="BB6" s="15" t="str">
        <f t="shared" si="19"/>
        <v>N.D.</v>
      </c>
      <c r="BC6" s="14">
        <f t="shared" si="10"/>
        <v>0</v>
      </c>
      <c r="BD6" s="15" t="str">
        <f t="shared" si="20"/>
        <v>N.D.</v>
      </c>
      <c r="BE6" s="14">
        <f>+AY6-BA6</f>
        <v>0</v>
      </c>
      <c r="BF6" s="16" t="str">
        <f>IF(BA6=0,"N.D.",AY6/BA6-1)</f>
        <v>N.D.</v>
      </c>
      <c r="BG6" s="14">
        <f>AY6-BC6</f>
        <v>0</v>
      </c>
      <c r="BH6" s="16" t="str">
        <f>IF(BC6=0, "N.D.",AY6/BC6-1)</f>
        <v>N.D.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7"/>
      <c r="BA7" s="30"/>
      <c r="BB7" s="187"/>
      <c r="BC7" s="30"/>
      <c r="BD7" s="187"/>
      <c r="BE7" s="30"/>
      <c r="BF7" s="188"/>
      <c r="BG7" s="30"/>
      <c r="BH7" s="188"/>
    </row>
    <row r="8" spans="1:60" x14ac:dyDescent="0.35">
      <c r="B8" s="7" t="s">
        <v>8</v>
      </c>
      <c r="C8" s="194"/>
      <c r="D8" s="29" t="str">
        <f>IF(C$4=0,"N.D.",C8/C$4)</f>
        <v>N.D.</v>
      </c>
      <c r="E8" s="8">
        <f>TablasERxDiv!AA9</f>
        <v>0</v>
      </c>
      <c r="F8" s="29" t="str">
        <f>IF(E$4=0,"N.D.",E8/E$4)</f>
        <v>N.D.</v>
      </c>
      <c r="G8" s="195">
        <f>TablasERxDiv!BP9*TC_MES</f>
        <v>0</v>
      </c>
      <c r="H8" s="29" t="str">
        <f>IF(G$4=0,"N.D.",G8/G$4)</f>
        <v>N.D.</v>
      </c>
      <c r="I8" s="195">
        <f>TablasERxDiv!CF9*TC_MES</f>
        <v>0</v>
      </c>
      <c r="J8" s="29" t="str">
        <f>IF(I$4=0,"N.D.",I8/I$4)</f>
        <v>N.D.</v>
      </c>
      <c r="K8" s="195">
        <f>TablasERxDiv!AT9</f>
        <v>0</v>
      </c>
      <c r="L8" s="29" t="str">
        <f>IF(K$4=0,"N.D.",K8/K$4)</f>
        <v>N.D.</v>
      </c>
      <c r="M8" s="195">
        <f>TablasERxDiv!BC9</f>
        <v>0</v>
      </c>
      <c r="N8" s="29" t="str">
        <f>IF(M$4=0,"N.D.",M8/M$4)</f>
        <v>N.D.</v>
      </c>
      <c r="O8" s="195">
        <f>+K8+E8+C8+M8+G8+I8</f>
        <v>0</v>
      </c>
      <c r="P8" s="29" t="str">
        <f>IF(O$4=0,"N.D.",O8/O$4)</f>
        <v>N.D.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(BDER!K470+BDER!K493+BDER!K560+BDER!K605)*TC_MES/1000</f>
        <v>0</v>
      </c>
      <c r="X8" s="29" t="str">
        <f t="shared" ref="X8:X12" si="25">IF(W$4=0,"N.D.",W8/W$4)</f>
        <v>N.D.</v>
      </c>
      <c r="Y8" s="8">
        <f>Y81*TC_MES</f>
        <v>0</v>
      </c>
      <c r="Z8" s="29" t="str">
        <f t="shared" ref="Z8" si="26">IF(Y$4=0,"N.D.",Y8/Y$4)</f>
        <v>N.D.</v>
      </c>
      <c r="AA8" s="8">
        <f>(BDER!K293+BDER!K315+BDER!G337+BDER!K359+BDER!K381+BDER!K403)/1000</f>
        <v>0</v>
      </c>
      <c r="AB8" s="29" t="str">
        <f t="shared" ref="AB8" si="27">IF(AA$4=0,"N.D.",AA8/AA$4)</f>
        <v>N.D.</v>
      </c>
      <c r="AC8" s="8">
        <f>(BDER!K425+BDER!K447)/1000</f>
        <v>0</v>
      </c>
      <c r="AD8" s="29" t="str">
        <f t="shared" ref="AD8" si="28">IF(AC$4=0,"N.D.",AC8/AC$4)</f>
        <v>N.D.</v>
      </c>
      <c r="AE8" s="8">
        <f>+AA8+U8+S8+AC8+W8+Y8</f>
        <v>0</v>
      </c>
      <c r="AF8" s="29" t="str">
        <f t="shared" ref="AF8" si="29">IF(AE$4=0,"N.D.",AE8/AE$4)</f>
        <v>N.D.</v>
      </c>
      <c r="AG8" s="25"/>
      <c r="AH8" s="7" t="s">
        <v>8</v>
      </c>
      <c r="AI8" s="8"/>
      <c r="AJ8" s="29" t="str">
        <f t="shared" ref="AJ8:AJ12" si="30">IF(AI$4=0,"N.D.",AI8/AI$4)</f>
        <v>N.D.</v>
      </c>
      <c r="AK8" s="8">
        <f>(BDER!G7+BDER!G29+BDER!G51+BDER!G73+BDER!G95+BDER!G117)/1000</f>
        <v>0</v>
      </c>
      <c r="AL8" s="29" t="str">
        <f t="shared" ref="AL8:AL12" si="31">IF(AK$4=0,"N.D.",AK8/AK$4)</f>
        <v>N.D.</v>
      </c>
      <c r="AM8" s="8">
        <f>(BDER!G470+BDER!G493+BDER!G560+BDER!G605)*TC_MES/1000</f>
        <v>0</v>
      </c>
      <c r="AN8" s="29" t="str">
        <f t="shared" ref="AN8:AN12" si="32">IF(AM$4=0,"N.D.",AM8/AM$4)</f>
        <v>N.D.</v>
      </c>
      <c r="AO8" s="8">
        <f>AO81*TC_MES</f>
        <v>0</v>
      </c>
      <c r="AP8" s="29" t="str">
        <f t="shared" ref="AP8:AP12" si="33">IF(AO$4=0,"N.D.",AO8/AO$4)</f>
        <v>N.D.</v>
      </c>
      <c r="AQ8" s="8">
        <f>(BDER!G293+BDER!G315+BDER!E337+BDER!G359+BDER!G381+BDER!G403)/1000</f>
        <v>0</v>
      </c>
      <c r="AR8" s="29" t="str">
        <f t="shared" ref="AR8:AR12" si="34">IF(AQ$4=0,"N.D.",AQ8/AQ$4)</f>
        <v>N.D.</v>
      </c>
      <c r="AS8" s="8">
        <f>(BDER!G425+BDER!G447)/1000</f>
        <v>0</v>
      </c>
      <c r="AT8" s="29" t="str">
        <f>IF(AS$4=0,"N.D.",AS8/AS$4)</f>
        <v>N.D.</v>
      </c>
      <c r="AU8" s="8">
        <f>+AQ8+AK8+AI8+AS8+AM8+AO8</f>
        <v>0</v>
      </c>
      <c r="AV8" s="29" t="str">
        <f t="shared" ref="AV8:AV12" si="35">IF(AU$4=0,"N.D.",AU8/AU$4)</f>
        <v>N.D.</v>
      </c>
      <c r="AW8" s="25"/>
      <c r="AX8" s="1" t="s">
        <v>8</v>
      </c>
      <c r="AY8" s="8">
        <f>O8</f>
        <v>0</v>
      </c>
      <c r="AZ8" s="9" t="str">
        <f t="shared" ref="AZ8:AZ12" si="36">IF(AY$4=0,"N.D.",AY8/AY$4)</f>
        <v>N.D.</v>
      </c>
      <c r="BA8" s="8">
        <f t="shared" si="9"/>
        <v>0</v>
      </c>
      <c r="BB8" s="9" t="str">
        <f t="shared" ref="BB8:BB12" si="37">IF(BA$4=0,"N.D.",BA8/BA$4)</f>
        <v>N.D.</v>
      </c>
      <c r="BC8" s="8">
        <f t="shared" si="10"/>
        <v>0</v>
      </c>
      <c r="BD8" s="9" t="str">
        <f t="shared" ref="BD8:BD25" si="38">IF(BC$4=0,"N.D.",BC8/BC$4)</f>
        <v>N.D.</v>
      </c>
      <c r="BE8" s="8">
        <f>+AY8-BA8</f>
        <v>0</v>
      </c>
      <c r="BF8" s="10" t="str">
        <f>IF(BA8=0,"N.D.",AY8/BA8-1)</f>
        <v>N.D.</v>
      </c>
      <c r="BG8" s="8">
        <f>AY8-BC8</f>
        <v>0</v>
      </c>
      <c r="BH8" s="10" t="str">
        <f>IF(BC8=0, "N.D.",AY8/BC8-1)</f>
        <v>N.D.</v>
      </c>
    </row>
    <row r="9" spans="1:60" x14ac:dyDescent="0.35">
      <c r="B9" s="7" t="s">
        <v>9</v>
      </c>
      <c r="C9" s="198"/>
      <c r="D9" s="42" t="str">
        <f>IF(C$4=0,"N.D.",C9/C$4)</f>
        <v>N.D.</v>
      </c>
      <c r="E9" s="11">
        <f>TablasERxDiv!AA10-E15-E14</f>
        <v>0</v>
      </c>
      <c r="F9" s="42" t="str">
        <f>IF(E$4=0,"N.D.",E9/E$4)</f>
        <v>N.D.</v>
      </c>
      <c r="G9" s="30">
        <f>TablasERxDiv!BP10*TC_MES-G15-G14</f>
        <v>0</v>
      </c>
      <c r="H9" s="42" t="str">
        <f>IF(G$4=0,"N.D.",G9/G$4)</f>
        <v>N.D.</v>
      </c>
      <c r="I9" s="30">
        <f>TablasERxDiv!CF10*TC_MES-I15-I14</f>
        <v>0</v>
      </c>
      <c r="J9" s="42" t="str">
        <f>IF(I$4=0,"N.D.",I9/I$4)</f>
        <v>N.D.</v>
      </c>
      <c r="K9" s="30">
        <f>TablasERxDiv!AT10-K15-K14</f>
        <v>0</v>
      </c>
      <c r="L9" s="42" t="str">
        <f>IF(K$4=0,"N.D.",K9/K$4)</f>
        <v>N.D.</v>
      </c>
      <c r="M9" s="30">
        <f>TablasERxDiv!BC10-M15-M14</f>
        <v>0</v>
      </c>
      <c r="N9" s="42" t="str">
        <f>IF(M$4=0,"N.D.",M9/M$4)</f>
        <v>N.D.</v>
      </c>
      <c r="O9" s="30">
        <f>+K9+E9+C9+M9+G9+I9</f>
        <v>0</v>
      </c>
      <c r="P9" s="42" t="str">
        <f>IF(O$4=0,"N.D.",O9/O$4)</f>
        <v>N.D.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9">IF(U$4=0,"N.D.",U9/U$4)</f>
        <v>N.D.</v>
      </c>
      <c r="W9" s="8">
        <f>(BDER!K471+BDER!K494+BDER!K561+BDER!K606)*TC_MES/1000</f>
        <v>0</v>
      </c>
      <c r="X9" s="42" t="str">
        <f t="shared" si="25"/>
        <v>N.D.</v>
      </c>
      <c r="Y9" s="8">
        <f>Y82*TC_MES</f>
        <v>0</v>
      </c>
      <c r="Z9" s="42" t="str">
        <f t="shared" ref="Z9" si="40">IF(Y$4=0,"N.D.",Y9/Y$4)</f>
        <v>N.D.</v>
      </c>
      <c r="AA9" s="8">
        <f>(BDER!K294+BDER!K316+BDER!G338+BDER!K360+BDER!K382+BDER!K404)/1000</f>
        <v>0</v>
      </c>
      <c r="AB9" s="42" t="str">
        <f t="shared" ref="AB9" si="41">IF(AA$4=0,"N.D.",AA9/AA$4)</f>
        <v>N.D.</v>
      </c>
      <c r="AC9" s="8">
        <f>(BDER!K426+BDER!K448)/1000</f>
        <v>0</v>
      </c>
      <c r="AD9" s="42" t="str">
        <f t="shared" ref="AD9" si="42">IF(AC$4=0,"N.D.",AC9/AC$4)</f>
        <v>N.D.</v>
      </c>
      <c r="AE9" s="11">
        <f>+AA9+U9+S9+AC9+W9+Y9</f>
        <v>0</v>
      </c>
      <c r="AF9" s="42" t="str">
        <f t="shared" ref="AF9" si="43">IF(AE$4=0,"N.D.",AE9/AE$4)</f>
        <v>N.D.</v>
      </c>
      <c r="AG9" s="25"/>
      <c r="AH9" s="7" t="s">
        <v>9</v>
      </c>
      <c r="AI9" s="8"/>
      <c r="AJ9" s="42" t="str">
        <f t="shared" si="30"/>
        <v>N.D.</v>
      </c>
      <c r="AK9" s="8">
        <f>(BDER!G8+BDER!G30+BDER!G52+BDER!G74+BDER!G96+BDER!G118)/1000</f>
        <v>0</v>
      </c>
      <c r="AL9" s="42" t="str">
        <f t="shared" si="31"/>
        <v>N.D.</v>
      </c>
      <c r="AM9" s="8">
        <f>(BDER!G471+BDER!G494+BDER!G561+BDER!G606)*TC_MES/1000</f>
        <v>0</v>
      </c>
      <c r="AN9" s="42" t="str">
        <f t="shared" si="32"/>
        <v>N.D.</v>
      </c>
      <c r="AO9" s="8">
        <f>AO82*TC_MES</f>
        <v>0</v>
      </c>
      <c r="AP9" s="42" t="str">
        <f t="shared" si="33"/>
        <v>N.D.</v>
      </c>
      <c r="AQ9" s="8">
        <f>(BDER!G294+BDER!G316+BDER!E338+BDER!G360+BDER!G382+BDER!G404)/1000</f>
        <v>0</v>
      </c>
      <c r="AR9" s="42" t="str">
        <f t="shared" si="34"/>
        <v>N.D.</v>
      </c>
      <c r="AS9" s="8">
        <f>(BDER!G426+BDER!G448)/1000</f>
        <v>0</v>
      </c>
      <c r="AT9" s="42" t="str">
        <f t="shared" ref="AT9:AT12" si="44">IF(AS$4=0,"N.D.",AS9/AS$4)</f>
        <v>N.D.</v>
      </c>
      <c r="AU9" s="11">
        <f>+AQ9+AK9+AI9+AS9+AM9+AO9</f>
        <v>0</v>
      </c>
      <c r="AV9" s="42" t="str">
        <f t="shared" si="35"/>
        <v>N.D.</v>
      </c>
      <c r="AW9" s="25"/>
      <c r="AX9" s="1" t="s">
        <v>9</v>
      </c>
      <c r="AY9" s="11">
        <f>O9+O14+O15</f>
        <v>0</v>
      </c>
      <c r="AZ9" s="12" t="str">
        <f t="shared" si="36"/>
        <v>N.D.</v>
      </c>
      <c r="BA9" s="11">
        <f t="shared" si="9"/>
        <v>0</v>
      </c>
      <c r="BB9" s="12" t="str">
        <f t="shared" si="37"/>
        <v>N.D.</v>
      </c>
      <c r="BC9" s="11">
        <f t="shared" si="10"/>
        <v>0</v>
      </c>
      <c r="BD9" s="12" t="str">
        <f t="shared" si="38"/>
        <v>N.D.</v>
      </c>
      <c r="BE9" s="11">
        <f>+AY9-BA9</f>
        <v>0</v>
      </c>
      <c r="BF9" s="13" t="str">
        <f>IF(BA9=0,"N.D.",AY9/BA9-1)</f>
        <v>N.D.</v>
      </c>
      <c r="BG9" s="11">
        <f>AY9-BC9</f>
        <v>0</v>
      </c>
      <c r="BH9" s="13" t="str">
        <f>IF(BC9=0, "N.D.",AY9/BC9-1)</f>
        <v>N.D.</v>
      </c>
    </row>
    <row r="10" spans="1:60" x14ac:dyDescent="0.35">
      <c r="B10" s="7" t="s">
        <v>10</v>
      </c>
      <c r="C10" s="196"/>
      <c r="D10" s="193" t="str">
        <f>IF(C$4=0,"N.D.",C10/C$4)</f>
        <v>N.D.</v>
      </c>
      <c r="E10" s="34">
        <f>TablasERxDiv!AA11</f>
        <v>0</v>
      </c>
      <c r="F10" s="193" t="str">
        <f>IF(E$4=0,"N.D.",E10/E$4)</f>
        <v>N.D.</v>
      </c>
      <c r="G10" s="197">
        <f>TablasERxDiv!BP11*TC_MES</f>
        <v>0</v>
      </c>
      <c r="H10" s="193" t="str">
        <f>IF(G$4=0,"N.D.",G10/G$4)</f>
        <v>N.D.</v>
      </c>
      <c r="I10" s="197">
        <f>TablasERxDiv!CF11*TC_MES</f>
        <v>0</v>
      </c>
      <c r="J10" s="193" t="str">
        <f>IF(I$4=0,"N.D.",I10/I$4)</f>
        <v>N.D.</v>
      </c>
      <c r="K10" s="197">
        <f>TablasERxDiv!AT11</f>
        <v>0</v>
      </c>
      <c r="L10" s="193" t="str">
        <f>IF(K$4=0,"N.D.",K10/K$4)</f>
        <v>N.D.</v>
      </c>
      <c r="M10" s="197">
        <f>TablasERxDiv!BC11</f>
        <v>0</v>
      </c>
      <c r="N10" s="193" t="str">
        <f>IF(M$4=0,"N.D.",M10/M$4)</f>
        <v>N.D.</v>
      </c>
      <c r="O10" s="197">
        <f>+K10+E10+C10+M10+G10+I10</f>
        <v>0</v>
      </c>
      <c r="P10" s="193" t="str">
        <f>IF(O$4=0,"N.D.",O10/O$4)</f>
        <v>N.D.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9"/>
        <v>N.D.</v>
      </c>
      <c r="W10" s="8">
        <f>(BDER!K472+BDER!K495+BDER!K562+BDER!K607)*TC_MES/1000</f>
        <v>0</v>
      </c>
      <c r="X10" s="42" t="str">
        <f t="shared" si="25"/>
        <v>N.D.</v>
      </c>
      <c r="Y10" s="8">
        <f>Y83*TC_MES</f>
        <v>0</v>
      </c>
      <c r="Z10" s="42" t="str">
        <f t="shared" ref="Z10" si="45">IF(Y$4=0,"N.D.",Y10/Y$4)</f>
        <v>N.D.</v>
      </c>
      <c r="AA10" s="8">
        <f>(BDER!K295+BDER!K317+BDER!G339+BDER!K361+BDER!K383+BDER!K405)/1000</f>
        <v>0</v>
      </c>
      <c r="AB10" s="42" t="str">
        <f t="shared" ref="AB10" si="46">IF(AA$4=0,"N.D.",AA10/AA$4)</f>
        <v>N.D.</v>
      </c>
      <c r="AC10" s="8">
        <f>(BDER!K427+BDER!K449)/1000</f>
        <v>0</v>
      </c>
      <c r="AD10" s="42" t="str">
        <f t="shared" ref="AD10" si="47">IF(AC$4=0,"N.D.",AC10/AC$4)</f>
        <v>N.D.</v>
      </c>
      <c r="AE10" s="11">
        <f>+AA10+U10+S10+AC10+W10+Y10</f>
        <v>0</v>
      </c>
      <c r="AF10" s="42" t="str">
        <f t="shared" ref="AF10" si="48">IF(AE$4=0,"N.D.",AE10/AE$4)</f>
        <v>N.D.</v>
      </c>
      <c r="AG10" s="25"/>
      <c r="AH10" s="7" t="s">
        <v>10</v>
      </c>
      <c r="AI10" s="8"/>
      <c r="AJ10" s="42" t="str">
        <f t="shared" si="30"/>
        <v>N.D.</v>
      </c>
      <c r="AK10" s="8">
        <f>(BDER!G9+BDER!G31+BDER!G53+BDER!G75+BDER!G97+BDER!G119)/1000</f>
        <v>0</v>
      </c>
      <c r="AL10" s="42" t="str">
        <f t="shared" si="31"/>
        <v>N.D.</v>
      </c>
      <c r="AM10" s="8">
        <f>(BDER!G472+BDER!G495+BDER!G562+BDER!G607)*TC_MES/1000</f>
        <v>0</v>
      </c>
      <c r="AN10" s="42" t="str">
        <f t="shared" si="32"/>
        <v>N.D.</v>
      </c>
      <c r="AO10" s="8">
        <f>AO83*TC_MES</f>
        <v>0</v>
      </c>
      <c r="AP10" s="42" t="str">
        <f t="shared" si="33"/>
        <v>N.D.</v>
      </c>
      <c r="AQ10" s="8">
        <f>(BDER!G295+BDER!G317+BDER!E339+BDER!G361+BDER!G383+BDER!G405)/1000</f>
        <v>0</v>
      </c>
      <c r="AR10" s="42" t="str">
        <f t="shared" si="34"/>
        <v>N.D.</v>
      </c>
      <c r="AS10" s="8">
        <f>(BDER!G427+BDER!G449)/1000</f>
        <v>0</v>
      </c>
      <c r="AT10" s="42" t="str">
        <f t="shared" si="44"/>
        <v>N.D.</v>
      </c>
      <c r="AU10" s="11">
        <f>+AQ10+AK10+AI10+AS10+AM10+AO10</f>
        <v>0</v>
      </c>
      <c r="AV10" s="42" t="str">
        <f t="shared" si="35"/>
        <v>N.D.</v>
      </c>
      <c r="AW10" s="25"/>
      <c r="AX10" s="1" t="s">
        <v>10</v>
      </c>
      <c r="AY10" s="11">
        <f>O10</f>
        <v>0</v>
      </c>
      <c r="AZ10" s="12" t="str">
        <f t="shared" si="36"/>
        <v>N.D.</v>
      </c>
      <c r="BA10" s="11">
        <f t="shared" si="9"/>
        <v>0</v>
      </c>
      <c r="BB10" s="12" t="str">
        <f t="shared" si="37"/>
        <v>N.D.</v>
      </c>
      <c r="BC10" s="11">
        <f t="shared" si="10"/>
        <v>0</v>
      </c>
      <c r="BD10" s="12" t="str">
        <f t="shared" si="38"/>
        <v>N.D.</v>
      </c>
      <c r="BE10" s="11">
        <f>+AY10-BA10</f>
        <v>0</v>
      </c>
      <c r="BF10" s="13" t="str">
        <f>IF(BA10=0,"N.D.",AY10/BA10-1)</f>
        <v>N.D.</v>
      </c>
      <c r="BG10" s="11">
        <f>AY10-BC10</f>
        <v>0</v>
      </c>
      <c r="BH10" s="13" t="str">
        <f>IF(BC10=0, "N.D.",AY10/BC10-1)</f>
        <v>N.D.</v>
      </c>
    </row>
    <row r="11" spans="1:60" x14ac:dyDescent="0.35">
      <c r="B11" s="4" t="s">
        <v>11</v>
      </c>
      <c r="C11" s="20"/>
      <c r="D11" s="35" t="str">
        <f>IF(C$4=0,"N.D.",C11/C$4)</f>
        <v>N.D.</v>
      </c>
      <c r="E11" s="20">
        <f>SUM(E8:E10)</f>
        <v>0</v>
      </c>
      <c r="F11" s="35" t="str">
        <f>IF(E$4=0,"N.D.",E11/E$4)</f>
        <v>N.D.</v>
      </c>
      <c r="G11" s="20">
        <f>SUM(G8:G10)</f>
        <v>0</v>
      </c>
      <c r="H11" s="35" t="str">
        <f>IF(G$4=0,"N.D.",G11/G$4)</f>
        <v>N.D.</v>
      </c>
      <c r="I11" s="20">
        <f>SUM(I8:I10)</f>
        <v>0</v>
      </c>
      <c r="J11" s="35" t="str">
        <f>IF(I$4=0,"N.D.",I11/I$4)</f>
        <v>N.D.</v>
      </c>
      <c r="K11" s="20">
        <f>SUM(K8:K10)</f>
        <v>0</v>
      </c>
      <c r="L11" s="35" t="str">
        <f>IF(K$4=0,"N.D.",K11/K$4)</f>
        <v>N.D.</v>
      </c>
      <c r="M11" s="20">
        <f>SUM(M8:M10)</f>
        <v>0</v>
      </c>
      <c r="N11" s="35" t="str">
        <f>IF(M$4=0,"N.D.",M11/M$4)</f>
        <v>N.D.</v>
      </c>
      <c r="O11" s="20">
        <f>+O8+O10+O9</f>
        <v>0</v>
      </c>
      <c r="P11" s="35" t="str">
        <f>IF(O$4=0,"N.D.",O11/O$4)</f>
        <v>N.D.</v>
      </c>
      <c r="R11" s="4" t="s">
        <v>11</v>
      </c>
      <c r="S11" s="14"/>
      <c r="T11" s="43" t="str">
        <f t="shared" si="24"/>
        <v>N.D.</v>
      </c>
      <c r="U11" s="14">
        <f>SUM(U8:U10)</f>
        <v>0</v>
      </c>
      <c r="V11" s="43" t="str">
        <f t="shared" si="39"/>
        <v>N.D.</v>
      </c>
      <c r="W11" s="14">
        <f>SUM(W8:W10)</f>
        <v>0</v>
      </c>
      <c r="X11" s="43" t="str">
        <f t="shared" si="25"/>
        <v>N.D.</v>
      </c>
      <c r="Y11" s="14">
        <f>SUM(Y8:Y10)</f>
        <v>0</v>
      </c>
      <c r="Z11" s="43" t="str">
        <f>IF(Y$4=0,"N.D.",Y11/Y$4)</f>
        <v>N.D.</v>
      </c>
      <c r="AA11" s="14">
        <f>SUM(AA8:AA10)</f>
        <v>0</v>
      </c>
      <c r="AB11" s="43" t="str">
        <f t="shared" ref="AB11" si="49">IF(AA$4=0,"N.D.",AA11/AA$4)</f>
        <v>N.D.</v>
      </c>
      <c r="AC11" s="14">
        <f>SUM(AC8:AC10)</f>
        <v>0</v>
      </c>
      <c r="AD11" s="43" t="str">
        <f t="shared" ref="AD11" si="50">IF(AC$4=0,"N.D.",AC11/AC$4)</f>
        <v>N.D.</v>
      </c>
      <c r="AE11" s="14">
        <f>SUM(AE8:AE10)</f>
        <v>0</v>
      </c>
      <c r="AF11" s="43" t="str">
        <f t="shared" ref="AF11" si="51">IF(AE$4=0,"N.D.",AE11/AE$4)</f>
        <v>N.D.</v>
      </c>
      <c r="AG11" s="25"/>
      <c r="AH11" s="4" t="s">
        <v>11</v>
      </c>
      <c r="AI11" s="14"/>
      <c r="AJ11" s="43" t="str">
        <f t="shared" si="30"/>
        <v>N.D.</v>
      </c>
      <c r="AK11" s="14">
        <f>SUM(AK8:AK10)</f>
        <v>0</v>
      </c>
      <c r="AL11" s="43" t="str">
        <f t="shared" si="31"/>
        <v>N.D.</v>
      </c>
      <c r="AM11" s="14">
        <f>SUM(AM8:AM10)</f>
        <v>0</v>
      </c>
      <c r="AN11" s="43" t="str">
        <f t="shared" si="32"/>
        <v>N.D.</v>
      </c>
      <c r="AO11" s="14">
        <f>SUM(AO8:AO10)</f>
        <v>0</v>
      </c>
      <c r="AP11" s="43" t="str">
        <f t="shared" si="33"/>
        <v>N.D.</v>
      </c>
      <c r="AQ11" s="14">
        <f>SUM(AQ8:AQ10)</f>
        <v>0</v>
      </c>
      <c r="AR11" s="43" t="str">
        <f t="shared" si="34"/>
        <v>N.D.</v>
      </c>
      <c r="AS11" s="14">
        <f>SUM(AS8:AS10)</f>
        <v>0</v>
      </c>
      <c r="AT11" s="43" t="str">
        <f t="shared" si="44"/>
        <v>N.D.</v>
      </c>
      <c r="AU11" s="14">
        <f>SUM(AU8:AU10)</f>
        <v>0</v>
      </c>
      <c r="AV11" s="43" t="str">
        <f t="shared" si="35"/>
        <v>N.D.</v>
      </c>
      <c r="AW11" s="25"/>
      <c r="AX11" s="26" t="s">
        <v>11</v>
      </c>
      <c r="AY11" s="14">
        <f>+AY8+AY9+AY10</f>
        <v>0</v>
      </c>
      <c r="AZ11" s="15" t="str">
        <f t="shared" si="36"/>
        <v>N.D.</v>
      </c>
      <c r="BA11" s="14">
        <f t="shared" si="9"/>
        <v>0</v>
      </c>
      <c r="BB11" s="15" t="str">
        <f t="shared" si="37"/>
        <v>N.D.</v>
      </c>
      <c r="BC11" s="14">
        <f t="shared" si="10"/>
        <v>0</v>
      </c>
      <c r="BD11" s="15" t="str">
        <f t="shared" si="38"/>
        <v>N.D.</v>
      </c>
      <c r="BE11" s="14">
        <f>+AY11-BA11</f>
        <v>0</v>
      </c>
      <c r="BF11" s="16" t="str">
        <f>IF(BA11=0,"N.D.",AY11/BA11-1)</f>
        <v>N.D.</v>
      </c>
      <c r="BG11" s="14">
        <f>AY11-BC11</f>
        <v>0</v>
      </c>
      <c r="BH11" s="16" t="str">
        <f>IF(BC11=0, "N.D.",AY11/BC11-1)</f>
        <v>N.D.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0</v>
      </c>
      <c r="V12" s="45" t="str">
        <f t="shared" si="39"/>
        <v>N.D.</v>
      </c>
      <c r="W12" s="20">
        <f>W6-W11</f>
        <v>0</v>
      </c>
      <c r="X12" s="45" t="str">
        <f t="shared" si="25"/>
        <v>N.D.</v>
      </c>
      <c r="Y12" s="20">
        <f>Y6-Y11</f>
        <v>0</v>
      </c>
      <c r="Z12" s="45" t="str">
        <f t="shared" ref="Z12" si="52">IF(Y$4=0,"N.D.",Y12/Y$4)</f>
        <v>N.D.</v>
      </c>
      <c r="AA12" s="20">
        <f>AA6-AA11</f>
        <v>0</v>
      </c>
      <c r="AB12" s="45" t="str">
        <f t="shared" ref="AB12" si="53">IF(AA$4=0,"N.D.",AA12/AA$4)</f>
        <v>N.D.</v>
      </c>
      <c r="AC12" s="20">
        <f>AC6-AC11</f>
        <v>0</v>
      </c>
      <c r="AD12" s="45" t="str">
        <f t="shared" ref="AD12" si="54">IF(AC$4=0,"N.D.",AC12/AC$4)</f>
        <v>N.D.</v>
      </c>
      <c r="AE12" s="20">
        <f>AE6-AE11</f>
        <v>0</v>
      </c>
      <c r="AF12" s="45" t="str">
        <f t="shared" ref="AF12" si="55">IF(AE$4=0,"N.D.",AE12/AE$4)</f>
        <v>N.D.</v>
      </c>
      <c r="AG12" s="25"/>
      <c r="AH12" s="4" t="s">
        <v>12</v>
      </c>
      <c r="AI12" s="20"/>
      <c r="AJ12" s="45" t="str">
        <f t="shared" si="30"/>
        <v>N.D.</v>
      </c>
      <c r="AK12" s="20">
        <f>+AK6-AK11</f>
        <v>0</v>
      </c>
      <c r="AL12" s="45" t="str">
        <f t="shared" si="31"/>
        <v>N.D.</v>
      </c>
      <c r="AM12" s="20">
        <f>+AM6-AM11</f>
        <v>0</v>
      </c>
      <c r="AN12" s="45" t="str">
        <f t="shared" si="32"/>
        <v>N.D.</v>
      </c>
      <c r="AO12" s="20">
        <f>+AO6-AO11</f>
        <v>0</v>
      </c>
      <c r="AP12" s="45" t="str">
        <f t="shared" si="33"/>
        <v>N.D.</v>
      </c>
      <c r="AQ12" s="20">
        <f>+AQ6-AQ11</f>
        <v>0</v>
      </c>
      <c r="AR12" s="45" t="str">
        <f t="shared" si="34"/>
        <v>N.D.</v>
      </c>
      <c r="AS12" s="20">
        <f>+AS6-AS11</f>
        <v>0</v>
      </c>
      <c r="AT12" s="45" t="str">
        <f t="shared" si="44"/>
        <v>N.D.</v>
      </c>
      <c r="AU12" s="20">
        <f>+AU6-AU11</f>
        <v>0</v>
      </c>
      <c r="AV12" s="45" t="str">
        <f t="shared" si="35"/>
        <v>N.D.</v>
      </c>
      <c r="AW12" s="25"/>
      <c r="AX12" s="26" t="s">
        <v>12</v>
      </c>
      <c r="AY12" s="20">
        <f>O16</f>
        <v>0</v>
      </c>
      <c r="AZ12" s="15" t="str">
        <f t="shared" si="36"/>
        <v>N.D.</v>
      </c>
      <c r="BA12" s="20">
        <f t="shared" si="9"/>
        <v>0</v>
      </c>
      <c r="BB12" s="15" t="str">
        <f t="shared" si="37"/>
        <v>N.D.</v>
      </c>
      <c r="BC12" s="20">
        <f t="shared" si="10"/>
        <v>0</v>
      </c>
      <c r="BD12" s="15" t="str">
        <f t="shared" si="38"/>
        <v>N.D.</v>
      </c>
      <c r="BE12" s="14">
        <f>+AY12-BA12</f>
        <v>0</v>
      </c>
      <c r="BF12" s="16" t="str">
        <f>IF(BA12=0,"N.D.",AY12/BA12-1)</f>
        <v>N.D.</v>
      </c>
      <c r="BG12" s="14">
        <f>AY12-BC12</f>
        <v>0</v>
      </c>
      <c r="BH12" s="16" t="str">
        <f>IF(BC12=0, "N.D.",AY12/BC12-1)</f>
        <v>N.D.</v>
      </c>
    </row>
    <row r="13" spans="1:60" x14ac:dyDescent="0.35">
      <c r="B13" s="4" t="s">
        <v>32</v>
      </c>
      <c r="C13" s="20"/>
      <c r="D13" s="22" t="str">
        <f>IF(C$4=0,"N.D.",C13/C$4)</f>
        <v>N.D.</v>
      </c>
      <c r="E13" s="20">
        <f>+E6-E11</f>
        <v>0</v>
      </c>
      <c r="F13" s="22" t="str">
        <f>IF(E$4=0,"N.D.",E13/E$4)</f>
        <v>N.D.</v>
      </c>
      <c r="G13" s="20">
        <f>+G6-G11</f>
        <v>0</v>
      </c>
      <c r="H13" s="22" t="str">
        <f>IF(G$4=0,"N.D.",G13/G$4)</f>
        <v>N.D.</v>
      </c>
      <c r="I13" s="20">
        <f>+I6-I11</f>
        <v>0</v>
      </c>
      <c r="J13" s="22" t="str">
        <f>IF(I$4=0,"N.D.",I13/I$4)</f>
        <v>N.D.</v>
      </c>
      <c r="K13" s="20">
        <f>+K6-K11</f>
        <v>0</v>
      </c>
      <c r="L13" s="22" t="str">
        <f>IF(K$4=0,"N.D.",K13/K$4)</f>
        <v>N.D.</v>
      </c>
      <c r="M13" s="20">
        <f>+M6-M11</f>
        <v>0</v>
      </c>
      <c r="N13" s="22" t="str">
        <f>IF(M$4=0,"N.D.",M13/M$4)</f>
        <v>N.D.</v>
      </c>
      <c r="O13" s="20">
        <f>+O6-O11</f>
        <v>0</v>
      </c>
      <c r="P13" s="22" t="str">
        <f>IF(O$4=0,"N.D.",O13/O$4)</f>
        <v>N.D.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7"/>
      <c r="BA13" s="30"/>
      <c r="BB13" s="187"/>
      <c r="BC13" s="30"/>
      <c r="BD13" s="187"/>
      <c r="BE13" s="30"/>
      <c r="BF13" s="188"/>
      <c r="BG13" s="30"/>
      <c r="BH13" s="188"/>
    </row>
    <row r="14" spans="1:60" x14ac:dyDescent="0.3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 t="str">
        <f t="shared" ref="F14:F16" si="56">IF(E$4=0,"N.D.",E14/E$4)</f>
        <v>N.D.</v>
      </c>
      <c r="G14" s="8">
        <f>division!G4</f>
        <v>0</v>
      </c>
      <c r="H14" s="33" t="str">
        <f t="shared" ref="H14:H16" si="57">IF(G$4=0,"N.D.",G14/G$4)</f>
        <v>N.D.</v>
      </c>
      <c r="I14" s="8">
        <f>division!H4</f>
        <v>0</v>
      </c>
      <c r="J14" s="33" t="str">
        <f t="shared" ref="J14:J16" si="58">IF(I$4=0,"N.D.",I14/I$4)</f>
        <v>N.D.</v>
      </c>
      <c r="K14" s="8">
        <f>division!E4</f>
        <v>0</v>
      </c>
      <c r="L14" s="33" t="str">
        <f t="shared" ref="L14:L16" si="59">IF(K$4=0,"N.D.",K14/K$4)</f>
        <v>N.D.</v>
      </c>
      <c r="M14" s="8">
        <f>division!F4</f>
        <v>0</v>
      </c>
      <c r="N14" s="33" t="str">
        <f t="shared" ref="N14:N16" si="60">IF(M$4=0,"N.D.",M14/M$4)</f>
        <v>N.D.</v>
      </c>
      <c r="O14" s="8">
        <f>+K14+E14+C14+M14+G14+I14</f>
        <v>0</v>
      </c>
      <c r="P14" s="33" t="str">
        <f t="shared" ref="P14:P16" si="61">IF(O$4=0,"N.D.",O14/O$4)</f>
        <v>N.D.</v>
      </c>
      <c r="R14" s="7" t="s">
        <v>13</v>
      </c>
      <c r="S14" s="8"/>
      <c r="T14" s="29" t="str">
        <f t="shared" ref="T14:T18" si="62">IF(S$4=0,"N.D.",S14/S$4)</f>
        <v>N.D.</v>
      </c>
      <c r="U14" s="8">
        <f>(BDER!K12+BDER!K34+BDER!K56+BDER!K78+BDER!K100+BDER!K122)/1000</f>
        <v>0</v>
      </c>
      <c r="V14" s="29" t="str">
        <f t="shared" ref="V14:V20" si="63">IF(U$4=0,"N.D.",U14/U$4)</f>
        <v>N.D.</v>
      </c>
      <c r="W14" s="8">
        <f>(BDER!K475+BDER!K498+BDER!K565+BDER!K610)*TC_MES/1000</f>
        <v>0</v>
      </c>
      <c r="X14" s="29" t="str">
        <f t="shared" ref="X14:X20" si="64">IF(W$4=0,"N.D.",W14/W$4)</f>
        <v>N.D.</v>
      </c>
      <c r="Y14" s="8">
        <f>Y87*TC_MES</f>
        <v>0</v>
      </c>
      <c r="Z14" s="29" t="str">
        <f t="shared" ref="Z14" si="65">IF(Y$4=0,"N.D.",Y14/Y$4)</f>
        <v>N.D.</v>
      </c>
      <c r="AA14" s="8">
        <f>(BDER!K298+BDER!K320+BDER!G342+BDER!K364+BDER!K386+BDER!K408)/1000</f>
        <v>0</v>
      </c>
      <c r="AB14" s="29" t="str">
        <f t="shared" ref="AB14" si="66">IF(AA$4=0,"N.D.",AA14/AA$4)</f>
        <v>N.D.</v>
      </c>
      <c r="AC14" s="8">
        <f>(BDER!K430+BDER!K452)/1000</f>
        <v>0</v>
      </c>
      <c r="AD14" s="29" t="str">
        <f t="shared" ref="AD14" si="67">IF(AC$4=0,"N.D.",AC14/AC$4)</f>
        <v>N.D.</v>
      </c>
      <c r="AE14" s="8">
        <f>+AA14+U14+S14+AC14+W14+Y14</f>
        <v>0</v>
      </c>
      <c r="AF14" s="29" t="str">
        <f t="shared" ref="AF14" si="68">IF(AE$4=0,"N.D.",AE14/AE$4)</f>
        <v>N.D.</v>
      </c>
      <c r="AG14" s="25"/>
      <c r="AH14" s="7" t="s">
        <v>13</v>
      </c>
      <c r="AI14" s="8"/>
      <c r="AJ14" s="29" t="str">
        <f t="shared" ref="AJ14:AJ20" si="69">IF(AI$4=0,"N.D.",AI14/AI$4)</f>
        <v>N.D.</v>
      </c>
      <c r="AK14" s="8">
        <f>(BDER!G12+BDER!G34+BDER!G56+BDER!G78+BDER!G100+BDER!G122)/1000</f>
        <v>0</v>
      </c>
      <c r="AL14" s="29" t="str">
        <f t="shared" ref="AL14:AL20" si="70">IF(AK$4=0,"N.D.",AK14/AK$4)</f>
        <v>N.D.</v>
      </c>
      <c r="AM14" s="8">
        <f>(BDER!G475+BDER!G498+BDER!G565+BDER!G610)*TC_MES/1000</f>
        <v>0</v>
      </c>
      <c r="AN14" s="29" t="str">
        <f t="shared" ref="AN14:AN20" si="71">IF(AM$4=0,"N.D.",AM14/AM$4)</f>
        <v>N.D.</v>
      </c>
      <c r="AO14" s="8">
        <f>AO87*TC_MES</f>
        <v>0</v>
      </c>
      <c r="AP14" s="29" t="str">
        <f t="shared" ref="AP14:AP20" si="72">IF(AO$4=0,"N.D.",AO14/AO$4)</f>
        <v>N.D.</v>
      </c>
      <c r="AQ14" s="8">
        <f>(BDER!G298+BDER!G320+BDER!E342+BDER!G364+BDER!G386+BDER!G408)/1000</f>
        <v>0</v>
      </c>
      <c r="AR14" s="29" t="str">
        <f t="shared" ref="AR14:AR20" si="73">IF(AQ$4=0,"N.D.",AQ14/AQ$4)</f>
        <v>N.D.</v>
      </c>
      <c r="AS14" s="8">
        <f>(BDER!G430+BDER!G452)/1000</f>
        <v>0</v>
      </c>
      <c r="AT14" s="29" t="str">
        <f t="shared" ref="AT14:AT20" si="74">IF(AS$4=0,"N.D.",AS14/AS$4)</f>
        <v>N.D.</v>
      </c>
      <c r="AU14" s="8">
        <f>+AQ14+AK14+AI14+AS14+AM14+AO14</f>
        <v>0</v>
      </c>
      <c r="AV14" s="42" t="str">
        <f>IF(AU$4=0,"N.D.",AU14/AU$4)</f>
        <v>N.D.</v>
      </c>
      <c r="AW14" s="25"/>
      <c r="AX14" s="1" t="s">
        <v>13</v>
      </c>
      <c r="AY14" s="8">
        <f t="shared" ref="AY14:AY20" si="75">O18</f>
        <v>0</v>
      </c>
      <c r="AZ14" s="9" t="str">
        <f t="shared" ref="AZ14:AZ20" si="76">IF(AY$4=0,"N.D.",AY14/AY$4)</f>
        <v>N.D.</v>
      </c>
      <c r="BA14" s="8">
        <f t="shared" si="9"/>
        <v>0</v>
      </c>
      <c r="BB14" s="9" t="str">
        <f t="shared" ref="BB14:BB20" si="77">IF(BA$4=0,"N.D.",BA14/BA$4)</f>
        <v>N.D.</v>
      </c>
      <c r="BC14" s="8">
        <f t="shared" si="10"/>
        <v>0</v>
      </c>
      <c r="BD14" s="9" t="str">
        <f t="shared" si="38"/>
        <v>N.D.</v>
      </c>
      <c r="BE14" s="8">
        <f t="shared" ref="BE14:BE20" si="78">+AY14-BA14</f>
        <v>0</v>
      </c>
      <c r="BF14" s="10" t="str">
        <f t="shared" ref="BF14:BF20" si="79">IF(BA14=0,"N.D.",AY14/BA14-1)</f>
        <v>N.D.</v>
      </c>
      <c r="BG14" s="8">
        <f t="shared" ref="BG14:BG20" si="80">AY14-BC14</f>
        <v>0</v>
      </c>
      <c r="BH14" s="10" t="str">
        <f t="shared" ref="BH14:BH20" si="81">IF(BC14=0, "N.D.",AY14/BC14-1)</f>
        <v>N.D.</v>
      </c>
    </row>
    <row r="15" spans="1:60" x14ac:dyDescent="0.3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 t="str">
        <f t="shared" si="56"/>
        <v>N.D.</v>
      </c>
      <c r="G15" s="34">
        <f>division!G5</f>
        <v>0</v>
      </c>
      <c r="H15" s="35" t="str">
        <f t="shared" si="57"/>
        <v>N.D.</v>
      </c>
      <c r="I15" s="34">
        <f>division!H5</f>
        <v>0</v>
      </c>
      <c r="J15" s="35" t="str">
        <f t="shared" si="58"/>
        <v>N.D.</v>
      </c>
      <c r="K15" s="34">
        <f>division!E5</f>
        <v>0</v>
      </c>
      <c r="L15" s="35" t="str">
        <f>IF(K$4=0,"N.D.",K15/K$4)</f>
        <v>N.D.</v>
      </c>
      <c r="M15" s="34">
        <f>division!F5</f>
        <v>0</v>
      </c>
      <c r="N15" s="35" t="str">
        <f t="shared" si="60"/>
        <v>N.D.</v>
      </c>
      <c r="O15" s="34">
        <f>+K15+E15+C15+M15+G15+I15</f>
        <v>0</v>
      </c>
      <c r="P15" s="35" t="str">
        <f t="shared" si="61"/>
        <v>N.D.</v>
      </c>
      <c r="R15" s="7" t="s">
        <v>14</v>
      </c>
      <c r="S15" s="8"/>
      <c r="T15" s="42" t="str">
        <f t="shared" si="62"/>
        <v>N.D.</v>
      </c>
      <c r="U15" s="8">
        <f>(BDER!K13+BDER!K35+BDER!K57+BDER!K79+BDER!K101+BDER!K123)/1000</f>
        <v>0</v>
      </c>
      <c r="V15" s="42" t="str">
        <f t="shared" si="63"/>
        <v>N.D.</v>
      </c>
      <c r="W15" s="8">
        <f>(BDER!K476+BDER!K499+BDER!K566+BDER!K611)*TC_MES/1000</f>
        <v>0</v>
      </c>
      <c r="X15" s="42" t="str">
        <f t="shared" si="64"/>
        <v>N.D.</v>
      </c>
      <c r="Y15" s="8">
        <f>Y88*TC_MES</f>
        <v>0</v>
      </c>
      <c r="Z15" s="42" t="str">
        <f t="shared" ref="Z15" si="82">IF(Y$4=0,"N.D.",Y15/Y$4)</f>
        <v>N.D.</v>
      </c>
      <c r="AA15" s="8">
        <f>(BDER!K299+BDER!K321+BDER!G343+BDER!K365+BDER!K387+BDER!K409)/1000</f>
        <v>0</v>
      </c>
      <c r="AB15" s="42" t="str">
        <f t="shared" ref="AB15" si="83">IF(AA$4=0,"N.D.",AA15/AA$4)</f>
        <v>N.D.</v>
      </c>
      <c r="AC15" s="8">
        <f>(BDER!K431+BDER!K453)/1000</f>
        <v>0</v>
      </c>
      <c r="AD15" s="42" t="str">
        <f t="shared" ref="AD15" si="84">IF(AC$4=0,"N.D.",AC15/AC$4)</f>
        <v>N.D.</v>
      </c>
      <c r="AE15" s="11">
        <f>+AA15+U15+S15+AC15+W15+Y15</f>
        <v>0</v>
      </c>
      <c r="AF15" s="42" t="str">
        <f t="shared" ref="AF15" si="85">IF(AE$4=0,"N.D.",AE15/AE$4)</f>
        <v>N.D.</v>
      </c>
      <c r="AG15" s="25"/>
      <c r="AH15" s="7" t="s">
        <v>14</v>
      </c>
      <c r="AI15" s="8"/>
      <c r="AJ15" s="42" t="str">
        <f t="shared" si="69"/>
        <v>N.D.</v>
      </c>
      <c r="AK15" s="8">
        <f>(BDER!G13+BDER!G35+BDER!G57+BDER!G79+BDER!G101+BDER!G123)/1000</f>
        <v>0</v>
      </c>
      <c r="AL15" s="42" t="str">
        <f t="shared" si="70"/>
        <v>N.D.</v>
      </c>
      <c r="AM15" s="8">
        <f>(BDER!G476+BDER!G499+BDER!G566+BDER!G611)*TC_MES/1000</f>
        <v>0</v>
      </c>
      <c r="AN15" s="42" t="str">
        <f t="shared" si="71"/>
        <v>N.D.</v>
      </c>
      <c r="AO15" s="8">
        <f>AO88*TC_MES</f>
        <v>0</v>
      </c>
      <c r="AP15" s="42" t="str">
        <f t="shared" si="72"/>
        <v>N.D.</v>
      </c>
      <c r="AQ15" s="8">
        <f>(BDER!G299+BDER!G321+BDER!E343+BDER!G365+BDER!G387+BDER!G409)/1000</f>
        <v>0</v>
      </c>
      <c r="AR15" s="42" t="str">
        <f t="shared" si="73"/>
        <v>N.D.</v>
      </c>
      <c r="AS15" s="8">
        <f>(BDER!G431+BDER!G453)/1000</f>
        <v>0</v>
      </c>
      <c r="AT15" s="42" t="str">
        <f t="shared" si="74"/>
        <v>N.D.</v>
      </c>
      <c r="AU15" s="11">
        <f>+AQ15+AK15+AI15+AS15+AM15+AO15</f>
        <v>0</v>
      </c>
      <c r="AV15" s="42" t="str">
        <f t="shared" ref="AV15:AV20" si="86">IF(AU$4=0,"N.D.",AU15/AU$4)</f>
        <v>N.D.</v>
      </c>
      <c r="AW15" s="25"/>
      <c r="AX15" s="1" t="s">
        <v>14</v>
      </c>
      <c r="AY15" s="11">
        <f t="shared" si="75"/>
        <v>0</v>
      </c>
      <c r="AZ15" s="12" t="str">
        <f t="shared" si="76"/>
        <v>N.D.</v>
      </c>
      <c r="BA15" s="11">
        <f t="shared" si="9"/>
        <v>0</v>
      </c>
      <c r="BB15" s="12" t="str">
        <f t="shared" si="77"/>
        <v>N.D.</v>
      </c>
      <c r="BC15" s="11">
        <f t="shared" si="10"/>
        <v>0</v>
      </c>
      <c r="BD15" s="12" t="str">
        <f t="shared" si="38"/>
        <v>N.D.</v>
      </c>
      <c r="BE15" s="11">
        <f t="shared" si="78"/>
        <v>0</v>
      </c>
      <c r="BF15" s="21" t="str">
        <f>IF(BA15=0,"N.D.",AY15/BA15-1)</f>
        <v>N.D.</v>
      </c>
      <c r="BG15" s="11">
        <f t="shared" si="80"/>
        <v>0</v>
      </c>
      <c r="BH15" s="13" t="str">
        <f t="shared" si="81"/>
        <v>N.D.</v>
      </c>
    </row>
    <row r="16" spans="1:60" x14ac:dyDescent="0.35">
      <c r="B16" s="4" t="s">
        <v>12</v>
      </c>
      <c r="C16" s="14"/>
      <c r="D16" s="22" t="str">
        <f>IF(C$4=0,"N.D.",C16/C$4)</f>
        <v>N.D.</v>
      </c>
      <c r="E16" s="14">
        <f>+E13-E14-E15</f>
        <v>0</v>
      </c>
      <c r="F16" s="22" t="str">
        <f t="shared" si="56"/>
        <v>N.D.</v>
      </c>
      <c r="G16" s="14">
        <f>+G13-G14-G15</f>
        <v>0</v>
      </c>
      <c r="H16" s="22" t="str">
        <f t="shared" si="57"/>
        <v>N.D.</v>
      </c>
      <c r="I16" s="14">
        <f>+I13-I14-I15</f>
        <v>0</v>
      </c>
      <c r="J16" s="22" t="str">
        <f t="shared" si="58"/>
        <v>N.D.</v>
      </c>
      <c r="K16" s="14">
        <f>+K13-K14-K15</f>
        <v>0</v>
      </c>
      <c r="L16" s="22" t="str">
        <f t="shared" si="59"/>
        <v>N.D.</v>
      </c>
      <c r="M16" s="14">
        <f>+M13-M14-M15</f>
        <v>0</v>
      </c>
      <c r="N16" s="22" t="str">
        <f t="shared" si="60"/>
        <v>N.D.</v>
      </c>
      <c r="O16" s="14">
        <f>+O13-O14-O15</f>
        <v>0</v>
      </c>
      <c r="P16" s="22" t="str">
        <f t="shared" si="61"/>
        <v>N.D.</v>
      </c>
      <c r="R16" s="7" t="s">
        <v>15</v>
      </c>
      <c r="S16" s="8"/>
      <c r="T16" s="42" t="str">
        <f t="shared" si="62"/>
        <v>N.D.</v>
      </c>
      <c r="U16" s="8">
        <f>(BDER!K14+BDER!K36+BDER!K58+BDER!K80+BDER!K102+BDER!K124)/1000</f>
        <v>0</v>
      </c>
      <c r="V16" s="42" t="str">
        <f t="shared" si="63"/>
        <v>N.D.</v>
      </c>
      <c r="W16" s="8">
        <f>(BDER!K477+BDER!K500+BDER!K567+BDER!K612)*TC_MES/1000</f>
        <v>0</v>
      </c>
      <c r="X16" s="42" t="str">
        <f t="shared" si="64"/>
        <v>N.D.</v>
      </c>
      <c r="Y16" s="8">
        <f>Y89*TC_MES</f>
        <v>0</v>
      </c>
      <c r="Z16" s="42" t="str">
        <f t="shared" ref="Z16" si="87">IF(Y$4=0,"N.D.",Y16/Y$4)</f>
        <v>N.D.</v>
      </c>
      <c r="AA16" s="8">
        <f>(BDER!K300+BDER!K322+BDER!G344+BDER!K366+BDER!K388+BDER!K410)/1000</f>
        <v>0</v>
      </c>
      <c r="AB16" s="42" t="str">
        <f t="shared" ref="AB16" si="88">IF(AA$4=0,"N.D.",AA16/AA$4)</f>
        <v>N.D.</v>
      </c>
      <c r="AC16" s="8">
        <f>(BDER!K432+BDER!K454)/1000</f>
        <v>0</v>
      </c>
      <c r="AD16" s="42" t="str">
        <f t="shared" ref="AD16" si="89">IF(AC$4=0,"N.D.",AC16/AC$4)</f>
        <v>N.D.</v>
      </c>
      <c r="AE16" s="11">
        <f>+AA16+U16+S16+AC16+W16+Y16</f>
        <v>0</v>
      </c>
      <c r="AF16" s="42" t="str">
        <f t="shared" ref="AF16" si="90">IF(AE$4=0,"N.D.",AE16/AE$4)</f>
        <v>N.D.</v>
      </c>
      <c r="AG16" s="25"/>
      <c r="AH16" s="7" t="s">
        <v>15</v>
      </c>
      <c r="AI16" s="8"/>
      <c r="AJ16" s="42" t="str">
        <f t="shared" si="69"/>
        <v>N.D.</v>
      </c>
      <c r="AK16" s="8">
        <f>(BDER!G14+BDER!G36+BDER!G58+BDER!G80+BDER!G102+BDER!G124)/1000</f>
        <v>0</v>
      </c>
      <c r="AL16" s="42" t="str">
        <f t="shared" si="70"/>
        <v>N.D.</v>
      </c>
      <c r="AM16" s="8">
        <f>(BDER!G477+BDER!G500+BDER!G567+BDER!G612)*TC_MES/1000</f>
        <v>0</v>
      </c>
      <c r="AN16" s="42" t="str">
        <f t="shared" si="71"/>
        <v>N.D.</v>
      </c>
      <c r="AO16" s="8">
        <f>AO89*TC_MES</f>
        <v>0</v>
      </c>
      <c r="AP16" s="42" t="str">
        <f t="shared" si="72"/>
        <v>N.D.</v>
      </c>
      <c r="AQ16" s="8">
        <f>(BDER!G300+BDER!G322+BDER!E344+BDER!G366+BDER!G388+BDER!G410)/1000</f>
        <v>0</v>
      </c>
      <c r="AR16" s="42" t="str">
        <f t="shared" si="73"/>
        <v>N.D.</v>
      </c>
      <c r="AS16" s="8">
        <f>(BDER!G432+BDER!G454)/1000</f>
        <v>0</v>
      </c>
      <c r="AT16" s="42" t="str">
        <f t="shared" si="74"/>
        <v>N.D.</v>
      </c>
      <c r="AU16" s="11">
        <f>+AQ16+AK16+AI16+AS16+AM16+AO16</f>
        <v>0</v>
      </c>
      <c r="AV16" s="42" t="str">
        <f t="shared" si="86"/>
        <v>N.D.</v>
      </c>
      <c r="AW16" s="25"/>
      <c r="AX16" s="1" t="s">
        <v>15</v>
      </c>
      <c r="AY16" s="11">
        <f t="shared" si="75"/>
        <v>1</v>
      </c>
      <c r="AZ16" s="12" t="str">
        <f t="shared" si="76"/>
        <v>N.D.</v>
      </c>
      <c r="BA16" s="11">
        <f t="shared" si="9"/>
        <v>0</v>
      </c>
      <c r="BB16" s="12" t="str">
        <f t="shared" si="77"/>
        <v>N.D.</v>
      </c>
      <c r="BC16" s="11">
        <f t="shared" si="10"/>
        <v>0</v>
      </c>
      <c r="BD16" s="12" t="str">
        <f t="shared" si="38"/>
        <v>N.D.</v>
      </c>
      <c r="BE16" s="11">
        <f t="shared" si="78"/>
        <v>1</v>
      </c>
      <c r="BF16" s="13" t="str">
        <f t="shared" si="79"/>
        <v>N.D.</v>
      </c>
      <c r="BG16" s="11">
        <f t="shared" si="80"/>
        <v>1</v>
      </c>
      <c r="BH16" s="13" t="str">
        <f t="shared" si="81"/>
        <v>N.D.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63"/>
        <v>N.D.</v>
      </c>
      <c r="W17" s="8">
        <f>(BDER!K478+BDER!K501+BDER!K568+BDER!K613)*TC_MES/1000</f>
        <v>0</v>
      </c>
      <c r="X17" s="42" t="str">
        <f t="shared" si="64"/>
        <v>N.D.</v>
      </c>
      <c r="Y17" s="8">
        <f>Y90*TC_MES</f>
        <v>0</v>
      </c>
      <c r="Z17" s="42" t="str">
        <f t="shared" ref="Z17" si="91">IF(Y$4=0,"N.D.",Y17/Y$4)</f>
        <v>N.D.</v>
      </c>
      <c r="AA17" s="8">
        <f>(BDER!K301+BDER!K323+BDER!G345+BDER!K367+BDER!K389+BDER!K411)/1000</f>
        <v>0</v>
      </c>
      <c r="AB17" s="42" t="str">
        <f t="shared" ref="AB17" si="92">IF(AA$4=0,"N.D.",AA17/AA$4)</f>
        <v>N.D.</v>
      </c>
      <c r="AC17" s="8">
        <f>(BDER!K433+BDER!K455)/1000</f>
        <v>0</v>
      </c>
      <c r="AD17" s="42" t="str">
        <f t="shared" ref="AD17" si="93">IF(AC$4=0,"N.D.",AC17/AC$4)</f>
        <v>N.D.</v>
      </c>
      <c r="AE17" s="11">
        <f>+AA17+U17+S17+AC17+W17+Y17</f>
        <v>0</v>
      </c>
      <c r="AF17" s="42" t="str">
        <f t="shared" ref="AF17" si="94">IF(AE$4=0,"N.D.",AE17/AE$4)</f>
        <v>N.D.</v>
      </c>
      <c r="AG17" s="25"/>
      <c r="AH17" s="7" t="s">
        <v>16</v>
      </c>
      <c r="AI17" s="8"/>
      <c r="AJ17" s="42" t="str">
        <f t="shared" si="69"/>
        <v>N.D.</v>
      </c>
      <c r="AK17" s="8">
        <f>(BDER!G15+BDER!G37+BDER!G59+BDER!G81+BDER!G103+BDER!G125)/1000</f>
        <v>0</v>
      </c>
      <c r="AL17" s="42" t="str">
        <f t="shared" si="70"/>
        <v>N.D.</v>
      </c>
      <c r="AM17" s="8">
        <f>(BDER!G478+BDER!G501+BDER!G568+BDER!G613)*TC_MES/1000</f>
        <v>0</v>
      </c>
      <c r="AN17" s="42" t="str">
        <f t="shared" si="71"/>
        <v>N.D.</v>
      </c>
      <c r="AO17" s="8">
        <f>AO90*TC_MES</f>
        <v>0</v>
      </c>
      <c r="AP17" s="42" t="str">
        <f t="shared" si="72"/>
        <v>N.D.</v>
      </c>
      <c r="AQ17" s="8">
        <f>(BDER!G301+BDER!G323+BDER!E345+BDER!G367+BDER!G389+BDER!G411)/1000</f>
        <v>0</v>
      </c>
      <c r="AR17" s="42" t="str">
        <f t="shared" si="73"/>
        <v>N.D.</v>
      </c>
      <c r="AS17" s="8">
        <f>(BDER!G433+BDER!G455)/1000</f>
        <v>0</v>
      </c>
      <c r="AT17" s="42" t="str">
        <f t="shared" si="74"/>
        <v>N.D.</v>
      </c>
      <c r="AU17" s="11">
        <f>+AQ17+AK17+AI17+AS17+AM17+AO17</f>
        <v>0</v>
      </c>
      <c r="AV17" s="42" t="str">
        <f t="shared" si="86"/>
        <v>N.D.</v>
      </c>
      <c r="AW17" s="25"/>
      <c r="AX17" s="1" t="s">
        <v>16</v>
      </c>
      <c r="AY17" s="11">
        <f t="shared" si="75"/>
        <v>0</v>
      </c>
      <c r="AZ17" s="12" t="str">
        <f t="shared" si="76"/>
        <v>N.D.</v>
      </c>
      <c r="BA17" s="11">
        <f t="shared" si="9"/>
        <v>0</v>
      </c>
      <c r="BB17" s="12" t="str">
        <f t="shared" si="77"/>
        <v>N.D.</v>
      </c>
      <c r="BC17" s="11">
        <f t="shared" si="10"/>
        <v>0</v>
      </c>
      <c r="BD17" s="12" t="str">
        <f t="shared" si="38"/>
        <v>N.D.</v>
      </c>
      <c r="BE17" s="11">
        <f t="shared" si="78"/>
        <v>0</v>
      </c>
      <c r="BF17" s="13" t="str">
        <f t="shared" si="79"/>
        <v>N.D.</v>
      </c>
      <c r="BG17" s="11">
        <f t="shared" si="80"/>
        <v>0</v>
      </c>
      <c r="BH17" s="13" t="str">
        <f t="shared" si="81"/>
        <v>N.D.</v>
      </c>
    </row>
    <row r="18" spans="2:60" x14ac:dyDescent="0.35">
      <c r="B18" s="7" t="s">
        <v>13</v>
      </c>
      <c r="C18" s="8"/>
      <c r="D18" s="141" t="str">
        <f>IF(C$4=0,"N.D.",C18/C$4)</f>
        <v>N.D.</v>
      </c>
      <c r="E18" s="8">
        <f>TablasERxDiv!AA15</f>
        <v>0</v>
      </c>
      <c r="F18" s="141" t="str">
        <f>IF(E$4=0,"N.D.",E18/E$4)</f>
        <v>N.D.</v>
      </c>
      <c r="G18" s="8">
        <v>0</v>
      </c>
      <c r="H18" s="141" t="str">
        <f>IF(G$4=0,"N.D.",G18/G$4)</f>
        <v>N.D.</v>
      </c>
      <c r="I18" s="8">
        <v>0</v>
      </c>
      <c r="J18" s="141" t="str">
        <f>IF(I$4=0,"N.D.",I18/I$4)</f>
        <v>N.D.</v>
      </c>
      <c r="K18" s="8">
        <f>TablasERxDiv!AT15</f>
        <v>0</v>
      </c>
      <c r="L18" s="141" t="str">
        <f>IF(K$4=0,"N.D.",K18/K$4)</f>
        <v>N.D.</v>
      </c>
      <c r="M18" s="8">
        <f>TablasERxDiv!BC15</f>
        <v>0</v>
      </c>
      <c r="N18" s="141" t="str">
        <f>IF(M$4=0,"N.D.",M18/M$4)</f>
        <v>N.D.</v>
      </c>
      <c r="O18" s="8">
        <f>+K18+E18+C18+M18+G18+I18</f>
        <v>0</v>
      </c>
      <c r="P18" s="141" t="str">
        <f>IF(O$4=0,"N.D.",O18/O$4)</f>
        <v>N.D.</v>
      </c>
      <c r="R18" s="7"/>
      <c r="S18" s="8"/>
      <c r="T18" s="42" t="str">
        <f t="shared" si="62"/>
        <v>N.D.</v>
      </c>
      <c r="U18" s="8">
        <f>(BDER!K16+BDER!K38+BDER!K60+BDER!K82+BDER!K104+BDER!K126)/1000</f>
        <v>0</v>
      </c>
      <c r="V18" s="42" t="str">
        <f t="shared" si="63"/>
        <v>N.D.</v>
      </c>
      <c r="W18" s="8">
        <f>(BDER!K479+BDER!K502+BDER!K569+BDER!K614)*TC_MES/1000</f>
        <v>0</v>
      </c>
      <c r="X18" s="42" t="str">
        <f t="shared" si="64"/>
        <v>N.D.</v>
      </c>
      <c r="Y18" s="8">
        <f>Y91*TC_MES</f>
        <v>0</v>
      </c>
      <c r="Z18" s="42" t="str">
        <f t="shared" ref="Z18" si="95">IF(Y$4=0,"N.D.",Y18/Y$4)</f>
        <v>N.D.</v>
      </c>
      <c r="AA18" s="8">
        <f>(BDER!K302+BDER!K324+BDER!G346+BDER!K368+BDER!K390+BDER!K412)/1000</f>
        <v>0</v>
      </c>
      <c r="AB18" s="42" t="str">
        <f t="shared" ref="AB18" si="96">IF(AA$4=0,"N.D.",AA18/AA$4)</f>
        <v>N.D.</v>
      </c>
      <c r="AC18" s="8">
        <f>(BDER!K434+BDER!K456)/1000</f>
        <v>0</v>
      </c>
      <c r="AD18" s="42" t="str">
        <f t="shared" ref="AD18" si="97">IF(AC$4=0,"N.D.",AC18/AC$4)</f>
        <v>N.D.</v>
      </c>
      <c r="AE18" s="11">
        <f>+AA18+U18+S18+AC18+W18+Y18</f>
        <v>0</v>
      </c>
      <c r="AF18" s="42" t="str">
        <f t="shared" ref="AF18" si="98">IF(AE$4=0,"N.D.",AE18/AE$4)</f>
        <v>N.D.</v>
      </c>
      <c r="AG18" s="25"/>
      <c r="AH18" s="7"/>
      <c r="AI18" s="8"/>
      <c r="AJ18" s="42" t="str">
        <f t="shared" si="69"/>
        <v>N.D.</v>
      </c>
      <c r="AK18" s="8">
        <f>(BDER!G16+BDER!G38+BDER!G60+BDER!G82+BDER!G104+BDER!G126)/1000</f>
        <v>0</v>
      </c>
      <c r="AL18" s="42" t="str">
        <f t="shared" si="70"/>
        <v>N.D.</v>
      </c>
      <c r="AM18" s="8">
        <f>(BDER!G479+BDER!G502+BDER!G569+BDER!G614)*TC_MES/1000</f>
        <v>0</v>
      </c>
      <c r="AN18" s="42" t="str">
        <f t="shared" si="71"/>
        <v>N.D.</v>
      </c>
      <c r="AO18" s="8">
        <f>AO91*TC_MES</f>
        <v>0</v>
      </c>
      <c r="AP18" s="42" t="str">
        <f t="shared" si="72"/>
        <v>N.D.</v>
      </c>
      <c r="AQ18" s="8">
        <f>(BDER!G302+BDER!G324+BDER!E346+BDER!G368+BDER!G390+BDER!G412)/1000</f>
        <v>0</v>
      </c>
      <c r="AR18" s="42" t="str">
        <f t="shared" si="73"/>
        <v>N.D.</v>
      </c>
      <c r="AS18" s="8">
        <f>(BDER!G434+BDER!G456)/1000</f>
        <v>0</v>
      </c>
      <c r="AT18" s="42" t="str">
        <f t="shared" si="74"/>
        <v>N.D.</v>
      </c>
      <c r="AU18" s="11">
        <f>+AQ18+AK18+AI18+AS18+AM18+AO18</f>
        <v>0</v>
      </c>
      <c r="AV18" s="42" t="str">
        <f t="shared" si="86"/>
        <v>N.D.</v>
      </c>
      <c r="AW18" s="25"/>
      <c r="AX18" s="1"/>
      <c r="AY18" s="11">
        <f t="shared" si="75"/>
        <v>0</v>
      </c>
      <c r="AZ18" s="12" t="str">
        <f t="shared" si="76"/>
        <v>N.D.</v>
      </c>
      <c r="BA18" s="11">
        <f t="shared" si="9"/>
        <v>0</v>
      </c>
      <c r="BB18" s="12" t="str">
        <f t="shared" si="77"/>
        <v>N.D.</v>
      </c>
      <c r="BC18" s="11">
        <f t="shared" si="10"/>
        <v>0</v>
      </c>
      <c r="BD18" s="12" t="str">
        <f t="shared" si="38"/>
        <v>N.D.</v>
      </c>
      <c r="BE18" s="11">
        <f t="shared" si="78"/>
        <v>0</v>
      </c>
      <c r="BF18" s="13" t="str">
        <f t="shared" si="79"/>
        <v>N.D.</v>
      </c>
      <c r="BG18" s="11">
        <f t="shared" si="80"/>
        <v>0</v>
      </c>
      <c r="BH18" s="13" t="str">
        <f t="shared" si="81"/>
        <v>N.D.</v>
      </c>
    </row>
    <row r="19" spans="2:60" x14ac:dyDescent="0.35">
      <c r="B19" s="7" t="s">
        <v>14</v>
      </c>
      <c r="C19" s="11"/>
      <c r="D19" s="138" t="str">
        <f t="shared" ref="D19:P34" si="99">IF(C$4=0,"N.D.",C19/C$4)</f>
        <v>N.D.</v>
      </c>
      <c r="E19" s="11">
        <f>TablasERxDiv!AA16</f>
        <v>0</v>
      </c>
      <c r="F19" s="138" t="str">
        <f t="shared" ref="F19:F24" si="100">IF(E$4=0,"N.D.",E19/E$4)</f>
        <v>N.D.</v>
      </c>
      <c r="G19" s="11">
        <f>TablasERxDiv!BP15*TC_MES</f>
        <v>0</v>
      </c>
      <c r="H19" s="138" t="str">
        <f t="shared" ref="H19:H23" si="101">IF(G$4=0,"N.D.",G19/G$4)</f>
        <v>N.D.</v>
      </c>
      <c r="I19" s="11">
        <f>TablasERxDiv!CF15*TC_MES</f>
        <v>0</v>
      </c>
      <c r="J19" s="138" t="str">
        <f t="shared" ref="J19:J24" si="102">IF(I$4=0,"N.D.",I19/I$4)</f>
        <v>N.D.</v>
      </c>
      <c r="K19" s="11">
        <f>TablasERxDiv!AT16</f>
        <v>0</v>
      </c>
      <c r="L19" s="138" t="str">
        <f t="shared" ref="L19:L24" si="103">IF(K$4=0,"N.D.",K19/K$4)</f>
        <v>N.D.</v>
      </c>
      <c r="M19" s="11">
        <f>TablasERxDiv!BC16</f>
        <v>0</v>
      </c>
      <c r="N19" s="138" t="str">
        <f t="shared" ref="N19:N24" si="104">IF(M$4=0,"N.D.",M19/M$4)</f>
        <v>N.D.</v>
      </c>
      <c r="O19" s="11">
        <f>+K19+E19+C19+M19+G19+I19</f>
        <v>0</v>
      </c>
      <c r="P19" s="138" t="str">
        <f t="shared" ref="P19:P24" si="105">IF(O$4=0,"N.D.",O19/O$4)</f>
        <v>N.D.</v>
      </c>
      <c r="R19" s="4" t="s">
        <v>17</v>
      </c>
      <c r="S19" s="200"/>
      <c r="T19" s="43" t="str">
        <f>IF(S$4=0,"N.D.",S19/S$4)</f>
        <v>N.D.</v>
      </c>
      <c r="U19" s="14">
        <f>U14+U15+U16-U17-U18</f>
        <v>0</v>
      </c>
      <c r="V19" s="43" t="str">
        <f t="shared" si="63"/>
        <v>N.D.</v>
      </c>
      <c r="W19" s="200">
        <f>W14+W15+W16-W17-W18</f>
        <v>0</v>
      </c>
      <c r="X19" s="43" t="str">
        <f t="shared" si="64"/>
        <v>N.D.</v>
      </c>
      <c r="Y19" s="200">
        <f>Y14+Y15+Y16-Y17-Y18</f>
        <v>0</v>
      </c>
      <c r="Z19" s="43" t="str">
        <f t="shared" ref="Z19" si="106">IF(Y$4=0,"N.D.",Y19/Y$4)</f>
        <v>N.D.</v>
      </c>
      <c r="AA19" s="200">
        <f>AA14+AA15+AA16-AA17-AA18</f>
        <v>0</v>
      </c>
      <c r="AB19" s="43" t="str">
        <f t="shared" ref="AB19" si="107">IF(AA$4=0,"N.D.",AA19/AA$4)</f>
        <v>N.D.</v>
      </c>
      <c r="AC19" s="200">
        <f>AC14+AC15+AC16-AC17-AC18</f>
        <v>0</v>
      </c>
      <c r="AD19" s="43" t="str">
        <f t="shared" ref="AD19" si="108">IF(AC$4=0,"N.D.",AC19/AC$4)</f>
        <v>N.D.</v>
      </c>
      <c r="AE19" s="14">
        <f>AE14+AE15+AE16-AE17-AE18</f>
        <v>0</v>
      </c>
      <c r="AF19" s="43" t="str">
        <f t="shared" ref="AF19" si="109">IF(AE$4=0,"N.D.",AE19/AE$4)</f>
        <v>N.D.</v>
      </c>
      <c r="AG19" s="25"/>
      <c r="AH19" s="4" t="s">
        <v>17</v>
      </c>
      <c r="AI19" s="14"/>
      <c r="AJ19" s="43" t="str">
        <f t="shared" si="69"/>
        <v>N.D.</v>
      </c>
      <c r="AK19" s="14">
        <f>AK14+AK15+AK16-AK17-AK18</f>
        <v>0</v>
      </c>
      <c r="AL19" s="43" t="str">
        <f t="shared" si="70"/>
        <v>N.D.</v>
      </c>
      <c r="AM19" s="14">
        <f>AM14+AM15+AM16-AM17-AM18</f>
        <v>0</v>
      </c>
      <c r="AN19" s="43" t="str">
        <f t="shared" si="71"/>
        <v>N.D.</v>
      </c>
      <c r="AO19" s="14">
        <f>AO14+AO15+AO16-AO17-AO18</f>
        <v>0</v>
      </c>
      <c r="AP19" s="43" t="str">
        <f t="shared" si="72"/>
        <v>N.D.</v>
      </c>
      <c r="AQ19" s="14">
        <f>AQ14+AQ15+AQ16-AQ17-AQ18</f>
        <v>0</v>
      </c>
      <c r="AR19" s="43" t="str">
        <f t="shared" si="73"/>
        <v>N.D.</v>
      </c>
      <c r="AS19" s="14">
        <f>AS14+AS15+AS16-AS17-AS18</f>
        <v>0</v>
      </c>
      <c r="AT19" s="43" t="str">
        <f t="shared" si="74"/>
        <v>N.D.</v>
      </c>
      <c r="AU19" s="14">
        <f>AU14+AU15+AU16-AU17-AU18</f>
        <v>0</v>
      </c>
      <c r="AV19" s="43" t="str">
        <f t="shared" si="86"/>
        <v>N.D.</v>
      </c>
      <c r="AW19" s="25"/>
      <c r="AX19" s="26" t="s">
        <v>17</v>
      </c>
      <c r="AY19" s="14">
        <f t="shared" si="75"/>
        <v>1</v>
      </c>
      <c r="AZ19" s="22" t="str">
        <f t="shared" si="76"/>
        <v>N.D.</v>
      </c>
      <c r="BA19" s="14">
        <f t="shared" si="9"/>
        <v>0</v>
      </c>
      <c r="BB19" s="22" t="str">
        <f t="shared" si="77"/>
        <v>N.D.</v>
      </c>
      <c r="BC19" s="14">
        <f t="shared" si="10"/>
        <v>0</v>
      </c>
      <c r="BD19" s="22" t="str">
        <f t="shared" si="38"/>
        <v>N.D.</v>
      </c>
      <c r="BE19" s="14">
        <f t="shared" si="78"/>
        <v>1</v>
      </c>
      <c r="BF19" s="23" t="str">
        <f t="shared" si="79"/>
        <v>N.D.</v>
      </c>
      <c r="BG19" s="14">
        <f t="shared" si="80"/>
        <v>1</v>
      </c>
      <c r="BH19" s="16" t="str">
        <f t="shared" si="81"/>
        <v>N.D.</v>
      </c>
    </row>
    <row r="20" spans="2:60" x14ac:dyDescent="0.35">
      <c r="B20" s="7" t="s">
        <v>15</v>
      </c>
      <c r="C20" s="11"/>
      <c r="D20" s="138" t="str">
        <f t="shared" si="99"/>
        <v>N.D.</v>
      </c>
      <c r="E20" s="11">
        <f>TablasERxDiv!AA17</f>
        <v>0</v>
      </c>
      <c r="F20" s="138" t="str">
        <f t="shared" si="100"/>
        <v>N.D.</v>
      </c>
      <c r="G20" s="11">
        <f>TablasERxDiv!BP16*TC_MES</f>
        <v>0</v>
      </c>
      <c r="H20" s="138" t="str">
        <f t="shared" si="101"/>
        <v>N.D.</v>
      </c>
      <c r="I20" s="11">
        <f>TablasERxDiv!CF16*TC_MES</f>
        <v>0</v>
      </c>
      <c r="J20" s="138" t="str">
        <f t="shared" si="102"/>
        <v>N.D.</v>
      </c>
      <c r="K20" s="11">
        <f>TablasERxDiv!AT17</f>
        <v>0</v>
      </c>
      <c r="L20" s="138" t="str">
        <f t="shared" si="103"/>
        <v>N.D.</v>
      </c>
      <c r="M20" s="11">
        <f>TablasERxDiv!BC17</f>
        <v>0</v>
      </c>
      <c r="N20" s="138" t="str">
        <f t="shared" si="104"/>
        <v>N.D.</v>
      </c>
      <c r="O20" s="11">
        <f>+K20+E20+C20+M20+G20+I20+intereses</f>
        <v>1</v>
      </c>
      <c r="P20" s="138" t="str">
        <f t="shared" si="105"/>
        <v>N.D.</v>
      </c>
      <c r="R20" s="4" t="s">
        <v>18</v>
      </c>
      <c r="S20" s="14"/>
      <c r="T20" s="43" t="str">
        <f>IF(S$4=0,"N.D.",S20/S$4)</f>
        <v>N.D.</v>
      </c>
      <c r="U20" s="14">
        <f>+U12-U19</f>
        <v>0</v>
      </c>
      <c r="V20" s="43" t="str">
        <f t="shared" si="63"/>
        <v>N.D.</v>
      </c>
      <c r="W20" s="14">
        <f>+W12-W19</f>
        <v>0</v>
      </c>
      <c r="X20" s="43" t="str">
        <f t="shared" si="64"/>
        <v>N.D.</v>
      </c>
      <c r="Y20" s="14">
        <f>+Y12-Y19</f>
        <v>0</v>
      </c>
      <c r="Z20" s="43" t="str">
        <f t="shared" ref="Z20" si="110">IF(Y$4=0,"N.D.",Y20/Y$4)</f>
        <v>N.D.</v>
      </c>
      <c r="AA20" s="14">
        <f>+AA12-AA19</f>
        <v>0</v>
      </c>
      <c r="AB20" s="43" t="str">
        <f t="shared" ref="AB20" si="111">IF(AA$4=0,"N.D.",AA20/AA$4)</f>
        <v>N.D.</v>
      </c>
      <c r="AC20" s="14">
        <f>+AC12-AC19</f>
        <v>0</v>
      </c>
      <c r="AD20" s="43" t="str">
        <f t="shared" ref="AD20" si="112">IF(AC$4=0,"N.D.",AC20/AC$4)</f>
        <v>N.D.</v>
      </c>
      <c r="AE20" s="14">
        <f>+AE12-AE19</f>
        <v>0</v>
      </c>
      <c r="AF20" s="43" t="str">
        <f t="shared" ref="AF20" si="113">IF(AE$4=0,"N.D.",AE20/AE$4)</f>
        <v>N.D.</v>
      </c>
      <c r="AG20" s="25"/>
      <c r="AH20" s="4" t="s">
        <v>18</v>
      </c>
      <c r="AI20" s="14"/>
      <c r="AJ20" s="43" t="str">
        <f t="shared" si="69"/>
        <v>N.D.</v>
      </c>
      <c r="AK20" s="14">
        <f>+AK12-AK19</f>
        <v>0</v>
      </c>
      <c r="AL20" s="43" t="str">
        <f t="shared" si="70"/>
        <v>N.D.</v>
      </c>
      <c r="AM20" s="14">
        <f>+AM12-AM19</f>
        <v>0</v>
      </c>
      <c r="AN20" s="43" t="str">
        <f t="shared" si="71"/>
        <v>N.D.</v>
      </c>
      <c r="AO20" s="14">
        <f>+AO12-AO19</f>
        <v>0</v>
      </c>
      <c r="AP20" s="43" t="str">
        <f t="shared" si="72"/>
        <v>N.D.</v>
      </c>
      <c r="AQ20" s="14">
        <f>+AQ12-AQ19</f>
        <v>0</v>
      </c>
      <c r="AR20" s="43" t="str">
        <f t="shared" si="73"/>
        <v>N.D.</v>
      </c>
      <c r="AS20" s="14">
        <f>+AS12-AS19</f>
        <v>0</v>
      </c>
      <c r="AT20" s="43" t="str">
        <f t="shared" si="74"/>
        <v>N.D.</v>
      </c>
      <c r="AU20" s="14">
        <f>+AU12-AU19</f>
        <v>0</v>
      </c>
      <c r="AV20" s="43" t="str">
        <f t="shared" si="86"/>
        <v>N.D.</v>
      </c>
      <c r="AW20" s="25"/>
      <c r="AX20" s="26" t="s">
        <v>18</v>
      </c>
      <c r="AY20" s="20">
        <f t="shared" si="75"/>
        <v>-1</v>
      </c>
      <c r="AZ20" s="15" t="str">
        <f t="shared" si="76"/>
        <v>N.D.</v>
      </c>
      <c r="BA20" s="20">
        <f t="shared" si="9"/>
        <v>0</v>
      </c>
      <c r="BB20" s="15" t="str">
        <f t="shared" si="77"/>
        <v>N.D.</v>
      </c>
      <c r="BC20" s="20">
        <f t="shared" si="10"/>
        <v>0</v>
      </c>
      <c r="BD20" s="15" t="str">
        <f t="shared" si="38"/>
        <v>N.D.</v>
      </c>
      <c r="BE20" s="14">
        <f t="shared" si="78"/>
        <v>-1</v>
      </c>
      <c r="BF20" s="16" t="str">
        <f t="shared" si="79"/>
        <v>N.D.</v>
      </c>
      <c r="BG20" s="14">
        <f t="shared" si="80"/>
        <v>-1</v>
      </c>
      <c r="BH20" s="16" t="str">
        <f t="shared" si="81"/>
        <v>N.D.</v>
      </c>
    </row>
    <row r="21" spans="2:60" x14ac:dyDescent="0.35">
      <c r="B21" s="7" t="s">
        <v>16</v>
      </c>
      <c r="C21" s="11"/>
      <c r="D21" s="138" t="str">
        <f t="shared" si="99"/>
        <v>N.D.</v>
      </c>
      <c r="E21" s="11">
        <f>TablasERxDiv!AA18</f>
        <v>0</v>
      </c>
      <c r="F21" s="138" t="str">
        <f t="shared" si="100"/>
        <v>N.D.</v>
      </c>
      <c r="G21" s="11">
        <f>TablasERxDiv!BP17*TC_MES</f>
        <v>0</v>
      </c>
      <c r="H21" s="138" t="str">
        <f t="shared" si="101"/>
        <v>N.D.</v>
      </c>
      <c r="I21" s="11">
        <f>TablasERxDiv!CF17*TC_MES</f>
        <v>0</v>
      </c>
      <c r="J21" s="138" t="str">
        <f t="shared" si="102"/>
        <v>N.D.</v>
      </c>
      <c r="K21" s="11">
        <f>TablasERxDiv!AT18</f>
        <v>0</v>
      </c>
      <c r="L21" s="138" t="str">
        <f t="shared" si="103"/>
        <v>N.D.</v>
      </c>
      <c r="M21" s="11">
        <f>TablasERxDiv!BC18</f>
        <v>0</v>
      </c>
      <c r="N21" s="138" t="str">
        <f t="shared" si="104"/>
        <v>N.D.</v>
      </c>
      <c r="O21" s="11">
        <f>+K21+E21+C21+M21+G21+I21</f>
        <v>0</v>
      </c>
      <c r="P21" s="138" t="str">
        <f t="shared" si="105"/>
        <v>N.D.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7"/>
      <c r="BA21" s="30"/>
      <c r="BB21" s="187"/>
      <c r="BC21" s="30"/>
      <c r="BD21" s="187"/>
      <c r="BE21" s="30"/>
      <c r="BF21" s="188"/>
      <c r="BG21" s="30"/>
      <c r="BH21" s="188"/>
    </row>
    <row r="22" spans="2:60" x14ac:dyDescent="0.35">
      <c r="B22" s="7"/>
      <c r="C22" s="11"/>
      <c r="D22" s="138" t="str">
        <f t="shared" si="99"/>
        <v>N.D.</v>
      </c>
      <c r="E22" s="11">
        <f>TablasERxDiv!AA19</f>
        <v>0</v>
      </c>
      <c r="F22" s="138" t="str">
        <f t="shared" si="100"/>
        <v>N.D.</v>
      </c>
      <c r="G22" s="11">
        <v>0</v>
      </c>
      <c r="H22" s="138" t="str">
        <f t="shared" si="101"/>
        <v>N.D.</v>
      </c>
      <c r="I22" s="11">
        <v>0</v>
      </c>
      <c r="J22" s="138" t="str">
        <f t="shared" si="102"/>
        <v>N.D.</v>
      </c>
      <c r="K22" s="11">
        <f>TablasERxDiv!AT19</f>
        <v>0</v>
      </c>
      <c r="L22" s="138" t="str">
        <f t="shared" si="103"/>
        <v>N.D.</v>
      </c>
      <c r="M22" s="11">
        <f>TablasERxDiv!BC19</f>
        <v>0</v>
      </c>
      <c r="N22" s="138" t="str">
        <f t="shared" si="104"/>
        <v>N.D.</v>
      </c>
      <c r="O22" s="11">
        <f>+K22+E22+C22+M22+G22+I22</f>
        <v>0</v>
      </c>
      <c r="P22" s="138" t="str">
        <f t="shared" si="105"/>
        <v>N.D.</v>
      </c>
      <c r="R22" s="7" t="s">
        <v>35</v>
      </c>
      <c r="S22" s="8"/>
      <c r="T22" s="29" t="str">
        <f t="shared" ref="T22:T25" si="114">IF(S$4=0,"N.D.",S22/S$4)</f>
        <v>N.D.</v>
      </c>
      <c r="U22" s="8">
        <f>(BDER!K19+BDER!K41+BDER!K63+BDER!K85+BDER!K107+BDER!K129)/1000</f>
        <v>0</v>
      </c>
      <c r="V22" s="29" t="str">
        <f t="shared" ref="V22:V25" si="115">IF(U$4=0,"N.D.",U22/U$4)</f>
        <v>N.D.</v>
      </c>
      <c r="W22" s="8">
        <f>(BDER!K482+BDER!K505+BDER!K572+BDER!K617)*TC_MES/1000</f>
        <v>0</v>
      </c>
      <c r="X22" s="29" t="str">
        <f t="shared" ref="X22:X25" si="116">IF(W$4=0,"N.D.",W22/W$4)</f>
        <v>N.D.</v>
      </c>
      <c r="Y22" s="8">
        <f>Y127*TC_MES</f>
        <v>0</v>
      </c>
      <c r="Z22" s="29" t="str">
        <f t="shared" ref="Z22" si="117">IF(Y$4=0,"N.D.",Y22/Y$4)</f>
        <v>N.D.</v>
      </c>
      <c r="AA22" s="8">
        <f>(BDER!K305+BDER!K327+BDER!G349+BDER!K371+BDER!K393+BDER!K415)/1000</f>
        <v>0</v>
      </c>
      <c r="AB22" s="29" t="str">
        <f t="shared" ref="AB22" si="118">IF(AA$4=0,"N.D.",AA22/AA$4)</f>
        <v>N.D.</v>
      </c>
      <c r="AC22" s="8">
        <f>(BDER!K437+BDER!K459)/1000</f>
        <v>0</v>
      </c>
      <c r="AD22" s="29" t="str">
        <f t="shared" ref="AD22" si="119">IF(AC$4=0,"N.D.",AC22/AC$4)</f>
        <v>N.D.</v>
      </c>
      <c r="AE22" s="8">
        <f>+AA22+U22+S22+AC22+W22+Y22</f>
        <v>0</v>
      </c>
      <c r="AF22" s="29" t="str">
        <f t="shared" ref="AF22" si="120">IF(AE$4=0,"N.D.",AE22/AE$4)</f>
        <v>N.D.</v>
      </c>
      <c r="AH22" s="7" t="s">
        <v>35</v>
      </c>
      <c r="AI22" s="8"/>
      <c r="AJ22" s="29" t="str">
        <f t="shared" ref="AJ22:AJ25" si="121">IF(AI$4=0,"N.D.",AI22/AI$4)</f>
        <v>N.D.</v>
      </c>
      <c r="AK22" s="8">
        <f>(BDER!G19+BDER!G41+BDER!G63+BDER!G85+BDER!G107+BDER!G129)/1000</f>
        <v>0</v>
      </c>
      <c r="AL22" s="29" t="str">
        <f t="shared" ref="AL22:AL25" si="122">IF(AK$4=0,"N.D.",AK22/AK$4)</f>
        <v>N.D.</v>
      </c>
      <c r="AM22" s="8">
        <f>(BDER!G482+BDER!G505+BDER!G572+BDER!G617)*TC_MES/1000</f>
        <v>0</v>
      </c>
      <c r="AN22" s="29" t="str">
        <f t="shared" ref="AN22:AN25" si="123">IF(AM$4=0,"N.D.",AM22/AM$4)</f>
        <v>N.D.</v>
      </c>
      <c r="AO22" s="8">
        <f>AO95*TC_MES</f>
        <v>0</v>
      </c>
      <c r="AP22" s="29" t="str">
        <f t="shared" ref="AP22:AP25" si="124">IF(AO$4=0,"N.D.",AO22/AO$4)</f>
        <v>N.D.</v>
      </c>
      <c r="AQ22" s="8">
        <f>(BDER!G305+BDER!G327+BDER!E349+BDER!G371+BDER!G393+BDER!G415)/1000</f>
        <v>0</v>
      </c>
      <c r="AR22" s="29" t="str">
        <f t="shared" ref="AR22:AR25" si="125">IF(AQ$4=0,"N.D.",AQ22/AQ$4)</f>
        <v>N.D.</v>
      </c>
      <c r="AS22" s="8">
        <f>(BDER!G437+BDER!G459)/1000</f>
        <v>0</v>
      </c>
      <c r="AT22" s="29" t="str">
        <f t="shared" ref="AT22:AT25" si="126">IF(AS$4=0,"N.D.",AS22/AS$4)</f>
        <v>N.D.</v>
      </c>
      <c r="AU22" s="8">
        <f>+AQ22+AK22+AI22+AS22+AM22+AO22</f>
        <v>0</v>
      </c>
      <c r="AV22" s="29" t="str">
        <f t="shared" ref="AV22:AV25" si="127">IF(AU$4=0,"N.D.",AU22/AU$4)</f>
        <v>N.D.</v>
      </c>
      <c r="AX22" s="1" t="s">
        <v>19</v>
      </c>
      <c r="AY22" s="8">
        <f>O26</f>
        <v>0</v>
      </c>
      <c r="AZ22" s="9" t="str">
        <f t="shared" ref="AZ22:AZ25" si="128">IF(AY$4=0,"N.D.",AY22/AY$4)</f>
        <v>N.D.</v>
      </c>
      <c r="BA22" s="8">
        <f t="shared" si="9"/>
        <v>0</v>
      </c>
      <c r="BB22" s="9" t="str">
        <f t="shared" ref="BB22:BB25" si="129">IF(BA$4=0,"N.D.",BA22/BA$4)</f>
        <v>N.D.</v>
      </c>
      <c r="BC22" s="8">
        <f t="shared" si="10"/>
        <v>0</v>
      </c>
      <c r="BD22" s="9" t="str">
        <f t="shared" si="38"/>
        <v>N.D.</v>
      </c>
      <c r="BE22" s="8">
        <f>+AY22-BA22</f>
        <v>0</v>
      </c>
      <c r="BF22" s="10" t="str">
        <f>IF(BA22=0,"N.D.",AY22/BA22-1)</f>
        <v>N.D.</v>
      </c>
      <c r="BG22" s="8">
        <f>AY22-BC22</f>
        <v>0</v>
      </c>
      <c r="BH22" s="10" t="str">
        <f>IF(BC22=0, "N.D.",AY22/BC22-1)</f>
        <v>N.D.</v>
      </c>
    </row>
    <row r="23" spans="2:60" x14ac:dyDescent="0.35">
      <c r="B23" s="4" t="s">
        <v>17</v>
      </c>
      <c r="C23" s="14"/>
      <c r="D23" s="139" t="str">
        <f t="shared" si="99"/>
        <v>N.D.</v>
      </c>
      <c r="E23" s="14">
        <f>E18+E19+E20-E21</f>
        <v>0</v>
      </c>
      <c r="F23" s="139" t="str">
        <f t="shared" si="100"/>
        <v>N.D.</v>
      </c>
      <c r="G23" s="14">
        <f>G18+G19+G20-G21</f>
        <v>0</v>
      </c>
      <c r="H23" s="139" t="str">
        <f t="shared" si="101"/>
        <v>N.D.</v>
      </c>
      <c r="I23" s="14">
        <f>I18+I19+I20-I21</f>
        <v>0</v>
      </c>
      <c r="J23" s="139" t="str">
        <f>IF(I$4=0,"N.D.",I23/I$4)</f>
        <v>N.D.</v>
      </c>
      <c r="K23" s="14">
        <f>K18+K19+K20-K21</f>
        <v>0</v>
      </c>
      <c r="L23" s="139" t="str">
        <f t="shared" si="103"/>
        <v>N.D.</v>
      </c>
      <c r="M23" s="14">
        <f>M18+M19+M20-M21</f>
        <v>0</v>
      </c>
      <c r="N23" s="139" t="str">
        <f t="shared" si="104"/>
        <v>N.D.</v>
      </c>
      <c r="O23" s="14">
        <f>O18+O19+O20-O21</f>
        <v>1</v>
      </c>
      <c r="P23" s="139" t="str">
        <f t="shared" si="105"/>
        <v>N.D.</v>
      </c>
      <c r="R23" s="7" t="s">
        <v>43</v>
      </c>
      <c r="S23" s="8"/>
      <c r="T23" s="42" t="str">
        <f t="shared" si="114"/>
        <v>N.D.</v>
      </c>
      <c r="U23" s="8">
        <f>(BDER!K20+BDER!K42+BDER!K64+BDER!K86+BDER!K108+BDER!K130)/1000</f>
        <v>0</v>
      </c>
      <c r="V23" s="42" t="str">
        <f t="shared" si="115"/>
        <v>N.D.</v>
      </c>
      <c r="W23" s="8">
        <f>(BDER!K483+BDER!K506+BDER!K573+BDER!K618)*TC_MES/1000</f>
        <v>0</v>
      </c>
      <c r="X23" s="42" t="str">
        <f t="shared" si="116"/>
        <v>N.D.</v>
      </c>
      <c r="Y23" s="8">
        <f>Y128*TC_MES</f>
        <v>0</v>
      </c>
      <c r="Z23" s="42" t="str">
        <f t="shared" ref="Z23" si="130">IF(Y$4=0,"N.D.",Y23/Y$4)</f>
        <v>N.D.</v>
      </c>
      <c r="AA23" s="8">
        <f>(BDER!K306+BDER!K328+BDER!G350+BDER!K372+BDER!K394+BDER!K416)/1000</f>
        <v>0</v>
      </c>
      <c r="AB23" s="42" t="str">
        <f t="shared" ref="AB23" si="131">IF(AA$4=0,"N.D.",AA23/AA$4)</f>
        <v>N.D.</v>
      </c>
      <c r="AC23" s="8">
        <f>(BDER!K438+BDER!K460)/1000</f>
        <v>0</v>
      </c>
      <c r="AD23" s="42" t="str">
        <f t="shared" ref="AD23" si="132">IF(AC$4=0,"N.D.",AC23/AC$4)</f>
        <v>N.D.</v>
      </c>
      <c r="AE23" s="11">
        <f>+AA23+U23+S23+AC23+W23+Y23</f>
        <v>0</v>
      </c>
      <c r="AF23" s="42" t="str">
        <f t="shared" ref="AF23" si="133">IF(AE$4=0,"N.D.",AE23/AE$4)</f>
        <v>N.D.</v>
      </c>
      <c r="AH23" s="7" t="s">
        <v>43</v>
      </c>
      <c r="AI23" s="8"/>
      <c r="AJ23" s="42" t="str">
        <f t="shared" si="121"/>
        <v>N.D.</v>
      </c>
      <c r="AK23" s="8">
        <f>(BDER!G20+BDER!G42+BDER!G64+BDER!G86+BDER!G108+BDER!G130)/1000</f>
        <v>0</v>
      </c>
      <c r="AL23" s="42" t="str">
        <f t="shared" si="122"/>
        <v>N.D.</v>
      </c>
      <c r="AM23" s="8">
        <f>(BDER!G483+BDER!G506+BDER!G573+BDER!G618)*TC_MES/1000</f>
        <v>0</v>
      </c>
      <c r="AN23" s="42" t="str">
        <f t="shared" si="123"/>
        <v>N.D.</v>
      </c>
      <c r="AO23" s="8">
        <f>AO96*TC_MES</f>
        <v>0</v>
      </c>
      <c r="AP23" s="42" t="str">
        <f t="shared" si="124"/>
        <v>N.D.</v>
      </c>
      <c r="AQ23" s="8">
        <f>(BDER!G306+BDER!G328+BDER!E350+BDER!G372+BDER!G394+BDER!G416)/1000</f>
        <v>0</v>
      </c>
      <c r="AR23" s="42" t="str">
        <f t="shared" si="125"/>
        <v>N.D.</v>
      </c>
      <c r="AS23" s="8">
        <f>(BDER!G438+BDER!G460)/1000</f>
        <v>0</v>
      </c>
      <c r="AT23" s="42" t="str">
        <f t="shared" si="126"/>
        <v>N.D.</v>
      </c>
      <c r="AU23" s="8">
        <f>+AQ23+AK23+AI23+AS23+AM23+AO23</f>
        <v>0</v>
      </c>
      <c r="AV23" s="42" t="str">
        <f t="shared" si="127"/>
        <v>N.D.</v>
      </c>
      <c r="AX23" s="1" t="s">
        <v>20</v>
      </c>
      <c r="AY23" s="11">
        <f>O27</f>
        <v>0</v>
      </c>
      <c r="AZ23" s="12" t="str">
        <f t="shared" si="128"/>
        <v>N.D.</v>
      </c>
      <c r="BA23" s="11">
        <f t="shared" si="9"/>
        <v>0</v>
      </c>
      <c r="BB23" s="12" t="str">
        <f t="shared" si="129"/>
        <v>N.D.</v>
      </c>
      <c r="BC23" s="11">
        <f t="shared" si="10"/>
        <v>0</v>
      </c>
      <c r="BD23" s="12" t="str">
        <f t="shared" si="38"/>
        <v>N.D.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/>
      <c r="D24" s="139" t="str">
        <f t="shared" si="99"/>
        <v>N.D.</v>
      </c>
      <c r="E24" s="14">
        <f>+E16-E23</f>
        <v>0</v>
      </c>
      <c r="F24" s="139" t="str">
        <f t="shared" si="100"/>
        <v>N.D.</v>
      </c>
      <c r="G24" s="14">
        <f>+G16-G23</f>
        <v>0</v>
      </c>
      <c r="H24" s="139" t="str">
        <f>IF(G$4=0,"N.D.",G24/G$4)</f>
        <v>N.D.</v>
      </c>
      <c r="I24" s="14">
        <f>+I16-I23</f>
        <v>0</v>
      </c>
      <c r="J24" s="139" t="str">
        <f t="shared" si="102"/>
        <v>N.D.</v>
      </c>
      <c r="K24" s="14">
        <f>+K16-K23</f>
        <v>0</v>
      </c>
      <c r="L24" s="139" t="str">
        <f t="shared" si="103"/>
        <v>N.D.</v>
      </c>
      <c r="M24" s="14">
        <f>+M16-M23</f>
        <v>0</v>
      </c>
      <c r="N24" s="139" t="str">
        <f t="shared" si="104"/>
        <v>N.D.</v>
      </c>
      <c r="O24" s="14">
        <f>+O16-O23</f>
        <v>-1</v>
      </c>
      <c r="P24" s="139" t="str">
        <f t="shared" si="105"/>
        <v>N.D.</v>
      </c>
      <c r="R24" s="4" t="s">
        <v>21</v>
      </c>
      <c r="S24" s="14"/>
      <c r="T24" s="43" t="str">
        <f t="shared" si="114"/>
        <v>N.D.</v>
      </c>
      <c r="U24" s="14">
        <f>+U20-U22-U23</f>
        <v>0</v>
      </c>
      <c r="V24" s="43" t="str">
        <f t="shared" si="115"/>
        <v>N.D.</v>
      </c>
      <c r="W24" s="14">
        <f>+W20-W22-W23</f>
        <v>0</v>
      </c>
      <c r="X24" s="43" t="str">
        <f t="shared" si="116"/>
        <v>N.D.</v>
      </c>
      <c r="Y24" s="14">
        <f>+Y20-Y22-Y23</f>
        <v>0</v>
      </c>
      <c r="Z24" s="43" t="str">
        <f t="shared" ref="Z24" si="134">IF(Y$4=0,"N.D.",Y24/Y$4)</f>
        <v>N.D.</v>
      </c>
      <c r="AA24" s="14">
        <f>+AA20-AA22-AA23</f>
        <v>0</v>
      </c>
      <c r="AB24" s="43" t="str">
        <f t="shared" ref="AB24" si="135">IF(AA$4=0,"N.D.",AA24/AA$4)</f>
        <v>N.D.</v>
      </c>
      <c r="AC24" s="14">
        <f>+AC20-AC22-AC23</f>
        <v>0</v>
      </c>
      <c r="AD24" s="43" t="str">
        <f t="shared" ref="AD24" si="136">IF(AC$4=0,"N.D.",AC24/AC$4)</f>
        <v>N.D.</v>
      </c>
      <c r="AE24" s="14">
        <f>+AE20-AE22-AE23</f>
        <v>0</v>
      </c>
      <c r="AF24" s="43" t="str">
        <f t="shared" ref="AF24" si="137">IF(AE$4=0,"N.D.",AE24/AE$4)</f>
        <v>N.D.</v>
      </c>
      <c r="AH24" s="4" t="s">
        <v>21</v>
      </c>
      <c r="AI24" s="14"/>
      <c r="AJ24" s="43" t="str">
        <f t="shared" si="121"/>
        <v>N.D.</v>
      </c>
      <c r="AK24" s="14">
        <f>+AK20-AK22-AK23</f>
        <v>0</v>
      </c>
      <c r="AL24" s="43" t="str">
        <f t="shared" si="122"/>
        <v>N.D.</v>
      </c>
      <c r="AM24" s="14">
        <f>+AM20-AM22-AM23</f>
        <v>0</v>
      </c>
      <c r="AN24" s="43" t="str">
        <f t="shared" si="123"/>
        <v>N.D.</v>
      </c>
      <c r="AO24" s="14">
        <f>+AO20-AO22-AO23</f>
        <v>0</v>
      </c>
      <c r="AP24" s="43" t="str">
        <f t="shared" si="124"/>
        <v>N.D.</v>
      </c>
      <c r="AQ24" s="14">
        <f>+AQ20-AQ22-AQ23</f>
        <v>0</v>
      </c>
      <c r="AR24" s="43" t="str">
        <f t="shared" si="125"/>
        <v>N.D.</v>
      </c>
      <c r="AS24" s="14">
        <f>+AS20-AS22-AS23</f>
        <v>0</v>
      </c>
      <c r="AT24" s="43" t="str">
        <f t="shared" si="126"/>
        <v>N.D.</v>
      </c>
      <c r="AU24" s="14">
        <f>+AU20-AU22-AU23</f>
        <v>0</v>
      </c>
      <c r="AV24" s="43" t="str">
        <f t="shared" si="127"/>
        <v>N.D.</v>
      </c>
      <c r="AX24" s="26" t="s">
        <v>21</v>
      </c>
      <c r="AY24" s="14">
        <f>O28</f>
        <v>-1</v>
      </c>
      <c r="AZ24" s="15" t="str">
        <f t="shared" si="128"/>
        <v>N.D.</v>
      </c>
      <c r="BA24" s="14">
        <f t="shared" si="9"/>
        <v>0</v>
      </c>
      <c r="BB24" s="15" t="str">
        <f t="shared" si="129"/>
        <v>N.D.</v>
      </c>
      <c r="BC24" s="14">
        <f t="shared" si="10"/>
        <v>0</v>
      </c>
      <c r="BD24" s="15" t="str">
        <f t="shared" si="38"/>
        <v>N.D.</v>
      </c>
      <c r="BE24" s="14">
        <f>+AY24-BA24</f>
        <v>-1</v>
      </c>
      <c r="BF24" s="16" t="str">
        <f>IF(BA24=0,"N.D.",AY24/BA24-1)</f>
        <v>N.D.</v>
      </c>
      <c r="BG24" s="14">
        <f>AY24-BC24</f>
        <v>-1</v>
      </c>
      <c r="BH24" s="16" t="str">
        <f>IF(BC24=0, "N.D.",AY24/BC24-1)</f>
        <v>N.D.</v>
      </c>
    </row>
    <row r="25" spans="2:60" x14ac:dyDescent="0.35">
      <c r="B25" s="1"/>
      <c r="C25" s="30"/>
      <c r="D25" s="140"/>
      <c r="E25" s="30"/>
      <c r="F25" s="140"/>
      <c r="G25" s="30"/>
      <c r="H25" s="140"/>
      <c r="I25" s="30"/>
      <c r="J25" s="140"/>
      <c r="K25" s="30"/>
      <c r="L25" s="140"/>
      <c r="M25" s="30"/>
      <c r="N25" s="140"/>
      <c r="O25" s="30"/>
      <c r="P25" s="140"/>
      <c r="R25" s="4" t="s">
        <v>22</v>
      </c>
      <c r="S25" s="20"/>
      <c r="T25" s="45" t="str">
        <f t="shared" si="114"/>
        <v>N.D.</v>
      </c>
      <c r="U25" s="20">
        <f>+U12+U10</f>
        <v>0</v>
      </c>
      <c r="V25" s="45" t="str">
        <f t="shared" si="115"/>
        <v>N.D.</v>
      </c>
      <c r="W25" s="20">
        <f>+W12+W10</f>
        <v>0</v>
      </c>
      <c r="X25" s="45" t="str">
        <f t="shared" si="116"/>
        <v>N.D.</v>
      </c>
      <c r="Y25" s="20">
        <f>+Y12+Y10</f>
        <v>0</v>
      </c>
      <c r="Z25" s="45" t="str">
        <f t="shared" ref="Z25" si="138">IF(Y$4=0,"N.D.",Y25/Y$4)</f>
        <v>N.D.</v>
      </c>
      <c r="AA25" s="20">
        <f>+AA12+AA10</f>
        <v>0</v>
      </c>
      <c r="AB25" s="45" t="str">
        <f t="shared" ref="AB25" si="139">IF(AA$4=0,"N.D.",AA25/AA$4)</f>
        <v>N.D.</v>
      </c>
      <c r="AC25" s="20">
        <f>+AC12+AC10</f>
        <v>0</v>
      </c>
      <c r="AD25" s="45" t="str">
        <f t="shared" ref="AD25" si="140">IF(AC$4=0,"N.D.",AC25/AC$4)</f>
        <v>N.D.</v>
      </c>
      <c r="AE25" s="20">
        <f>+AE12+AE10</f>
        <v>0</v>
      </c>
      <c r="AF25" s="45" t="str">
        <f t="shared" ref="AF25" si="141">IF(AE$4=0,"N.D.",AE25/AE$4)</f>
        <v>N.D.</v>
      </c>
      <c r="AH25" s="4" t="s">
        <v>22</v>
      </c>
      <c r="AI25" s="20"/>
      <c r="AJ25" s="45" t="str">
        <f t="shared" si="121"/>
        <v>N.D.</v>
      </c>
      <c r="AK25" s="20">
        <f>+AK12+AK10</f>
        <v>0</v>
      </c>
      <c r="AL25" s="45" t="str">
        <f t="shared" si="122"/>
        <v>N.D.</v>
      </c>
      <c r="AM25" s="20">
        <f>+AM12+AM10</f>
        <v>0</v>
      </c>
      <c r="AN25" s="45" t="str">
        <f t="shared" si="123"/>
        <v>N.D.</v>
      </c>
      <c r="AO25" s="20">
        <f>+AO12+AO10</f>
        <v>0</v>
      </c>
      <c r="AP25" s="45" t="str">
        <f t="shared" si="124"/>
        <v>N.D.</v>
      </c>
      <c r="AQ25" s="20">
        <f>+AQ12+AQ10</f>
        <v>0</v>
      </c>
      <c r="AR25" s="45" t="str">
        <f t="shared" si="125"/>
        <v>N.D.</v>
      </c>
      <c r="AS25" s="20">
        <f>+AS12+AS10</f>
        <v>0</v>
      </c>
      <c r="AT25" s="45" t="str">
        <f t="shared" si="126"/>
        <v>N.D.</v>
      </c>
      <c r="AU25" s="20">
        <f>+AU12+AU10</f>
        <v>0</v>
      </c>
      <c r="AV25" s="45" t="str">
        <f t="shared" si="127"/>
        <v>N.D.</v>
      </c>
      <c r="AX25" s="26" t="s">
        <v>22</v>
      </c>
      <c r="AY25" s="14">
        <f>O29</f>
        <v>0</v>
      </c>
      <c r="AZ25" s="15" t="str">
        <f t="shared" si="128"/>
        <v>N.D.</v>
      </c>
      <c r="BA25" s="14">
        <f t="shared" si="9"/>
        <v>0</v>
      </c>
      <c r="BB25" s="15" t="str">
        <f t="shared" si="129"/>
        <v>N.D.</v>
      </c>
      <c r="BC25" s="14">
        <f t="shared" si="10"/>
        <v>0</v>
      </c>
      <c r="BD25" s="15" t="str">
        <f t="shared" si="38"/>
        <v>N.D.</v>
      </c>
      <c r="BE25" s="14">
        <f>+AY25-BA25</f>
        <v>0</v>
      </c>
      <c r="BF25" s="16" t="str">
        <f>IF(BA25=0,"N.D.",AY25/BA25-1)</f>
        <v>N.D.</v>
      </c>
      <c r="BG25" s="14">
        <f>AY25-BC25</f>
        <v>0</v>
      </c>
      <c r="BH25" s="16" t="str">
        <f>IF(BC25=0, "N.D.",AY25/BC25-1)</f>
        <v>N.D.</v>
      </c>
    </row>
    <row r="26" spans="2:60" x14ac:dyDescent="0.35">
      <c r="B26" s="7" t="s">
        <v>35</v>
      </c>
      <c r="C26" s="8"/>
      <c r="D26" s="141" t="str">
        <f t="shared" si="99"/>
        <v>N.D.</v>
      </c>
      <c r="E26" s="8">
        <f>TablasERxDiv!AA23</f>
        <v>0</v>
      </c>
      <c r="F26" s="141" t="str">
        <f t="shared" si="99"/>
        <v>N.D.</v>
      </c>
      <c r="G26" s="8">
        <f>TablasERxDiv!BP21*TC_MES</f>
        <v>0</v>
      </c>
      <c r="H26" s="141" t="str">
        <f>IF(G$4=0,"N.D.",G26/G$4)</f>
        <v>N.D.</v>
      </c>
      <c r="I26" s="8">
        <f>TablasERxDiv!CF21*TC_MES</f>
        <v>0</v>
      </c>
      <c r="J26" s="141" t="str">
        <f t="shared" si="99"/>
        <v>N.D.</v>
      </c>
      <c r="K26" s="8">
        <f>TablasERxDiv!AT23</f>
        <v>0</v>
      </c>
      <c r="L26" s="141" t="str">
        <f t="shared" si="99"/>
        <v>N.D.</v>
      </c>
      <c r="M26" s="8">
        <f>TablasERxDiv!BC23</f>
        <v>0</v>
      </c>
      <c r="N26" s="141" t="str">
        <f t="shared" si="99"/>
        <v>N.D.</v>
      </c>
      <c r="O26" s="8">
        <f>+K26+E26+C26+M26+G26+I26</f>
        <v>0</v>
      </c>
      <c r="P26" s="141" t="str">
        <f t="shared" si="99"/>
        <v>N.D.</v>
      </c>
      <c r="AX26" s="25"/>
    </row>
    <row r="27" spans="2:60" x14ac:dyDescent="0.35">
      <c r="B27" s="7" t="s">
        <v>20</v>
      </c>
      <c r="C27" s="11"/>
      <c r="D27" s="138" t="str">
        <f t="shared" si="99"/>
        <v>N.D.</v>
      </c>
      <c r="E27" s="11">
        <f>TablasERxDiv!AA24</f>
        <v>0</v>
      </c>
      <c r="F27" s="138" t="str">
        <f t="shared" ref="F27" si="142">IF(E$4=0,"N.D.",E27/E$4)</f>
        <v>N.D.</v>
      </c>
      <c r="G27" s="11">
        <f>TablasERxDiv!BP22*TC_MES</f>
        <v>0</v>
      </c>
      <c r="H27" s="138" t="str">
        <f t="shared" ref="H27:H34" si="143">IF(G$4=0,"N.D.",G27/G$4)</f>
        <v>N.D.</v>
      </c>
      <c r="I27" s="11">
        <f>TablasERxDiv!CF22*TC_MES</f>
        <v>0</v>
      </c>
      <c r="J27" s="138" t="str">
        <f t="shared" ref="J27" si="144">IF(I$4=0,"N.D.",I27/I$4)</f>
        <v>N.D.</v>
      </c>
      <c r="K27" s="11">
        <f>TablasERxDiv!AT24</f>
        <v>0</v>
      </c>
      <c r="L27" s="138" t="str">
        <f t="shared" ref="L27" si="145">IF(K$4=0,"N.D.",K27/K$4)</f>
        <v>N.D.</v>
      </c>
      <c r="M27" s="11">
        <f>TablasERxDiv!BC24</f>
        <v>0</v>
      </c>
      <c r="N27" s="138" t="str">
        <f t="shared" ref="N27" si="146">IF(M$4=0,"N.D.",M27/M$4)</f>
        <v>N.D.</v>
      </c>
      <c r="O27" s="11">
        <f>+K27+E27+C27+M27+G27+I27</f>
        <v>0</v>
      </c>
      <c r="P27" s="138" t="str">
        <f t="shared" ref="P27" si="147">IF(O$4=0,"N.D.",O27/O$4)</f>
        <v>N.D.</v>
      </c>
    </row>
    <row r="28" spans="2:60" x14ac:dyDescent="0.35">
      <c r="B28" s="4" t="s">
        <v>21</v>
      </c>
      <c r="C28" s="14"/>
      <c r="D28" s="139" t="str">
        <f t="shared" si="99"/>
        <v>N.D.</v>
      </c>
      <c r="E28" s="14">
        <f>E24-E26-E27</f>
        <v>0</v>
      </c>
      <c r="F28" s="139" t="str">
        <f t="shared" ref="F28" si="148">IF(E$4=0,"N.D.",E28/E$4)</f>
        <v>N.D.</v>
      </c>
      <c r="G28" s="14">
        <f>G24-G26-G27</f>
        <v>0</v>
      </c>
      <c r="H28" s="139" t="str">
        <f t="shared" si="143"/>
        <v>N.D.</v>
      </c>
      <c r="I28" s="14">
        <f>I24-I26-I27</f>
        <v>0</v>
      </c>
      <c r="J28" s="139" t="str">
        <f t="shared" ref="J28" si="149">IF(I$4=0,"N.D.",I28/I$4)</f>
        <v>N.D.</v>
      </c>
      <c r="K28" s="14">
        <f>K24-K26-K27</f>
        <v>0</v>
      </c>
      <c r="L28" s="139" t="str">
        <f t="shared" ref="L28:L34" si="150">IF(K$4=0,"N.D.",K28/K$4)</f>
        <v>N.D.</v>
      </c>
      <c r="M28" s="14">
        <f>M24-M26-M27</f>
        <v>0</v>
      </c>
      <c r="N28" s="139" t="str">
        <f t="shared" ref="N28" si="151">IF(M$4=0,"N.D.",M28/M$4)</f>
        <v>N.D.</v>
      </c>
      <c r="O28" s="14">
        <f>O24-O26-O27</f>
        <v>-1</v>
      </c>
      <c r="P28" s="139" t="str">
        <f t="shared" ref="P28:P34" si="152">IF(O$4=0,"N.D.",O28/O$4)</f>
        <v>N.D.</v>
      </c>
    </row>
    <row r="29" spans="2:60" x14ac:dyDescent="0.35">
      <c r="B29" s="4" t="s">
        <v>22</v>
      </c>
      <c r="C29" s="20"/>
      <c r="D29" s="142" t="str">
        <f t="shared" si="99"/>
        <v>N.D.</v>
      </c>
      <c r="E29" s="20">
        <f>E16+E10</f>
        <v>0</v>
      </c>
      <c r="F29" s="142" t="str">
        <f>IF(E$4=0,"N.D.",E29/E$4)</f>
        <v>N.D.</v>
      </c>
      <c r="G29" s="20">
        <f>G16+G10</f>
        <v>0</v>
      </c>
      <c r="H29" s="142" t="str">
        <f t="shared" si="143"/>
        <v>N.D.</v>
      </c>
      <c r="I29" s="20">
        <f>I16+I10</f>
        <v>0</v>
      </c>
      <c r="J29" s="142" t="str">
        <f t="shared" ref="J29:J34" si="153">IF(I$4=0,"N.D.",I29/I$4)</f>
        <v>N.D.</v>
      </c>
      <c r="K29" s="20">
        <f>K16+K10</f>
        <v>0</v>
      </c>
      <c r="L29" s="142" t="str">
        <f t="shared" si="150"/>
        <v>N.D.</v>
      </c>
      <c r="M29" s="20">
        <f>M16+M10</f>
        <v>0</v>
      </c>
      <c r="N29" s="142" t="str">
        <f t="shared" ref="N29:N31" si="154">IF(M$4=0,"N.D.",M29/M$4)</f>
        <v>N.D.</v>
      </c>
      <c r="O29" s="20">
        <f>+O16+O10</f>
        <v>0</v>
      </c>
      <c r="P29" s="142" t="str">
        <f t="shared" si="152"/>
        <v>N.D.</v>
      </c>
    </row>
    <row r="30" spans="2:60" x14ac:dyDescent="0.35">
      <c r="B30" s="4" t="s">
        <v>36</v>
      </c>
      <c r="C30" s="20"/>
      <c r="D30" s="142" t="str">
        <f t="shared" si="99"/>
        <v>N.D.</v>
      </c>
      <c r="E30" s="20">
        <f>E10+E28+division!B8</f>
        <v>0</v>
      </c>
      <c r="F30" s="142" t="str">
        <f t="shared" ref="F30:F34" si="155">IF(E$4=0,"N.D.",E30/E$4)</f>
        <v>N.D.</v>
      </c>
      <c r="G30" s="20">
        <f>G10+G18+G28</f>
        <v>0</v>
      </c>
      <c r="H30" s="142" t="str">
        <f t="shared" si="143"/>
        <v>N.D.</v>
      </c>
      <c r="I30" s="20">
        <f>I10+I18+I28</f>
        <v>0</v>
      </c>
      <c r="J30" s="142" t="str">
        <f t="shared" si="153"/>
        <v>N.D.</v>
      </c>
      <c r="K30" s="20">
        <f>K10+K18+K28</f>
        <v>0</v>
      </c>
      <c r="L30" s="142" t="str">
        <f t="shared" si="150"/>
        <v>N.D.</v>
      </c>
      <c r="M30" s="20">
        <f>M10+M18+M28</f>
        <v>0</v>
      </c>
      <c r="N30" s="142" t="str">
        <f t="shared" si="154"/>
        <v>N.D.</v>
      </c>
      <c r="O30" s="20">
        <f>division!B8+O10+O18+O28-E18</f>
        <v>-1</v>
      </c>
      <c r="P30" s="142" t="str">
        <f t="shared" si="152"/>
        <v>N.D.</v>
      </c>
    </row>
    <row r="31" spans="2:60" x14ac:dyDescent="0.35">
      <c r="B31" s="7" t="s">
        <v>37</v>
      </c>
      <c r="C31" s="20"/>
      <c r="D31" s="142" t="str">
        <f t="shared" si="99"/>
        <v>N.D.</v>
      </c>
      <c r="E31" s="34">
        <f>division!B6</f>
        <v>0</v>
      </c>
      <c r="F31" s="298" t="str">
        <f t="shared" si="155"/>
        <v>N.D.</v>
      </c>
      <c r="G31" s="34">
        <f>division!G6</f>
        <v>0</v>
      </c>
      <c r="H31" s="298" t="str">
        <f t="shared" si="143"/>
        <v>N.D.</v>
      </c>
      <c r="I31" s="34">
        <f>division!H6</f>
        <v>0</v>
      </c>
      <c r="J31" s="298" t="str">
        <f t="shared" si="153"/>
        <v>N.D.</v>
      </c>
      <c r="K31" s="34">
        <f>division!E6</f>
        <v>0</v>
      </c>
      <c r="L31" s="298" t="str">
        <f t="shared" si="150"/>
        <v>N.D.</v>
      </c>
      <c r="M31" s="34">
        <f>division!F6</f>
        <v>0</v>
      </c>
      <c r="N31" s="298" t="str">
        <f t="shared" si="154"/>
        <v>N.D.</v>
      </c>
      <c r="O31" s="34">
        <f>+G31+M31+C31+E31+K31+I31+Q31</f>
        <v>0</v>
      </c>
      <c r="P31" s="298" t="str">
        <f t="shared" si="152"/>
        <v>N.D.</v>
      </c>
      <c r="Q31">
        <f>capital-intereses</f>
        <v>0</v>
      </c>
      <c r="R31" t="s">
        <v>415</v>
      </c>
    </row>
    <row r="32" spans="2:60" x14ac:dyDescent="0.35">
      <c r="B32" s="4" t="s">
        <v>38</v>
      </c>
      <c r="C32" s="34"/>
      <c r="D32" s="298" t="str">
        <f t="shared" si="99"/>
        <v>N.D.</v>
      </c>
      <c r="E32" s="20">
        <f>+E30-E31</f>
        <v>0</v>
      </c>
      <c r="F32" s="142" t="str">
        <f t="shared" si="155"/>
        <v>N.D.</v>
      </c>
      <c r="G32" s="20">
        <f>+G30-G31</f>
        <v>0</v>
      </c>
      <c r="H32" s="142" t="str">
        <f t="shared" si="143"/>
        <v>N.D.</v>
      </c>
      <c r="I32" s="20">
        <f>+I30-I31</f>
        <v>0</v>
      </c>
      <c r="J32" s="142" t="str">
        <f t="shared" si="153"/>
        <v>N.D.</v>
      </c>
      <c r="K32" s="20">
        <f>+K30-K31</f>
        <v>0</v>
      </c>
      <c r="L32" s="142" t="str">
        <f t="shared" si="150"/>
        <v>N.D.</v>
      </c>
      <c r="M32" s="20">
        <f>+M30-M31</f>
        <v>0</v>
      </c>
      <c r="N32" s="142" t="str">
        <f>IF(M$4=0,"N.D.",M32/M$4)</f>
        <v>N.D.</v>
      </c>
      <c r="O32" s="20">
        <f>+O30-O31</f>
        <v>-1</v>
      </c>
      <c r="P32" s="142" t="str">
        <f t="shared" si="152"/>
        <v>N.D.</v>
      </c>
    </row>
    <row r="33" spans="1:60" x14ac:dyDescent="0.35">
      <c r="B33" s="7" t="s">
        <v>39</v>
      </c>
      <c r="C33" s="34"/>
      <c r="D33" s="298" t="str">
        <f t="shared" si="99"/>
        <v>N.D.</v>
      </c>
      <c r="E33" s="34">
        <f>division!B7</f>
        <v>0</v>
      </c>
      <c r="F33" s="298" t="str">
        <f t="shared" si="155"/>
        <v>N.D.</v>
      </c>
      <c r="G33" s="34">
        <f>division!G7</f>
        <v>0</v>
      </c>
      <c r="H33" s="298" t="str">
        <f t="shared" si="143"/>
        <v>N.D.</v>
      </c>
      <c r="I33" s="34">
        <f>division!H7</f>
        <v>0</v>
      </c>
      <c r="J33" s="298" t="str">
        <f t="shared" si="153"/>
        <v>N.D.</v>
      </c>
      <c r="K33" s="34">
        <f>division!E7</f>
        <v>0</v>
      </c>
      <c r="L33" s="298" t="str">
        <f t="shared" si="150"/>
        <v>N.D.</v>
      </c>
      <c r="M33" s="34">
        <f>division!F7</f>
        <v>0</v>
      </c>
      <c r="N33" s="298" t="str">
        <f t="shared" ref="N33:N34" si="156">IF(M$4=0,"N.D.",M33/M$4)</f>
        <v>N.D.</v>
      </c>
      <c r="O33" s="34">
        <f>+G33+M33+C33+E33+K33+I33</f>
        <v>0</v>
      </c>
      <c r="P33" s="298" t="str">
        <f t="shared" si="152"/>
        <v>N.D.</v>
      </c>
    </row>
    <row r="34" spans="1:60" x14ac:dyDescent="0.35">
      <c r="B34" s="4" t="s">
        <v>40</v>
      </c>
      <c r="C34" s="20"/>
      <c r="D34" s="142" t="str">
        <f t="shared" si="99"/>
        <v>N.D.</v>
      </c>
      <c r="E34" s="20">
        <f>+E32-E33</f>
        <v>0</v>
      </c>
      <c r="F34" s="142" t="str">
        <f t="shared" si="155"/>
        <v>N.D.</v>
      </c>
      <c r="G34" s="20">
        <f>+G32-G33</f>
        <v>0</v>
      </c>
      <c r="H34" s="142" t="str">
        <f t="shared" si="143"/>
        <v>N.D.</v>
      </c>
      <c r="I34" s="20">
        <f>+I32-I33</f>
        <v>0</v>
      </c>
      <c r="J34" s="142" t="str">
        <f t="shared" si="153"/>
        <v>N.D.</v>
      </c>
      <c r="K34" s="20">
        <f>+K32-K33</f>
        <v>0</v>
      </c>
      <c r="L34" s="142" t="str">
        <f t="shared" si="150"/>
        <v>N.D.</v>
      </c>
      <c r="M34" s="20">
        <f>+M32-M33</f>
        <v>0</v>
      </c>
      <c r="N34" s="142" t="str">
        <f t="shared" si="156"/>
        <v>N.D.</v>
      </c>
      <c r="O34" s="20">
        <f>+O32-O33</f>
        <v>-1</v>
      </c>
      <c r="P34" s="142" t="str">
        <f t="shared" si="152"/>
        <v>N.D.</v>
      </c>
    </row>
    <row r="35" spans="1:60" x14ac:dyDescent="0.35">
      <c r="B35" s="25"/>
    </row>
    <row r="38" spans="1:60" x14ac:dyDescent="0.35">
      <c r="G38" s="201"/>
    </row>
    <row r="39" spans="1:60" x14ac:dyDescent="0.35">
      <c r="A39" t="s">
        <v>119</v>
      </c>
      <c r="B39" s="371">
        <v>15</v>
      </c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70" t="s">
        <v>24</v>
      </c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4"/>
      <c r="D41" s="29" t="str">
        <f>IF(C$41=0,"N.D.",C41/C$41)</f>
        <v>N.D.</v>
      </c>
      <c r="E41" s="8">
        <f>TablasERxDiv!AA32</f>
        <v>0</v>
      </c>
      <c r="F41" s="29" t="str">
        <f>IF(E$41=0,"N.D.",E41/E$41)</f>
        <v>N.D.</v>
      </c>
      <c r="G41" s="195">
        <f>'mxn-dll'!N5</f>
        <v>0</v>
      </c>
      <c r="H41" s="29" t="str">
        <f>IF(G$41=0,"N.D.",G41/G$41)</f>
        <v>N.D.</v>
      </c>
      <c r="I41" s="195">
        <f>'mxn-dll'!AC5</f>
        <v>0</v>
      </c>
      <c r="J41" s="29" t="str">
        <f>IF(I$41=0,"N.D.",I41/I$41)</f>
        <v>N.D.</v>
      </c>
      <c r="K41" s="195">
        <f>TablasERxDiv!AT32</f>
        <v>0</v>
      </c>
      <c r="L41" s="29" t="str">
        <f>IF(K$41=0,"N.D.",K41/K$41)</f>
        <v>N.D.</v>
      </c>
      <c r="M41" s="195">
        <f>TablasERxDiv!BC32</f>
        <v>0</v>
      </c>
      <c r="N41" s="29" t="str">
        <f>IF(M$41=0,"N.D.",M41/M$41)</f>
        <v>N.D.</v>
      </c>
      <c r="O41" s="195">
        <f>K41+E41+C41+M41+G41+I41</f>
        <v>0</v>
      </c>
      <c r="P41" s="29" t="str">
        <f>IF(O$41=0,"N.D.",O41/O$41)</f>
        <v>N.D.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57">IF(U$41=0,"N.D.",U41/U$41)</f>
        <v>N.D.</v>
      </c>
      <c r="W41" s="8">
        <f>(BDER!L466+BDER!L489+BDER!L556+BDER!L601)*TC_MES/1000</f>
        <v>0</v>
      </c>
      <c r="X41" s="29" t="str">
        <f t="shared" ref="X41:X43" si="158">IF(W$41=0,"N.D.",W41/W$41)</f>
        <v>N.D.</v>
      </c>
      <c r="Y41" s="8">
        <f>Y109*TC_MES</f>
        <v>0</v>
      </c>
      <c r="Z41" s="29" t="str">
        <f t="shared" ref="Z41:Z43" si="159">IF(Y$41=0,"N.D.",Y41/Y$41)</f>
        <v>N.D.</v>
      </c>
      <c r="AA41" s="8">
        <f>(BDER!L290+BDER!L312+BDER!H334+BDER!L356+BDER!L378+BDER!L400)/1000</f>
        <v>0</v>
      </c>
      <c r="AB41" s="29" t="str">
        <f t="shared" ref="AB41:AB43" si="160">IF(AA$41=0,"N.D.",AA41/AA$41)</f>
        <v>N.D.</v>
      </c>
      <c r="AC41" s="8">
        <f>(BDER!L422+BDER!L444)/1000</f>
        <v>0</v>
      </c>
      <c r="AD41" s="29" t="str">
        <f t="shared" ref="AD41:AD43" si="161">IF(AC$41=0,"N.D.",AC41/AC$41)</f>
        <v>N.D.</v>
      </c>
      <c r="AE41" s="8">
        <f>+AA41+U41+S41+AC41+W41+Y41</f>
        <v>0</v>
      </c>
      <c r="AF41" s="29" t="str">
        <f t="shared" ref="AF41:AF43" si="162">IF(AE$41=0,"N.D.",AE41/AE$41)</f>
        <v>N.D.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0</v>
      </c>
      <c r="AL41" s="29" t="str">
        <f t="shared" ref="AL41:AL43" si="163">IF(AK$41=0,"N.D.",AK41/AK$41)</f>
        <v>N.D.</v>
      </c>
      <c r="AM41" s="8">
        <f>(BDER!H466+BDER!H489+BDER!H556+BDER!H601)*TC_MES/1000</f>
        <v>0</v>
      </c>
      <c r="AN41" s="29" t="str">
        <f t="shared" ref="AN41:AN43" si="164">IF(AM$41=0,"N.D.",AM41/AM$41)</f>
        <v>N.D.</v>
      </c>
      <c r="AO41" s="8">
        <f>AO109*TC_MES</f>
        <v>0</v>
      </c>
      <c r="AP41" s="29" t="str">
        <f t="shared" ref="AP41:AP43" si="165">IF(AO$41=0,"N.D.",AO41/AO$41)</f>
        <v>N.D.</v>
      </c>
      <c r="AQ41" s="8">
        <f>(BDER!H290+BDER!H312+BDER!F334+BDER!H356+BDER!H378+BDER!H400)/1000</f>
        <v>0</v>
      </c>
      <c r="AR41" s="29" t="str">
        <f t="shared" ref="AR41:AR43" si="166">IF(AQ$41=0,"N.D.",AQ41/AQ$41)</f>
        <v>N.D.</v>
      </c>
      <c r="AS41" s="8">
        <f>(BDER!H422+BDER!H444)/1000</f>
        <v>0</v>
      </c>
      <c r="AT41" s="29" t="str">
        <f t="shared" ref="AT41:AT43" si="167">IF(AS$41=0,"N.D.",AS41/AS$41)</f>
        <v>N.D.</v>
      </c>
      <c r="AU41" s="8">
        <f>+AQ41+AK41+AI41+AS41+AM41+AO41</f>
        <v>0</v>
      </c>
      <c r="AV41" s="29" t="str">
        <f t="shared" ref="AV41:AV43" si="168">IF(AU$41=0,"N.D.",AU41/AU$41)</f>
        <v>N.D.</v>
      </c>
      <c r="AW41" s="25"/>
      <c r="AX41" s="7" t="s">
        <v>5</v>
      </c>
      <c r="AY41" s="8">
        <f>O41</f>
        <v>0</v>
      </c>
      <c r="AZ41" s="9" t="str">
        <f>IF(AY$41=0,"N.D.",AY41/AY$41)</f>
        <v>N.D.</v>
      </c>
      <c r="BA41" s="8">
        <f t="shared" ref="BA41:BA62" si="169">AE41</f>
        <v>0</v>
      </c>
      <c r="BB41" s="9" t="str">
        <f t="shared" ref="BB41:BB62" si="170">IF(BA$41=0,"N.D.",BA41/BA$41)</f>
        <v>N.D.</v>
      </c>
      <c r="BC41" s="8">
        <f t="shared" ref="BC41:BC62" si="171">AU41</f>
        <v>0</v>
      </c>
      <c r="BD41" s="9" t="str">
        <f t="shared" ref="BD41:BD62" si="172">IF(BC$41=0,"N.D.",BC41/BC$41)</f>
        <v>N.D.</v>
      </c>
      <c r="BE41" s="8">
        <f>+AY41-BA41</f>
        <v>0</v>
      </c>
      <c r="BF41" s="10" t="str">
        <f>IF(BA41=0,"N.D.",AY41/BA41-1)</f>
        <v>N.D.</v>
      </c>
      <c r="BG41" s="8">
        <f>AY41-BC41</f>
        <v>0</v>
      </c>
      <c r="BH41" s="10" t="str">
        <f>IF(BC41=0, "N.D.",AY41/BC41-1)</f>
        <v>N.D.</v>
      </c>
    </row>
    <row r="42" spans="1:60" x14ac:dyDescent="0.35">
      <c r="B42" s="7" t="s">
        <v>6</v>
      </c>
      <c r="C42" s="196"/>
      <c r="D42" s="193" t="str">
        <f>IF(C$41=0,"N.D.",C42/C$41)</f>
        <v>N.D.</v>
      </c>
      <c r="E42" s="34">
        <f>TablasERxDiv!AA33</f>
        <v>0</v>
      </c>
      <c r="F42" s="190" t="str">
        <f>IF(E$41=0,"N.D.",E42/E$41)</f>
        <v>N.D.</v>
      </c>
      <c r="G42" s="197">
        <f>'mxn-dll'!N6</f>
        <v>0</v>
      </c>
      <c r="H42" s="193" t="str">
        <f>IF(G$41=0,"N.D.",G42/G$41)</f>
        <v>N.D.</v>
      </c>
      <c r="I42" s="197">
        <f>'mxn-dll'!AC6</f>
        <v>0</v>
      </c>
      <c r="J42" s="190" t="str">
        <f>IF(I$41=0,"N.D.",I42/I$41)</f>
        <v>N.D.</v>
      </c>
      <c r="K42" s="197">
        <f>TablasERxDiv!AT33</f>
        <v>0</v>
      </c>
      <c r="L42" s="190" t="str">
        <f>IF(K$41=0,"N.D.",K42/K$41)</f>
        <v>N.D.</v>
      </c>
      <c r="M42" s="197">
        <f>TablasERxDiv!BC33</f>
        <v>0</v>
      </c>
      <c r="N42" s="190" t="str">
        <f>IF(M$41=0,"N.D.",M42/M$41)</f>
        <v>N.D.</v>
      </c>
      <c r="O42" s="197">
        <f>K42+E42+C42+M42+G42+I42</f>
        <v>0</v>
      </c>
      <c r="P42" s="193" t="str">
        <f>IF(O$41=0,"N.D.",O42/O$41)</f>
        <v>N.D.</v>
      </c>
      <c r="R42" s="7" t="s">
        <v>6</v>
      </c>
      <c r="S42" s="8"/>
      <c r="T42" s="42" t="str">
        <f t="shared" ref="T42:T43" si="173">IF(S$41=0,"N.D.",S42/S$41)</f>
        <v>N.D.</v>
      </c>
      <c r="U42" s="8">
        <f>(BDER!L5+BDER!L27+BDER!L49+BDER!L71+BDER!L93+BDER!L115)/1000</f>
        <v>0</v>
      </c>
      <c r="V42" s="42" t="str">
        <f t="shared" si="157"/>
        <v>N.D.</v>
      </c>
      <c r="W42" s="8">
        <f>(BDER!L467+BDER!L490+BDER!L557+BDER!L602)*TC_MES/1000</f>
        <v>0</v>
      </c>
      <c r="X42" s="42" t="str">
        <f t="shared" si="158"/>
        <v>N.D.</v>
      </c>
      <c r="Y42" s="8">
        <f>Y110*TC_MES</f>
        <v>0</v>
      </c>
      <c r="Z42" s="42" t="str">
        <f t="shared" si="159"/>
        <v>N.D.</v>
      </c>
      <c r="AA42" s="8">
        <f>(BDER!L291+BDER!L313+BDER!H335+BDER!L357+BDER!L379+BDER!L401)/1000</f>
        <v>0</v>
      </c>
      <c r="AB42" s="42" t="str">
        <f t="shared" si="160"/>
        <v>N.D.</v>
      </c>
      <c r="AC42" s="8">
        <f>(BDER!L423+BDER!L445)/1000</f>
        <v>0</v>
      </c>
      <c r="AD42" s="42" t="str">
        <f t="shared" si="161"/>
        <v>N.D.</v>
      </c>
      <c r="AE42" s="11">
        <f>+AA42+U42+S42+AC42+W42+Y42</f>
        <v>0</v>
      </c>
      <c r="AF42" s="42" t="str">
        <f t="shared" si="162"/>
        <v>N.D.</v>
      </c>
      <c r="AH42" s="7" t="s">
        <v>6</v>
      </c>
      <c r="AI42" s="8"/>
      <c r="AJ42" s="42" t="str">
        <f t="shared" ref="AJ42:AJ43" si="174">IF(AI$41=0,"N.D.",AI42/AI$41)</f>
        <v>N.D.</v>
      </c>
      <c r="AK42" s="8">
        <f>(BDER!H5+BDER!H27+BDER!H49+BDER!H71+BDER!H93+BDER!H115)/1000</f>
        <v>0</v>
      </c>
      <c r="AL42" s="42" t="str">
        <f t="shared" si="163"/>
        <v>N.D.</v>
      </c>
      <c r="AM42" s="8">
        <f>(BDER!H467+BDER!H490+BDER!H557+BDER!H602)*TC_MES/1000</f>
        <v>0</v>
      </c>
      <c r="AN42" s="42" t="str">
        <f t="shared" si="164"/>
        <v>N.D.</v>
      </c>
      <c r="AO42" s="8">
        <f>AO110*TC_MES</f>
        <v>0</v>
      </c>
      <c r="AP42" s="42" t="str">
        <f t="shared" si="165"/>
        <v>N.D.</v>
      </c>
      <c r="AQ42" s="8">
        <f>(BDER!H291+BDER!H313+BDER!F335+BDER!H357+BDER!H379+BDER!H401)/1000</f>
        <v>0</v>
      </c>
      <c r="AR42" s="42" t="str">
        <f t="shared" si="166"/>
        <v>N.D.</v>
      </c>
      <c r="AS42" s="8">
        <f>(BDER!H423+BDER!H445)/1000</f>
        <v>0</v>
      </c>
      <c r="AT42" s="42" t="str">
        <f t="shared" si="167"/>
        <v>N.D.</v>
      </c>
      <c r="AU42" s="11">
        <f>+AQ42+AK42+AI42+AS42+AM42+AO42</f>
        <v>0</v>
      </c>
      <c r="AV42" s="42" t="str">
        <f t="shared" si="168"/>
        <v>N.D.</v>
      </c>
      <c r="AW42" s="25"/>
      <c r="AX42" s="7" t="s">
        <v>6</v>
      </c>
      <c r="AY42" s="11">
        <f>O42</f>
        <v>0</v>
      </c>
      <c r="AZ42" s="12" t="str">
        <f t="shared" ref="AZ42:AZ62" si="175">IF(AY$41=0,"N.D.",AY42/AY$41)</f>
        <v>N.D.</v>
      </c>
      <c r="BA42" s="11">
        <f t="shared" si="169"/>
        <v>0</v>
      </c>
      <c r="BB42" s="12" t="str">
        <f t="shared" si="170"/>
        <v>N.D.</v>
      </c>
      <c r="BC42" s="11">
        <f t="shared" si="171"/>
        <v>0</v>
      </c>
      <c r="BD42" s="12" t="str">
        <f t="shared" si="172"/>
        <v>N.D.</v>
      </c>
      <c r="BE42" s="11">
        <f>+AY42-BA42</f>
        <v>0</v>
      </c>
      <c r="BF42" s="13" t="str">
        <f>IF(BA42=0,"N.D.",AY42/BA42-1)</f>
        <v>N.D.</v>
      </c>
      <c r="BG42" s="11">
        <f>AY42-BC42</f>
        <v>0</v>
      </c>
      <c r="BH42" s="13" t="str">
        <f>IF(BC42=0, "N.D.",AY42/BC42-1)</f>
        <v>N.D.</v>
      </c>
    </row>
    <row r="43" spans="1:60" x14ac:dyDescent="0.35">
      <c r="B43" s="4" t="s">
        <v>7</v>
      </c>
      <c r="C43" s="20"/>
      <c r="D43" s="35" t="str">
        <f>IF(C$41=0,"N.D.",C43/C$41)</f>
        <v>N.D.</v>
      </c>
      <c r="E43" s="20">
        <f>+E41-E42</f>
        <v>0</v>
      </c>
      <c r="F43" s="35" t="str">
        <f>IF(E$41=0,"N.D.",E43/E$41)</f>
        <v>N.D.</v>
      </c>
      <c r="G43" s="20">
        <f>+G41-G42</f>
        <v>0</v>
      </c>
      <c r="H43" s="35" t="str">
        <f>IF(G$41=0,"N.D.",G43/G$41)</f>
        <v>N.D.</v>
      </c>
      <c r="I43" s="20">
        <f>+I41-I42</f>
        <v>0</v>
      </c>
      <c r="J43" s="35" t="str">
        <f>IF(I$41=0,"N.D.",I43/I$41)</f>
        <v>N.D.</v>
      </c>
      <c r="K43" s="20">
        <f>+K41-K42</f>
        <v>0</v>
      </c>
      <c r="L43" s="35" t="str">
        <f>IF(K$41=0,"N.D.",K43/K$41)</f>
        <v>N.D.</v>
      </c>
      <c r="M43" s="191">
        <f>+M41-M42</f>
        <v>0</v>
      </c>
      <c r="N43" s="35" t="str">
        <f>IF(M$41=0,"N.D.",M43/M$41)</f>
        <v>N.D.</v>
      </c>
      <c r="O43" s="192">
        <f>+O41-O42</f>
        <v>0</v>
      </c>
      <c r="P43" s="35" t="str">
        <f>IF(O$41=0,"N.D.",O43/O$41)</f>
        <v>N.D.</v>
      </c>
      <c r="R43" s="4" t="s">
        <v>7</v>
      </c>
      <c r="S43" s="14"/>
      <c r="T43" s="43" t="str">
        <f t="shared" si="173"/>
        <v>N.D.</v>
      </c>
      <c r="U43" s="14">
        <f>+U41-U42</f>
        <v>0</v>
      </c>
      <c r="V43" s="43" t="str">
        <f t="shared" si="157"/>
        <v>N.D.</v>
      </c>
      <c r="W43" s="14">
        <f>+W41-W42</f>
        <v>0</v>
      </c>
      <c r="X43" s="43" t="str">
        <f t="shared" si="158"/>
        <v>N.D.</v>
      </c>
      <c r="Y43" s="14">
        <f>+Y41-Y42</f>
        <v>0</v>
      </c>
      <c r="Z43" s="43" t="str">
        <f t="shared" si="159"/>
        <v>N.D.</v>
      </c>
      <c r="AA43" s="14">
        <f>+AA41-AA42</f>
        <v>0</v>
      </c>
      <c r="AB43" s="43" t="str">
        <f t="shared" si="160"/>
        <v>N.D.</v>
      </c>
      <c r="AC43" s="14">
        <f>+AC41-AC42</f>
        <v>0</v>
      </c>
      <c r="AD43" s="43" t="str">
        <f t="shared" si="161"/>
        <v>N.D.</v>
      </c>
      <c r="AE43" s="14">
        <f>+AA43+U43+S43+AC43+W43+Y43</f>
        <v>0</v>
      </c>
      <c r="AF43" s="43" t="str">
        <f t="shared" si="162"/>
        <v>N.D.</v>
      </c>
      <c r="AH43" s="4" t="s">
        <v>7</v>
      </c>
      <c r="AI43" s="14"/>
      <c r="AJ43" s="43" t="str">
        <f t="shared" si="174"/>
        <v>N.D.</v>
      </c>
      <c r="AK43" s="14">
        <f>+AK41-AK42</f>
        <v>0</v>
      </c>
      <c r="AL43" s="43" t="str">
        <f t="shared" si="163"/>
        <v>N.D.</v>
      </c>
      <c r="AM43" s="14">
        <f>+AM41-AM42</f>
        <v>0</v>
      </c>
      <c r="AN43" s="43" t="str">
        <f t="shared" si="164"/>
        <v>N.D.</v>
      </c>
      <c r="AO43" s="14">
        <f>+AO41-AO42</f>
        <v>0</v>
      </c>
      <c r="AP43" s="43" t="str">
        <f t="shared" si="165"/>
        <v>N.D.</v>
      </c>
      <c r="AQ43" s="14">
        <f>+AQ41-AQ42</f>
        <v>0</v>
      </c>
      <c r="AR43" s="43" t="str">
        <f t="shared" si="166"/>
        <v>N.D.</v>
      </c>
      <c r="AS43" s="14">
        <f>+AS41-AS42</f>
        <v>0</v>
      </c>
      <c r="AT43" s="43" t="str">
        <f t="shared" si="167"/>
        <v>N.D.</v>
      </c>
      <c r="AU43" s="14">
        <f>+AQ43+AK43+AI43+AS43+AM43+AO43</f>
        <v>0</v>
      </c>
      <c r="AV43" s="43" t="str">
        <f t="shared" si="168"/>
        <v>N.D.</v>
      </c>
      <c r="AW43" s="25"/>
      <c r="AX43" s="4" t="s">
        <v>7</v>
      </c>
      <c r="AY43" s="14">
        <f>O43</f>
        <v>0</v>
      </c>
      <c r="AZ43" s="15" t="str">
        <f t="shared" si="175"/>
        <v>N.D.</v>
      </c>
      <c r="BA43" s="14">
        <f t="shared" si="169"/>
        <v>0</v>
      </c>
      <c r="BB43" s="15" t="str">
        <f t="shared" si="170"/>
        <v>N.D.</v>
      </c>
      <c r="BC43" s="14">
        <f t="shared" si="171"/>
        <v>0</v>
      </c>
      <c r="BD43" s="15" t="str">
        <f t="shared" si="172"/>
        <v>N.D.</v>
      </c>
      <c r="BE43" s="14">
        <f>+AY43-BA43</f>
        <v>0</v>
      </c>
      <c r="BF43" s="16" t="str">
        <f>IF(BA43=0,"N.D.",AY43/BA43-1)</f>
        <v>N.D.</v>
      </c>
      <c r="BG43" s="14">
        <f>AY43-BC43</f>
        <v>0</v>
      </c>
      <c r="BH43" s="16" t="str">
        <f>IF(BC43=0, "N.D.",AY43/BC43-1)</f>
        <v>N.D.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4"/>
      <c r="D45" s="29" t="str">
        <f>IF(C$41=0,"N.D.",C45/C$41)</f>
        <v>N.D.</v>
      </c>
      <c r="E45" s="8">
        <f>TablasERxDiv!AA36</f>
        <v>0</v>
      </c>
      <c r="F45" s="29" t="str">
        <f>IF(E$41=0,"N.D.",E45/E$41)</f>
        <v>N.D.</v>
      </c>
      <c r="G45" s="195">
        <f>'mxn-dll'!N9</f>
        <v>0</v>
      </c>
      <c r="H45" s="29" t="str">
        <f>IF(G$41=0,"N.D.",G45/G$41)</f>
        <v>N.D.</v>
      </c>
      <c r="I45" s="195">
        <f>'mxn-dll'!AC9</f>
        <v>0</v>
      </c>
      <c r="J45" s="29" t="str">
        <f>IF(I$41=0,"N.D.",I45/I$41)</f>
        <v>N.D.</v>
      </c>
      <c r="K45" s="195">
        <f>TablasERxDiv!AT36</f>
        <v>0</v>
      </c>
      <c r="L45" s="29" t="str">
        <f>IF(K$41=0,"N.D.",K45/K$41)</f>
        <v>N.D.</v>
      </c>
      <c r="M45" s="195">
        <f>TablasERxDiv!BC36</f>
        <v>0</v>
      </c>
      <c r="N45" s="29" t="str">
        <f>IF(M$41=0,"N.D.",M45/M$41)</f>
        <v>N.D.</v>
      </c>
      <c r="O45" s="195">
        <f>K45+E45+C45+M45+G45+I45</f>
        <v>0</v>
      </c>
      <c r="P45" s="29" t="str">
        <f>IF(O$41=0,"N.D.",O45/O$41)</f>
        <v>N.D.</v>
      </c>
      <c r="R45" s="7" t="s">
        <v>8</v>
      </c>
      <c r="S45" s="8"/>
      <c r="T45" s="29" t="str">
        <f t="shared" ref="T45:T49" si="176">IF(S$41=0,"N.D.",S45/S$41)</f>
        <v>N.D.</v>
      </c>
      <c r="U45" s="8">
        <f>(BDER!L7+BDER!L29+BDER!L51+BDER!L73+BDER!L95+BDER!L117)/1000</f>
        <v>0</v>
      </c>
      <c r="V45" s="29" t="str">
        <f t="shared" ref="V45:V49" si="177">IF(U$41=0,"N.D.",U45/U$41)</f>
        <v>N.D.</v>
      </c>
      <c r="W45" s="8">
        <f>(BDER!L470+BDER!L493+BDER!L560+BDER!L605)*TC_MES/1000</f>
        <v>0</v>
      </c>
      <c r="X45" s="29" t="str">
        <f t="shared" ref="X45:X49" si="178">IF(W$41=0,"N.D.",W45/W$41)</f>
        <v>N.D.</v>
      </c>
      <c r="Y45" s="8">
        <f>Y113*TC_MES</f>
        <v>0</v>
      </c>
      <c r="Z45" s="29" t="str">
        <f t="shared" ref="Z45:Z49" si="179">IF(Y$41=0,"N.D.",Y45/Y$41)</f>
        <v>N.D.</v>
      </c>
      <c r="AA45" s="8">
        <f>(BDER!L293+BDER!L315+BDER!H337+BDER!L359+BDER!L381+BDER!L403)/1000</f>
        <v>0</v>
      </c>
      <c r="AB45" s="29" t="str">
        <f t="shared" ref="AB45:AB49" si="180">IF(AA$41=0,"N.D.",AA45/AA$41)</f>
        <v>N.D.</v>
      </c>
      <c r="AC45" s="8">
        <f>(BDER!L425+BDER!L447)/1000</f>
        <v>0</v>
      </c>
      <c r="AD45" s="29" t="str">
        <f t="shared" ref="AD45:AD49" si="181">IF(AC$41=0,"N.D.",AC45/AC$41)</f>
        <v>N.D.</v>
      </c>
      <c r="AE45" s="8">
        <f>+AA45+U45+S45+AC45+W45+Y45</f>
        <v>0</v>
      </c>
      <c r="AF45" s="29" t="str">
        <f t="shared" ref="AF45:AF49" si="182">IF(AE$41=0,"N.D.",AE45/AE$41)</f>
        <v>N.D.</v>
      </c>
      <c r="AH45" s="7" t="s">
        <v>8</v>
      </c>
      <c r="AI45" s="8"/>
      <c r="AJ45" s="29" t="str">
        <f t="shared" ref="AJ45:AJ49" si="183">IF(AI$41=0,"N.D.",AI45/AI$41)</f>
        <v>N.D.</v>
      </c>
      <c r="AK45" s="8">
        <f>(BDER!H7+BDER!H29+BDER!H51+BDER!H73+BDER!H95+BDER!H117)/1000</f>
        <v>0</v>
      </c>
      <c r="AL45" s="29" t="str">
        <f t="shared" ref="AL45:AL49" si="184">IF(AK$41=0,"N.D.",AK45/AK$41)</f>
        <v>N.D.</v>
      </c>
      <c r="AM45" s="8">
        <f>(BDER!H470+BDER!H493+BDER!H560+BDER!H605)*TC_MES/1000</f>
        <v>0</v>
      </c>
      <c r="AN45" s="29" t="str">
        <f t="shared" ref="AN45:AN49" si="185">IF(AM$41=0,"N.D.",AM45/AM$41)</f>
        <v>N.D.</v>
      </c>
      <c r="AO45" s="8">
        <f>AO113*TC_MES</f>
        <v>0</v>
      </c>
      <c r="AP45" s="29" t="str">
        <f t="shared" ref="AP45:AP49" si="186">IF(AO$41=0,"N.D.",AO45/AO$41)</f>
        <v>N.D.</v>
      </c>
      <c r="AQ45" s="8">
        <f>(BDER!H293+BDER!H315+BDER!F337+BDER!H359+BDER!H381+BDER!H403)/1000</f>
        <v>0</v>
      </c>
      <c r="AR45" s="29" t="str">
        <f t="shared" ref="AR45:AR49" si="187">IF(AQ$41=0,"N.D.",AQ45/AQ$41)</f>
        <v>N.D.</v>
      </c>
      <c r="AS45" s="8">
        <f>(BDER!H425+BDER!H447)/1000</f>
        <v>0</v>
      </c>
      <c r="AT45" s="29" t="str">
        <f t="shared" ref="AT45:AT49" si="188">IF(AS$41=0,"N.D.",AS45/AS$41)</f>
        <v>N.D.</v>
      </c>
      <c r="AU45" s="8">
        <f>+AQ45+AK45+AI45+AS45+AM45+AO45</f>
        <v>0</v>
      </c>
      <c r="AV45" s="29" t="str">
        <f t="shared" ref="AV45:AV49" si="189">IF(AU$41=0,"N.D.",AU45/AU$41)</f>
        <v>N.D.</v>
      </c>
      <c r="AW45" s="25"/>
      <c r="AX45" s="7" t="s">
        <v>8</v>
      </c>
      <c r="AY45" s="8">
        <f>O45</f>
        <v>0</v>
      </c>
      <c r="AZ45" s="9" t="str">
        <f t="shared" si="175"/>
        <v>N.D.</v>
      </c>
      <c r="BA45" s="8">
        <f t="shared" si="169"/>
        <v>0</v>
      </c>
      <c r="BB45" s="9" t="str">
        <f t="shared" si="170"/>
        <v>N.D.</v>
      </c>
      <c r="BC45" s="8">
        <f t="shared" si="171"/>
        <v>0</v>
      </c>
      <c r="BD45" s="9" t="str">
        <f t="shared" si="172"/>
        <v>N.D.</v>
      </c>
      <c r="BE45" s="8">
        <f>+AY45-BA45</f>
        <v>0</v>
      </c>
      <c r="BF45" s="10" t="str">
        <f t="shared" ref="BF45:BF49" si="190">IF(BA45=0,"N.D.",AY45/BA45-1)</f>
        <v>N.D.</v>
      </c>
      <c r="BG45" s="8">
        <f>AY45-BC45</f>
        <v>0</v>
      </c>
      <c r="BH45" s="10" t="str">
        <f>IF(BC45=0, "N.D.",AY45/BC45-1)</f>
        <v>N.D.</v>
      </c>
    </row>
    <row r="46" spans="1:60" x14ac:dyDescent="0.35">
      <c r="B46" s="7" t="s">
        <v>9</v>
      </c>
      <c r="C46" s="198"/>
      <c r="D46" s="42" t="str">
        <f t="shared" ref="D46:F47" si="191">IF(C$41=0,"N.D.",C46/C$41)</f>
        <v>N.D.</v>
      </c>
      <c r="E46" s="11">
        <f>TablasERxDiv!AA37-E52-E51</f>
        <v>0</v>
      </c>
      <c r="F46" s="42" t="str">
        <f t="shared" si="191"/>
        <v>N.D.</v>
      </c>
      <c r="G46" s="30">
        <f>'mxn-dll'!N10</f>
        <v>0</v>
      </c>
      <c r="H46" s="42" t="str">
        <f t="shared" ref="H46" si="192">IF(G$41=0,"N.D.",G46/G$41)</f>
        <v>N.D.</v>
      </c>
      <c r="I46" s="30">
        <f>'mxn-dll'!AC10</f>
        <v>0</v>
      </c>
      <c r="J46" s="42" t="str">
        <f t="shared" ref="J46" si="193">IF(I$41=0,"N.D.",I46/I$41)</f>
        <v>N.D.</v>
      </c>
      <c r="K46" s="30">
        <f>TablasERxDiv!AT37-K52-K51</f>
        <v>0</v>
      </c>
      <c r="L46" s="42" t="str">
        <f t="shared" ref="L46" si="194">IF(K$41=0,"N.D.",K46/K$41)</f>
        <v>N.D.</v>
      </c>
      <c r="M46" s="30">
        <f>TablasERxDiv!BC37-M52-M51</f>
        <v>0</v>
      </c>
      <c r="N46" s="42" t="str">
        <f t="shared" ref="N46" si="195">IF(M$41=0,"N.D.",M46/M$41)</f>
        <v>N.D.</v>
      </c>
      <c r="O46" s="30">
        <f>K46+E46+C46+M46+G46+I46</f>
        <v>0</v>
      </c>
      <c r="P46" s="42" t="str">
        <f t="shared" ref="P46" si="196">IF(O$41=0,"N.D.",O46/O$41)</f>
        <v>N.D.</v>
      </c>
      <c r="R46" s="7" t="s">
        <v>9</v>
      </c>
      <c r="S46" s="8"/>
      <c r="T46" s="42" t="str">
        <f t="shared" si="176"/>
        <v>N.D.</v>
      </c>
      <c r="U46" s="8">
        <f>(BDER!L8+BDER!L30+BDER!L52+BDER!L74+BDER!L96+BDER!L118)/1000</f>
        <v>0</v>
      </c>
      <c r="V46" s="42" t="str">
        <f t="shared" si="177"/>
        <v>N.D.</v>
      </c>
      <c r="W46" s="8">
        <f>(BDER!L471+BDER!L494+BDER!L561+BDER!L606)*TC_MES/1000</f>
        <v>0</v>
      </c>
      <c r="X46" s="42" t="str">
        <f t="shared" si="178"/>
        <v>N.D.</v>
      </c>
      <c r="Y46" s="8">
        <f>Y114*TC_MES</f>
        <v>0</v>
      </c>
      <c r="Z46" s="42" t="str">
        <f t="shared" si="179"/>
        <v>N.D.</v>
      </c>
      <c r="AA46" s="8">
        <f>(BDER!L294+BDER!L316+BDER!H338+BDER!L360+BDER!L382+BDER!L404)/1000</f>
        <v>0</v>
      </c>
      <c r="AB46" s="42" t="str">
        <f t="shared" si="180"/>
        <v>N.D.</v>
      </c>
      <c r="AC46" s="8">
        <f>(BDER!L426+BDER!L448)/1000</f>
        <v>0</v>
      </c>
      <c r="AD46" s="42" t="str">
        <f t="shared" si="181"/>
        <v>N.D.</v>
      </c>
      <c r="AE46" s="11">
        <f>+AA46+U46+S46+AC46+W46+Y46</f>
        <v>0</v>
      </c>
      <c r="AF46" s="42" t="str">
        <f t="shared" si="182"/>
        <v>N.D.</v>
      </c>
      <c r="AH46" s="7" t="s">
        <v>9</v>
      </c>
      <c r="AI46" s="8"/>
      <c r="AJ46" s="42" t="str">
        <f t="shared" si="183"/>
        <v>N.D.</v>
      </c>
      <c r="AK46" s="8">
        <f>(BDER!H8+BDER!H30+BDER!H52+BDER!H74+BDER!H96+BDER!H118)/1000</f>
        <v>0</v>
      </c>
      <c r="AL46" s="42" t="str">
        <f t="shared" si="184"/>
        <v>N.D.</v>
      </c>
      <c r="AM46" s="8">
        <f>(BDER!H471+BDER!H494+BDER!H561+BDER!H606)*TC_MES/1000</f>
        <v>0</v>
      </c>
      <c r="AN46" s="42" t="str">
        <f t="shared" si="185"/>
        <v>N.D.</v>
      </c>
      <c r="AO46" s="8">
        <f>AO114*TC_MES</f>
        <v>0</v>
      </c>
      <c r="AP46" s="42" t="str">
        <f t="shared" si="186"/>
        <v>N.D.</v>
      </c>
      <c r="AQ46" s="8">
        <f>(BDER!H294+BDER!H316+BDER!F338+BDER!H360+BDER!H382+BDER!H404)/1000</f>
        <v>0</v>
      </c>
      <c r="AR46" s="42" t="str">
        <f t="shared" si="187"/>
        <v>N.D.</v>
      </c>
      <c r="AS46" s="8">
        <f>(BDER!H426+BDER!H448)/1000</f>
        <v>0</v>
      </c>
      <c r="AT46" s="42" t="str">
        <f t="shared" si="188"/>
        <v>N.D.</v>
      </c>
      <c r="AU46" s="11">
        <f>+AQ46+AK46+AI46+AS46+AM46+AO46</f>
        <v>0</v>
      </c>
      <c r="AV46" s="42" t="str">
        <f t="shared" si="189"/>
        <v>N.D.</v>
      </c>
      <c r="AW46" s="25"/>
      <c r="AX46" s="7" t="s">
        <v>9</v>
      </c>
      <c r="AY46" s="11">
        <f>O46+O51+O52</f>
        <v>0</v>
      </c>
      <c r="AZ46" s="12" t="str">
        <f t="shared" si="175"/>
        <v>N.D.</v>
      </c>
      <c r="BA46" s="11">
        <f t="shared" si="169"/>
        <v>0</v>
      </c>
      <c r="BB46" s="12" t="str">
        <f t="shared" si="170"/>
        <v>N.D.</v>
      </c>
      <c r="BC46" s="11">
        <f t="shared" si="171"/>
        <v>0</v>
      </c>
      <c r="BD46" s="12" t="str">
        <f t="shared" si="172"/>
        <v>N.D.</v>
      </c>
      <c r="BE46" s="11">
        <f>+AY46-BA46</f>
        <v>0</v>
      </c>
      <c r="BF46" s="13" t="str">
        <f t="shared" si="190"/>
        <v>N.D.</v>
      </c>
      <c r="BG46" s="11">
        <f>AY46-BC46</f>
        <v>0</v>
      </c>
      <c r="BH46" s="13" t="str">
        <f>IF(BC46=0, "N.D.",AY46/BC46-1)</f>
        <v>N.D.</v>
      </c>
    </row>
    <row r="47" spans="1:60" x14ac:dyDescent="0.35">
      <c r="B47" s="7" t="s">
        <v>10</v>
      </c>
      <c r="C47" s="196"/>
      <c r="D47" s="193" t="str">
        <f t="shared" si="191"/>
        <v>N.D.</v>
      </c>
      <c r="E47" s="34">
        <f>TablasERxDiv!AA38</f>
        <v>0</v>
      </c>
      <c r="F47" s="193" t="str">
        <f t="shared" si="191"/>
        <v>N.D.</v>
      </c>
      <c r="G47" s="197">
        <f>'mxn-dll'!N11</f>
        <v>0</v>
      </c>
      <c r="H47" s="193" t="str">
        <f t="shared" ref="H47" si="197">IF(G$41=0,"N.D.",G47/G$41)</f>
        <v>N.D.</v>
      </c>
      <c r="I47" s="197">
        <f>'mxn-dll'!AC11</f>
        <v>0</v>
      </c>
      <c r="J47" s="193" t="str">
        <f t="shared" ref="J47" si="198">IF(I$41=0,"N.D.",I47/I$41)</f>
        <v>N.D.</v>
      </c>
      <c r="K47" s="197">
        <f>TablasERxDiv!AT38</f>
        <v>0</v>
      </c>
      <c r="L47" s="193" t="str">
        <f t="shared" ref="L47" si="199">IF(K$41=0,"N.D.",K47/K$41)</f>
        <v>N.D.</v>
      </c>
      <c r="M47" s="197">
        <f>TablasERxDiv!BC38</f>
        <v>0</v>
      </c>
      <c r="N47" s="193" t="str">
        <f t="shared" ref="N47" si="200">IF(M$41=0,"N.D.",M47/M$41)</f>
        <v>N.D.</v>
      </c>
      <c r="O47" s="197">
        <f>K47+E47+C47+M47+G47+I47</f>
        <v>0</v>
      </c>
      <c r="P47" s="193" t="str">
        <f t="shared" ref="P47" si="201">IF(O$41=0,"N.D.",O47/O$41)</f>
        <v>N.D.</v>
      </c>
      <c r="R47" s="7" t="s">
        <v>10</v>
      </c>
      <c r="S47" s="8"/>
      <c r="T47" s="42" t="str">
        <f t="shared" si="176"/>
        <v>N.D.</v>
      </c>
      <c r="U47" s="8">
        <f>(BDER!L9+BDER!L31+BDER!L53+BDER!L75+BDER!L97+BDER!L119)/1000</f>
        <v>0</v>
      </c>
      <c r="V47" s="42" t="str">
        <f t="shared" si="177"/>
        <v>N.D.</v>
      </c>
      <c r="W47" s="8">
        <f>(BDER!L472+BDER!L495+BDER!L562+BDER!L607)*TC_MES/1000</f>
        <v>0</v>
      </c>
      <c r="X47" s="42" t="str">
        <f t="shared" si="178"/>
        <v>N.D.</v>
      </c>
      <c r="Y47" s="8">
        <f>Y115*TC_MES</f>
        <v>0</v>
      </c>
      <c r="Z47" s="42" t="str">
        <f t="shared" si="179"/>
        <v>N.D.</v>
      </c>
      <c r="AA47" s="8">
        <f>(BDER!L295+BDER!L317+BDER!H339+BDER!L361+BDER!L383+BDER!L405)/1000</f>
        <v>0</v>
      </c>
      <c r="AB47" s="42" t="str">
        <f t="shared" si="180"/>
        <v>N.D.</v>
      </c>
      <c r="AC47" s="8">
        <f>(BDER!L427+BDER!L449)/1000</f>
        <v>0</v>
      </c>
      <c r="AD47" s="42" t="str">
        <f t="shared" si="181"/>
        <v>N.D.</v>
      </c>
      <c r="AE47" s="11">
        <f>+AA47+U47+S47+AC47+W47+Y47</f>
        <v>0</v>
      </c>
      <c r="AF47" s="42" t="str">
        <f t="shared" si="182"/>
        <v>N.D.</v>
      </c>
      <c r="AH47" s="7" t="s">
        <v>10</v>
      </c>
      <c r="AI47" s="8"/>
      <c r="AJ47" s="42" t="str">
        <f t="shared" si="183"/>
        <v>N.D.</v>
      </c>
      <c r="AK47" s="8">
        <f>(BDER!H9+BDER!H31+BDER!H53+BDER!H75+BDER!H97+BDER!H119)/1000</f>
        <v>0</v>
      </c>
      <c r="AL47" s="42" t="str">
        <f t="shared" si="184"/>
        <v>N.D.</v>
      </c>
      <c r="AM47" s="8">
        <f>(BDER!H472+BDER!H495+BDER!H562+BDER!H607)*TC_MES/1000</f>
        <v>0</v>
      </c>
      <c r="AN47" s="42" t="str">
        <f t="shared" si="185"/>
        <v>N.D.</v>
      </c>
      <c r="AO47" s="8">
        <f>AO115*TC_MES</f>
        <v>0</v>
      </c>
      <c r="AP47" s="42" t="str">
        <f t="shared" si="186"/>
        <v>N.D.</v>
      </c>
      <c r="AQ47" s="8">
        <f>(BDER!H295+BDER!H317+BDER!F339+BDER!H361+BDER!H383+BDER!H405)/1000</f>
        <v>0</v>
      </c>
      <c r="AR47" s="42" t="str">
        <f t="shared" si="187"/>
        <v>N.D.</v>
      </c>
      <c r="AS47" s="8">
        <f>(BDER!H427+BDER!H449)/1000</f>
        <v>0</v>
      </c>
      <c r="AT47" s="42" t="str">
        <f t="shared" si="188"/>
        <v>N.D.</v>
      </c>
      <c r="AU47" s="11">
        <f>+AQ47+AK47+AI47+AS47+AM47+AO47</f>
        <v>0</v>
      </c>
      <c r="AV47" s="42" t="str">
        <f t="shared" si="189"/>
        <v>N.D.</v>
      </c>
      <c r="AW47" s="25"/>
      <c r="AX47" s="7" t="s">
        <v>10</v>
      </c>
      <c r="AY47" s="11">
        <f>O47</f>
        <v>0</v>
      </c>
      <c r="AZ47" s="12" t="str">
        <f t="shared" si="175"/>
        <v>N.D.</v>
      </c>
      <c r="BA47" s="11">
        <f t="shared" si="169"/>
        <v>0</v>
      </c>
      <c r="BB47" s="12" t="str">
        <f t="shared" si="170"/>
        <v>N.D.</v>
      </c>
      <c r="BC47" s="11">
        <f t="shared" si="171"/>
        <v>0</v>
      </c>
      <c r="BD47" s="12" t="str">
        <f t="shared" si="172"/>
        <v>N.D.</v>
      </c>
      <c r="BE47" s="11">
        <f>+AY47-BA47</f>
        <v>0</v>
      </c>
      <c r="BF47" s="13" t="str">
        <f t="shared" si="190"/>
        <v>N.D.</v>
      </c>
      <c r="BG47" s="11">
        <f>AY47-BC47</f>
        <v>0</v>
      </c>
      <c r="BH47" s="13" t="str">
        <f>IF(BC47=0, "N.D.",AY47/BC47-1)</f>
        <v>N.D.</v>
      </c>
    </row>
    <row r="48" spans="1:60" x14ac:dyDescent="0.35">
      <c r="B48" s="4" t="s">
        <v>11</v>
      </c>
      <c r="C48" s="20"/>
      <c r="D48" s="35" t="str">
        <f>IF(C$41=0,"N.D.",C48/C$41)</f>
        <v>N.D.</v>
      </c>
      <c r="E48" s="20">
        <f>+E45+E47+E46</f>
        <v>0</v>
      </c>
      <c r="F48" s="35" t="str">
        <f>IF(E$41=0,"N.D.",E48/E$41)</f>
        <v>N.D.</v>
      </c>
      <c r="G48" s="20">
        <f>+G45+G47+G46</f>
        <v>0</v>
      </c>
      <c r="H48" s="35" t="str">
        <f>IF(G$41=0,"N.D.",G48/G$41)</f>
        <v>N.D.</v>
      </c>
      <c r="I48" s="20">
        <f>+I45+I47+I46</f>
        <v>0</v>
      </c>
      <c r="J48" s="35" t="str">
        <f>IF(I$41=0,"N.D.",I48/I$41)</f>
        <v>N.D.</v>
      </c>
      <c r="K48" s="20">
        <f>+K45+K47+K46</f>
        <v>0</v>
      </c>
      <c r="L48" s="35" t="str">
        <f>IF(K$41=0,"N.D.",K48/K$41)</f>
        <v>N.D.</v>
      </c>
      <c r="M48" s="20">
        <f>+M45+M47+M46</f>
        <v>0</v>
      </c>
      <c r="N48" s="35" t="str">
        <f>IF(M$41=0,"N.D.",M48/M$41)</f>
        <v>N.D.</v>
      </c>
      <c r="O48" s="20">
        <f>+O45+O47+O46</f>
        <v>0</v>
      </c>
      <c r="P48" s="35" t="str">
        <f>IF(O$41=0,"N.D.",O48/O$41)</f>
        <v>N.D.</v>
      </c>
      <c r="R48" s="4" t="s">
        <v>11</v>
      </c>
      <c r="S48" s="14"/>
      <c r="T48" s="43" t="str">
        <f t="shared" si="176"/>
        <v>N.D.</v>
      </c>
      <c r="U48" s="14">
        <f>+U47+U46+U45</f>
        <v>0</v>
      </c>
      <c r="V48" s="43" t="str">
        <f t="shared" si="177"/>
        <v>N.D.</v>
      </c>
      <c r="W48" s="14">
        <f>+W47+W46+W45</f>
        <v>0</v>
      </c>
      <c r="X48" s="43" t="str">
        <f t="shared" si="178"/>
        <v>N.D.</v>
      </c>
      <c r="Y48" s="14">
        <f>+Y47+Y46+Y45</f>
        <v>0</v>
      </c>
      <c r="Z48" s="43" t="str">
        <f t="shared" si="179"/>
        <v>N.D.</v>
      </c>
      <c r="AA48" s="14">
        <f>+AA47+AA46+AA45</f>
        <v>0</v>
      </c>
      <c r="AB48" s="43" t="str">
        <f t="shared" si="180"/>
        <v>N.D.</v>
      </c>
      <c r="AC48" s="14">
        <f>+AC47+AC46+AC45</f>
        <v>0</v>
      </c>
      <c r="AD48" s="43" t="str">
        <f t="shared" si="181"/>
        <v>N.D.</v>
      </c>
      <c r="AE48" s="14">
        <f>+AA48+U48+S48+AC48+W48+Y48</f>
        <v>0</v>
      </c>
      <c r="AF48" s="43" t="str">
        <f t="shared" si="182"/>
        <v>N.D.</v>
      </c>
      <c r="AH48" s="4" t="s">
        <v>11</v>
      </c>
      <c r="AI48" s="14"/>
      <c r="AJ48" s="43" t="str">
        <f t="shared" si="183"/>
        <v>N.D.</v>
      </c>
      <c r="AK48" s="14">
        <f>+AK47+AK46+AK45</f>
        <v>0</v>
      </c>
      <c r="AL48" s="43" t="str">
        <f t="shared" si="184"/>
        <v>N.D.</v>
      </c>
      <c r="AM48" s="14">
        <f>+AM47+AM46+AM45</f>
        <v>0</v>
      </c>
      <c r="AN48" s="43" t="str">
        <f t="shared" si="185"/>
        <v>N.D.</v>
      </c>
      <c r="AO48" s="14">
        <f>+AO47+AO46+AO45</f>
        <v>0</v>
      </c>
      <c r="AP48" s="43" t="str">
        <f t="shared" si="186"/>
        <v>N.D.</v>
      </c>
      <c r="AQ48" s="14">
        <f>+AQ47+AQ46+AQ45</f>
        <v>0</v>
      </c>
      <c r="AR48" s="43" t="str">
        <f t="shared" si="187"/>
        <v>N.D.</v>
      </c>
      <c r="AS48" s="14">
        <f>+AS47+AS46+AS45</f>
        <v>0</v>
      </c>
      <c r="AT48" s="43" t="str">
        <f t="shared" si="188"/>
        <v>N.D.</v>
      </c>
      <c r="AU48" s="14">
        <f>+AQ48+AK48+AI48+AS48+AM48+AO48</f>
        <v>0</v>
      </c>
      <c r="AV48" s="43" t="str">
        <f t="shared" si="189"/>
        <v>N.D.</v>
      </c>
      <c r="AW48" s="25"/>
      <c r="AX48" s="4" t="s">
        <v>11</v>
      </c>
      <c r="AY48" s="14">
        <f>O48</f>
        <v>0</v>
      </c>
      <c r="AZ48" s="15" t="str">
        <f t="shared" si="175"/>
        <v>N.D.</v>
      </c>
      <c r="BA48" s="14">
        <f t="shared" si="169"/>
        <v>0</v>
      </c>
      <c r="BB48" s="15" t="str">
        <f t="shared" si="170"/>
        <v>N.D.</v>
      </c>
      <c r="BC48" s="14">
        <f t="shared" si="171"/>
        <v>0</v>
      </c>
      <c r="BD48" s="15" t="str">
        <f t="shared" si="172"/>
        <v>N.D.</v>
      </c>
      <c r="BE48" s="14">
        <f>+AY48-BA48</f>
        <v>0</v>
      </c>
      <c r="BF48" s="16" t="str">
        <f t="shared" si="190"/>
        <v>N.D.</v>
      </c>
      <c r="BG48" s="14">
        <f>AY48-BC48</f>
        <v>0</v>
      </c>
      <c r="BH48" s="16" t="str">
        <f>IF(BC48=0, "N.D.",AY48/BC48-1)</f>
        <v>N.D.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76"/>
        <v>N.D.</v>
      </c>
      <c r="U49" s="20">
        <f>+U43-U48</f>
        <v>0</v>
      </c>
      <c r="V49" s="45" t="str">
        <f t="shared" si="177"/>
        <v>N.D.</v>
      </c>
      <c r="W49" s="20">
        <f>+W43-W48</f>
        <v>0</v>
      </c>
      <c r="X49" s="45" t="str">
        <f t="shared" si="178"/>
        <v>N.D.</v>
      </c>
      <c r="Y49" s="20">
        <f>+Y43-Y48</f>
        <v>0</v>
      </c>
      <c r="Z49" s="45" t="str">
        <f t="shared" si="179"/>
        <v>N.D.</v>
      </c>
      <c r="AA49" s="20">
        <f>+AA43-AA48</f>
        <v>0</v>
      </c>
      <c r="AB49" s="45" t="str">
        <f t="shared" si="180"/>
        <v>N.D.</v>
      </c>
      <c r="AC49" s="20">
        <f>+AC43-AC48</f>
        <v>0</v>
      </c>
      <c r="AD49" s="45" t="str">
        <f t="shared" si="181"/>
        <v>N.D.</v>
      </c>
      <c r="AE49" s="20">
        <f>+AA49+U49+S49+AC49+W49+Y49</f>
        <v>0</v>
      </c>
      <c r="AF49" s="45" t="str">
        <f t="shared" si="182"/>
        <v>N.D.</v>
      </c>
      <c r="AH49" s="4" t="s">
        <v>12</v>
      </c>
      <c r="AI49" s="20"/>
      <c r="AJ49" s="45" t="str">
        <f t="shared" si="183"/>
        <v>N.D.</v>
      </c>
      <c r="AK49" s="20">
        <f>+AK43-AK48</f>
        <v>0</v>
      </c>
      <c r="AL49" s="45" t="str">
        <f t="shared" si="184"/>
        <v>N.D.</v>
      </c>
      <c r="AM49" s="20">
        <f>+AM43-AM48</f>
        <v>0</v>
      </c>
      <c r="AN49" s="45" t="str">
        <f t="shared" si="185"/>
        <v>N.D.</v>
      </c>
      <c r="AO49" s="20">
        <f>+AO43-AO48</f>
        <v>0</v>
      </c>
      <c r="AP49" s="45" t="str">
        <f t="shared" si="186"/>
        <v>N.D.</v>
      </c>
      <c r="AQ49" s="20">
        <f>+AQ43-AQ48</f>
        <v>0</v>
      </c>
      <c r="AR49" s="45" t="str">
        <f t="shared" si="187"/>
        <v>N.D.</v>
      </c>
      <c r="AS49" s="20">
        <f>+AS43-AS48</f>
        <v>0</v>
      </c>
      <c r="AT49" s="45" t="str">
        <f t="shared" si="188"/>
        <v>N.D.</v>
      </c>
      <c r="AU49" s="20">
        <f>+AQ49+AK49+AI49+AS49+AM49+AO49</f>
        <v>0</v>
      </c>
      <c r="AV49" s="45" t="str">
        <f t="shared" si="189"/>
        <v>N.D.</v>
      </c>
      <c r="AW49" s="25"/>
      <c r="AX49" s="4" t="s">
        <v>12</v>
      </c>
      <c r="AY49" s="20">
        <f>O53</f>
        <v>0</v>
      </c>
      <c r="AZ49" s="15" t="str">
        <f t="shared" si="175"/>
        <v>N.D.</v>
      </c>
      <c r="BA49" s="20">
        <f t="shared" si="169"/>
        <v>0</v>
      </c>
      <c r="BB49" s="15" t="str">
        <f t="shared" si="170"/>
        <v>N.D.</v>
      </c>
      <c r="BC49" s="20">
        <f t="shared" si="171"/>
        <v>0</v>
      </c>
      <c r="BD49" s="15" t="str">
        <f t="shared" si="172"/>
        <v>N.D.</v>
      </c>
      <c r="BE49" s="14">
        <f>+AY49-BA49</f>
        <v>0</v>
      </c>
      <c r="BF49" s="16" t="str">
        <f t="shared" si="190"/>
        <v>N.D.</v>
      </c>
      <c r="BG49" s="14">
        <f>AY49-BC49</f>
        <v>0</v>
      </c>
      <c r="BH49" s="16" t="str">
        <f>IF(BC49=0, "N.D.",AY49/BC49-1)</f>
        <v>N.D.</v>
      </c>
    </row>
    <row r="50" spans="2:60" x14ac:dyDescent="0.35">
      <c r="B50" s="4" t="s">
        <v>32</v>
      </c>
      <c r="C50" s="20"/>
      <c r="D50" s="22" t="str">
        <f>IF(C$41=0,"N.D.",C50/C$41)</f>
        <v>N.D.</v>
      </c>
      <c r="E50" s="20">
        <f>+E43-E48</f>
        <v>0</v>
      </c>
      <c r="F50" s="22" t="str">
        <f t="shared" ref="F50:F53" si="202">IF(E$41=0,"N.D.",E50/E$41)</f>
        <v>N.D.</v>
      </c>
      <c r="G50" s="20">
        <f>+G43-G48</f>
        <v>0</v>
      </c>
      <c r="H50" s="22" t="str">
        <f t="shared" ref="H50:H53" si="203">IF(G$41=0,"N.D.",G50/G$41)</f>
        <v>N.D.</v>
      </c>
      <c r="I50" s="20">
        <f>+I43-I48</f>
        <v>0</v>
      </c>
      <c r="J50" s="22" t="str">
        <f t="shared" ref="J50:J53" si="204">IF(I$41=0,"N.D.",I50/I$41)</f>
        <v>N.D.</v>
      </c>
      <c r="K50" s="20">
        <f>+K43-K48</f>
        <v>0</v>
      </c>
      <c r="L50" s="22" t="str">
        <f t="shared" ref="L50:L53" si="205">IF(K$41=0,"N.D.",K50/K$41)</f>
        <v>N.D.</v>
      </c>
      <c r="M50" s="20">
        <f>+M43-M48</f>
        <v>0</v>
      </c>
      <c r="N50" s="22" t="str">
        <f t="shared" ref="N50:N53" si="206">IF(M$41=0,"N.D.",M50/M$41)</f>
        <v>N.D.</v>
      </c>
      <c r="O50" s="20">
        <f>+O43-O48</f>
        <v>0</v>
      </c>
      <c r="P50" s="22" t="str">
        <f t="shared" ref="P50:P53" si="207">IF(O$41=0,"N.D.",O50/O$41)</f>
        <v>N.D.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/>
      <c r="D51" s="33" t="str">
        <f t="shared" ref="D51:D53" si="208">IF(C$41=0,"N.D.",C51/C$41)</f>
        <v>N.D.</v>
      </c>
      <c r="E51" s="8">
        <f>division!B12</f>
        <v>0</v>
      </c>
      <c r="F51" s="33" t="str">
        <f t="shared" si="202"/>
        <v>N.D.</v>
      </c>
      <c r="G51" s="8">
        <f>'mxn-dll'!N15</f>
        <v>0</v>
      </c>
      <c r="H51" s="33" t="str">
        <f t="shared" si="203"/>
        <v>N.D.</v>
      </c>
      <c r="I51" s="8">
        <f>'mxn-dll'!AC15</f>
        <v>0</v>
      </c>
      <c r="J51" s="33" t="str">
        <f t="shared" si="204"/>
        <v>N.D.</v>
      </c>
      <c r="K51" s="8">
        <f>division!E12</f>
        <v>0</v>
      </c>
      <c r="L51" s="33" t="str">
        <f t="shared" si="205"/>
        <v>N.D.</v>
      </c>
      <c r="M51" s="8">
        <f>division!F12</f>
        <v>0</v>
      </c>
      <c r="N51" s="33" t="str">
        <f t="shared" si="206"/>
        <v>N.D.</v>
      </c>
      <c r="O51" s="8">
        <f>+K51+E51+C51+M51+G51+I51</f>
        <v>0</v>
      </c>
      <c r="P51" s="33" t="str">
        <f t="shared" si="207"/>
        <v>N.D.</v>
      </c>
      <c r="R51" s="7" t="s">
        <v>13</v>
      </c>
      <c r="S51" s="8"/>
      <c r="T51" s="29" t="str">
        <f t="shared" ref="T51:T57" si="209">IF(S$41=0,"N.D.",S51/S$41)</f>
        <v>N.D.</v>
      </c>
      <c r="U51" s="8">
        <f>(BDER!L12+BDER!L34+BDER!L56+BDER!L78+BDER!L100+BDER!L122)/1000</f>
        <v>0</v>
      </c>
      <c r="V51" s="29" t="str">
        <f t="shared" ref="V51:V57" si="210">IF(U$41=0,"N.D.",U51/U$41)</f>
        <v>N.D.</v>
      </c>
      <c r="W51" s="8">
        <f>(BDER!L475+BDER!L498+BDER!L565+BDER!L610)*TC_MES/1000</f>
        <v>0</v>
      </c>
      <c r="X51" s="29" t="str">
        <f t="shared" ref="X51:X57" si="211">IF(W$41=0,"N.D.",W51/W$41)</f>
        <v>N.D.</v>
      </c>
      <c r="Y51" s="8">
        <f>Y119*TC_MES</f>
        <v>0</v>
      </c>
      <c r="Z51" s="29" t="str">
        <f t="shared" ref="Z51:Z57" si="212">IF(Y$41=0,"N.D.",Y51/Y$41)</f>
        <v>N.D.</v>
      </c>
      <c r="AA51" s="8">
        <f>(BDER!L298+BDER!L320+BDER!H342+BDER!L364+BDER!L386+BDER!L408)/1000</f>
        <v>0</v>
      </c>
      <c r="AB51" s="29" t="str">
        <f t="shared" ref="AB51:AB57" si="213">IF(AA$41=0,"N.D.",AA51/AA$41)</f>
        <v>N.D.</v>
      </c>
      <c r="AC51" s="8">
        <f>(BDER!L430+BDER!L452)/1000</f>
        <v>0</v>
      </c>
      <c r="AD51" s="29" t="str">
        <f t="shared" ref="AD51:AD57" si="214">IF(AC$41=0,"N.D.",AC51/AC$41)</f>
        <v>N.D.</v>
      </c>
      <c r="AE51" s="8">
        <f>+AA51+U51+S51+AC51+W51+Y51</f>
        <v>0</v>
      </c>
      <c r="AF51" s="29" t="str">
        <f>IF(AE$41=0,"N.D.",AE51/AE$41)</f>
        <v>N.D.</v>
      </c>
      <c r="AH51" s="7" t="s">
        <v>13</v>
      </c>
      <c r="AI51" s="8"/>
      <c r="AJ51" s="29" t="str">
        <f t="shared" ref="AJ51:AJ57" si="215">IF(AI$41=0,"N.D.",AI51/AI$41)</f>
        <v>N.D.</v>
      </c>
      <c r="AK51" s="8">
        <f>(BDER!H12+BDER!H34+BDER!H56+BDER!H78+BDER!H100+BDER!H122)/1000</f>
        <v>0</v>
      </c>
      <c r="AL51" s="29" t="str">
        <f t="shared" ref="AL51:AL57" si="216">IF(AK$41=0,"N.D.",AK51/AK$41)</f>
        <v>N.D.</v>
      </c>
      <c r="AM51" s="8">
        <f>(BDER!H475+BDER!H498+BDER!H565+BDER!H610)*TC_MES/1000</f>
        <v>0</v>
      </c>
      <c r="AN51" s="29" t="str">
        <f t="shared" ref="AN51:AN57" si="217">IF(AM$41=0,"N.D.",AM51/AM$41)</f>
        <v>N.D.</v>
      </c>
      <c r="AO51" s="8">
        <f>AO119*TC_MES</f>
        <v>0</v>
      </c>
      <c r="AP51" s="29" t="str">
        <f t="shared" ref="AP51:AP57" si="218">IF(AO$41=0,"N.D.",AO51/AO$41)</f>
        <v>N.D.</v>
      </c>
      <c r="AQ51" s="8">
        <f>(BDER!H298+BDER!H320+BDER!F342+BDER!H364+BDER!H386+BDER!H408)/1000</f>
        <v>0</v>
      </c>
      <c r="AR51" s="29" t="str">
        <f t="shared" ref="AR51:AR57" si="219">IF(AQ$41=0,"N.D.",AQ51/AQ$41)</f>
        <v>N.D.</v>
      </c>
      <c r="AS51" s="8">
        <f>(BDER!H430+BDER!H452)/1000</f>
        <v>0</v>
      </c>
      <c r="AT51" s="29" t="str">
        <f t="shared" ref="AT51:AT57" si="220">IF(AS$41=0,"N.D.",AS51/AS$41)</f>
        <v>N.D.</v>
      </c>
      <c r="AU51" s="8">
        <f>+AQ51+AK51+AI51+AS51+AM51+AO51</f>
        <v>0</v>
      </c>
      <c r="AV51" s="29" t="str">
        <f t="shared" ref="AV51:AV57" si="221">IF(AU$41=0,"N.D.",AU51/AU$41)</f>
        <v>N.D.</v>
      </c>
      <c r="AW51" s="25"/>
      <c r="AX51" s="7" t="s">
        <v>13</v>
      </c>
      <c r="AY51" s="8">
        <f t="shared" ref="AY51:AY57" si="222">O55</f>
        <v>0</v>
      </c>
      <c r="AZ51" s="9" t="str">
        <f t="shared" si="175"/>
        <v>N.D.</v>
      </c>
      <c r="BA51" s="8">
        <f t="shared" si="169"/>
        <v>0</v>
      </c>
      <c r="BB51" s="9" t="str">
        <f t="shared" si="170"/>
        <v>N.D.</v>
      </c>
      <c r="BC51" s="8">
        <f t="shared" si="171"/>
        <v>0</v>
      </c>
      <c r="BD51" s="9" t="str">
        <f t="shared" si="172"/>
        <v>N.D.</v>
      </c>
      <c r="BE51" s="8">
        <f t="shared" ref="BE51:BE57" si="223">+AY51-BA51</f>
        <v>0</v>
      </c>
      <c r="BF51" s="10" t="str">
        <f t="shared" ref="BF51:BF57" si="224">IF(BA51=0,"N.D.",AY51/BA51-1)</f>
        <v>N.D.</v>
      </c>
      <c r="BG51" s="8">
        <f t="shared" ref="BG51:BG57" si="225">AY51-BC51</f>
        <v>0</v>
      </c>
      <c r="BH51" s="10" t="str">
        <f t="shared" ref="BH51:BH57" si="226">IF(BC51=0, "N.D.",AY51/BC51-1)</f>
        <v>N.D.</v>
      </c>
    </row>
    <row r="52" spans="2:60" x14ac:dyDescent="0.35">
      <c r="B52" s="7" t="s">
        <v>34</v>
      </c>
      <c r="C52" s="34"/>
      <c r="D52" s="35" t="str">
        <f t="shared" si="208"/>
        <v>N.D.</v>
      </c>
      <c r="E52" s="34">
        <f>division!B13</f>
        <v>0</v>
      </c>
      <c r="F52" s="35" t="str">
        <f t="shared" si="202"/>
        <v>N.D.</v>
      </c>
      <c r="G52" s="34">
        <f>'mxn-dll'!N16</f>
        <v>0</v>
      </c>
      <c r="H52" s="35" t="str">
        <f t="shared" si="203"/>
        <v>N.D.</v>
      </c>
      <c r="I52" s="34">
        <f>'mxn-dll'!AC16</f>
        <v>0</v>
      </c>
      <c r="J52" s="35" t="str">
        <f t="shared" si="204"/>
        <v>N.D.</v>
      </c>
      <c r="K52" s="34">
        <f>division!E13</f>
        <v>0</v>
      </c>
      <c r="L52" s="35" t="str">
        <f t="shared" si="205"/>
        <v>N.D.</v>
      </c>
      <c r="M52" s="34">
        <f>division!F13</f>
        <v>0</v>
      </c>
      <c r="N52" s="35" t="str">
        <f t="shared" si="206"/>
        <v>N.D.</v>
      </c>
      <c r="O52" s="34">
        <f>+K52+E52+C52+M52+G52+I52</f>
        <v>0</v>
      </c>
      <c r="P52" s="35" t="str">
        <f t="shared" si="207"/>
        <v>N.D.</v>
      </c>
      <c r="R52" s="7" t="s">
        <v>14</v>
      </c>
      <c r="S52" s="8"/>
      <c r="T52" s="42" t="str">
        <f t="shared" si="209"/>
        <v>N.D.</v>
      </c>
      <c r="U52" s="8">
        <f>(BDER!L13+BDER!L35+BDER!L57+BDER!L79+BDER!L101+BDER!L123)/1000</f>
        <v>0</v>
      </c>
      <c r="V52" s="42" t="str">
        <f t="shared" si="210"/>
        <v>N.D.</v>
      </c>
      <c r="W52" s="8">
        <f>(BDER!L476+BDER!L499+BDER!L566+BDER!L611)*TC_MES/1000</f>
        <v>0</v>
      </c>
      <c r="X52" s="42" t="str">
        <f t="shared" si="211"/>
        <v>N.D.</v>
      </c>
      <c r="Y52" s="8">
        <f>Y120*TC_MES</f>
        <v>0</v>
      </c>
      <c r="Z52" s="42" t="str">
        <f t="shared" si="212"/>
        <v>N.D.</v>
      </c>
      <c r="AA52" s="8">
        <f>(BDER!L299+BDER!L321+BDER!H343+BDER!L365+BDER!L387+BDER!L409)/1000</f>
        <v>0</v>
      </c>
      <c r="AB52" s="42" t="str">
        <f t="shared" si="213"/>
        <v>N.D.</v>
      </c>
      <c r="AC52" s="8">
        <f>(BDER!L431+BDER!L453)/1000</f>
        <v>0</v>
      </c>
      <c r="AD52" s="42" t="str">
        <f t="shared" si="214"/>
        <v>N.D.</v>
      </c>
      <c r="AE52" s="11">
        <f>+AA52+U52+S52+AC52+W52+Y52</f>
        <v>0</v>
      </c>
      <c r="AF52" s="42" t="str">
        <f>IF(AE$41=0,"N.D.",AE52/AE$41)</f>
        <v>N.D.</v>
      </c>
      <c r="AH52" s="7" t="s">
        <v>14</v>
      </c>
      <c r="AI52" s="8"/>
      <c r="AJ52" s="42" t="str">
        <f t="shared" si="215"/>
        <v>N.D.</v>
      </c>
      <c r="AK52" s="8">
        <f>(BDER!H13+BDER!H35+BDER!H57+BDER!H79+BDER!H101+BDER!H123)/1000</f>
        <v>0</v>
      </c>
      <c r="AL52" s="42" t="str">
        <f t="shared" si="216"/>
        <v>N.D.</v>
      </c>
      <c r="AM52" s="8">
        <f>(BDER!H476+BDER!H499+BDER!H566+BDER!H611)*TC_MES/1000</f>
        <v>0</v>
      </c>
      <c r="AN52" s="42" t="str">
        <f t="shared" si="217"/>
        <v>N.D.</v>
      </c>
      <c r="AO52" s="8">
        <f>AO120*TC_MES</f>
        <v>0</v>
      </c>
      <c r="AP52" s="42" t="str">
        <f t="shared" si="218"/>
        <v>N.D.</v>
      </c>
      <c r="AQ52" s="8">
        <f>(BDER!H299+BDER!H321+BDER!F343+BDER!H365+BDER!H387+BDER!H409)/1000</f>
        <v>0</v>
      </c>
      <c r="AR52" s="42" t="str">
        <f t="shared" si="219"/>
        <v>N.D.</v>
      </c>
      <c r="AS52" s="8">
        <f>(BDER!H431+BDER!H453)/1000</f>
        <v>0</v>
      </c>
      <c r="AT52" s="42" t="str">
        <f t="shared" si="220"/>
        <v>N.D.</v>
      </c>
      <c r="AU52" s="11">
        <f>+AQ52+AK52+AI52+AS52+AM52+AO52</f>
        <v>0</v>
      </c>
      <c r="AV52" s="42" t="str">
        <f t="shared" si="221"/>
        <v>N.D.</v>
      </c>
      <c r="AW52" s="25"/>
      <c r="AX52" s="7" t="s">
        <v>14</v>
      </c>
      <c r="AY52" s="11">
        <f t="shared" si="222"/>
        <v>0</v>
      </c>
      <c r="AZ52" s="12" t="str">
        <f t="shared" si="175"/>
        <v>N.D.</v>
      </c>
      <c r="BA52" s="11">
        <f t="shared" si="169"/>
        <v>0</v>
      </c>
      <c r="BB52" s="12" t="str">
        <f t="shared" si="170"/>
        <v>N.D.</v>
      </c>
      <c r="BC52" s="11">
        <f t="shared" si="171"/>
        <v>0</v>
      </c>
      <c r="BD52" s="12" t="str">
        <f t="shared" si="172"/>
        <v>N.D.</v>
      </c>
      <c r="BE52" s="11">
        <f t="shared" si="223"/>
        <v>0</v>
      </c>
      <c r="BF52" s="13" t="str">
        <f t="shared" si="224"/>
        <v>N.D.</v>
      </c>
      <c r="BG52" s="11">
        <f t="shared" si="225"/>
        <v>0</v>
      </c>
      <c r="BH52" s="13" t="str">
        <f t="shared" si="226"/>
        <v>N.D.</v>
      </c>
    </row>
    <row r="53" spans="2:60" x14ac:dyDescent="0.35">
      <c r="B53" s="4" t="s">
        <v>12</v>
      </c>
      <c r="C53" s="14"/>
      <c r="D53" s="22" t="str">
        <f t="shared" si="208"/>
        <v>N.D.</v>
      </c>
      <c r="E53" s="14">
        <f>+E50-E51-E52</f>
        <v>0</v>
      </c>
      <c r="F53" s="22" t="str">
        <f t="shared" si="202"/>
        <v>N.D.</v>
      </c>
      <c r="G53" s="14">
        <f>+G50-G51-G52</f>
        <v>0</v>
      </c>
      <c r="H53" s="22" t="str">
        <f t="shared" si="203"/>
        <v>N.D.</v>
      </c>
      <c r="I53" s="14">
        <f>+I50-I51-I52</f>
        <v>0</v>
      </c>
      <c r="J53" s="22" t="str">
        <f t="shared" si="204"/>
        <v>N.D.</v>
      </c>
      <c r="K53" s="14">
        <f>+K50-K51-K52</f>
        <v>0</v>
      </c>
      <c r="L53" s="22" t="str">
        <f t="shared" si="205"/>
        <v>N.D.</v>
      </c>
      <c r="M53" s="14">
        <f>+M50-M51-M52</f>
        <v>0</v>
      </c>
      <c r="N53" s="22" t="str">
        <f t="shared" si="206"/>
        <v>N.D.</v>
      </c>
      <c r="O53" s="14">
        <f>+O50-O51-O52</f>
        <v>0</v>
      </c>
      <c r="P53" s="22" t="str">
        <f t="shared" si="207"/>
        <v>N.D.</v>
      </c>
      <c r="R53" s="7" t="s">
        <v>15</v>
      </c>
      <c r="S53" s="8"/>
      <c r="T53" s="42" t="str">
        <f t="shared" si="209"/>
        <v>N.D.</v>
      </c>
      <c r="U53" s="8">
        <f>(BDER!L14+BDER!L36+BDER!L58+BDER!L80+BDER!L102+BDER!L124)/1000</f>
        <v>0</v>
      </c>
      <c r="V53" s="42" t="str">
        <f t="shared" si="210"/>
        <v>N.D.</v>
      </c>
      <c r="W53" s="8">
        <f>(BDER!L477+BDER!L500+BDER!L567+BDER!L612)*TC_MES/1000</f>
        <v>0</v>
      </c>
      <c r="X53" s="42" t="str">
        <f t="shared" si="211"/>
        <v>N.D.</v>
      </c>
      <c r="Y53" s="8">
        <f>Y121*TC_MES</f>
        <v>0</v>
      </c>
      <c r="Z53" s="42" t="str">
        <f t="shared" si="212"/>
        <v>N.D.</v>
      </c>
      <c r="AA53" s="8">
        <f>(BDER!L300+BDER!L322+BDER!H344+BDER!L366+BDER!L388+BDER!L410)/1000</f>
        <v>0</v>
      </c>
      <c r="AB53" s="42" t="str">
        <f t="shared" si="213"/>
        <v>N.D.</v>
      </c>
      <c r="AC53" s="8">
        <f>(BDER!L432+BDER!L454)/1000</f>
        <v>0</v>
      </c>
      <c r="AD53" s="42" t="str">
        <f t="shared" si="214"/>
        <v>N.D.</v>
      </c>
      <c r="AE53" s="11">
        <f>+AA53+U53+S53+AC53+W53+Y53</f>
        <v>0</v>
      </c>
      <c r="AF53" s="42" t="str">
        <f t="shared" ref="AF53:AF57" si="227">IF(AE$41=0,"N.D.",AE53/AE$41)</f>
        <v>N.D.</v>
      </c>
      <c r="AH53" s="7" t="s">
        <v>15</v>
      </c>
      <c r="AI53" s="8"/>
      <c r="AJ53" s="42" t="str">
        <f t="shared" si="215"/>
        <v>N.D.</v>
      </c>
      <c r="AK53" s="8">
        <f>(BDER!H14+BDER!H36+BDER!H58+BDER!H80+BDER!H102+BDER!H124)/1000</f>
        <v>0</v>
      </c>
      <c r="AL53" s="42" t="str">
        <f t="shared" si="216"/>
        <v>N.D.</v>
      </c>
      <c r="AM53" s="8">
        <f>(BDER!H477+BDER!H500+BDER!H567+BDER!H612)*TC_MES/1000</f>
        <v>0</v>
      </c>
      <c r="AN53" s="42" t="str">
        <f t="shared" si="217"/>
        <v>N.D.</v>
      </c>
      <c r="AO53" s="8">
        <f>AO121*TC_MES</f>
        <v>0</v>
      </c>
      <c r="AP53" s="42" t="str">
        <f t="shared" si="218"/>
        <v>N.D.</v>
      </c>
      <c r="AQ53" s="8">
        <f>(BDER!H300+BDER!H322+BDER!F344+BDER!H366+BDER!H388+BDER!H410)/1000</f>
        <v>0</v>
      </c>
      <c r="AR53" s="42" t="str">
        <f t="shared" si="219"/>
        <v>N.D.</v>
      </c>
      <c r="AS53" s="8">
        <f>(BDER!H432+BDER!H454)/1000</f>
        <v>0</v>
      </c>
      <c r="AT53" s="42" t="str">
        <f t="shared" si="220"/>
        <v>N.D.</v>
      </c>
      <c r="AU53" s="11">
        <f>+AQ53+AK53+AI53+AS53+AM53+AO53</f>
        <v>0</v>
      </c>
      <c r="AV53" s="42" t="str">
        <f t="shared" si="221"/>
        <v>N.D.</v>
      </c>
      <c r="AW53" s="25"/>
      <c r="AX53" s="7" t="s">
        <v>15</v>
      </c>
      <c r="AY53" s="11">
        <f t="shared" si="222"/>
        <v>1</v>
      </c>
      <c r="AZ53" s="12" t="str">
        <f t="shared" si="175"/>
        <v>N.D.</v>
      </c>
      <c r="BA53" s="11">
        <f t="shared" si="169"/>
        <v>0</v>
      </c>
      <c r="BB53" s="12" t="str">
        <f t="shared" si="170"/>
        <v>N.D.</v>
      </c>
      <c r="BC53" s="11">
        <f t="shared" si="171"/>
        <v>0</v>
      </c>
      <c r="BD53" s="12" t="str">
        <f t="shared" si="172"/>
        <v>N.D.</v>
      </c>
      <c r="BE53" s="11">
        <f t="shared" si="223"/>
        <v>1</v>
      </c>
      <c r="BF53" s="13" t="str">
        <f t="shared" si="224"/>
        <v>N.D.</v>
      </c>
      <c r="BG53" s="11">
        <f t="shared" si="225"/>
        <v>1</v>
      </c>
      <c r="BH53" s="13" t="str">
        <f t="shared" si="226"/>
        <v>N.D.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209"/>
        <v>N.D.</v>
      </c>
      <c r="U54" s="8">
        <f>(BDER!L15+BDER!L37+BDER!L59+BDER!L81+BDER!L103+BDER!L125)/1000</f>
        <v>0</v>
      </c>
      <c r="V54" s="42" t="str">
        <f t="shared" si="210"/>
        <v>N.D.</v>
      </c>
      <c r="W54" s="8">
        <f>(BDER!L478+BDER!L501+BDER!L568+BDER!L613)*TC_MES/1000</f>
        <v>0</v>
      </c>
      <c r="X54" s="42" t="str">
        <f t="shared" si="211"/>
        <v>N.D.</v>
      </c>
      <c r="Y54" s="8">
        <f>Y122*TC_MES</f>
        <v>0</v>
      </c>
      <c r="Z54" s="42" t="str">
        <f t="shared" si="212"/>
        <v>N.D.</v>
      </c>
      <c r="AA54" s="8">
        <f>(BDER!L301+BDER!L323+BDER!H345+BDER!L367+BDER!L389+BDER!L411)/1000</f>
        <v>0</v>
      </c>
      <c r="AB54" s="42" t="str">
        <f t="shared" si="213"/>
        <v>N.D.</v>
      </c>
      <c r="AC54" s="8">
        <f>(BDER!L433+BDER!L455)/1000</f>
        <v>0</v>
      </c>
      <c r="AD54" s="42" t="str">
        <f t="shared" si="214"/>
        <v>N.D.</v>
      </c>
      <c r="AE54" s="11">
        <f>+AA54+U54+S54+AC54+W54+Y54</f>
        <v>0</v>
      </c>
      <c r="AF54" s="42" t="str">
        <f t="shared" si="227"/>
        <v>N.D.</v>
      </c>
      <c r="AH54" s="7" t="s">
        <v>16</v>
      </c>
      <c r="AI54" s="8"/>
      <c r="AJ54" s="42" t="str">
        <f t="shared" si="215"/>
        <v>N.D.</v>
      </c>
      <c r="AK54" s="8">
        <f>(BDER!H15+BDER!H37+BDER!H59+BDER!H81+BDER!H103+BDER!H125)/1000</f>
        <v>0</v>
      </c>
      <c r="AL54" s="42" t="str">
        <f t="shared" si="216"/>
        <v>N.D.</v>
      </c>
      <c r="AM54" s="8">
        <f>(BDER!H478+BDER!H501+BDER!H568+BDER!H613)*TC_MES/1000</f>
        <v>0</v>
      </c>
      <c r="AN54" s="42" t="str">
        <f t="shared" si="217"/>
        <v>N.D.</v>
      </c>
      <c r="AO54" s="8">
        <f>AO122*TC_MES</f>
        <v>0</v>
      </c>
      <c r="AP54" s="42" t="str">
        <f t="shared" si="218"/>
        <v>N.D.</v>
      </c>
      <c r="AQ54" s="8">
        <f>(BDER!H301+BDER!H323+BDER!F345+BDER!H367+BDER!H389+BDER!H411)/1000</f>
        <v>0</v>
      </c>
      <c r="AR54" s="42" t="str">
        <f t="shared" si="219"/>
        <v>N.D.</v>
      </c>
      <c r="AS54" s="8">
        <f>(BDER!H433+BDER!H455)/1000</f>
        <v>0</v>
      </c>
      <c r="AT54" s="42" t="str">
        <f t="shared" si="220"/>
        <v>N.D.</v>
      </c>
      <c r="AU54" s="11">
        <f>+AQ54+AK54+AI54+AS54+AM54+AO54</f>
        <v>0</v>
      </c>
      <c r="AV54" s="42" t="str">
        <f t="shared" si="221"/>
        <v>N.D.</v>
      </c>
      <c r="AW54" s="25"/>
      <c r="AX54" s="7" t="s">
        <v>16</v>
      </c>
      <c r="AY54" s="11">
        <f t="shared" si="222"/>
        <v>0</v>
      </c>
      <c r="AZ54" s="12" t="str">
        <f t="shared" si="175"/>
        <v>N.D.</v>
      </c>
      <c r="BA54" s="11">
        <f t="shared" si="169"/>
        <v>0</v>
      </c>
      <c r="BB54" s="12" t="str">
        <f t="shared" si="170"/>
        <v>N.D.</v>
      </c>
      <c r="BC54" s="11">
        <f t="shared" si="171"/>
        <v>0</v>
      </c>
      <c r="BD54" s="12" t="str">
        <f t="shared" si="172"/>
        <v>N.D.</v>
      </c>
      <c r="BE54" s="11">
        <f t="shared" si="223"/>
        <v>0</v>
      </c>
      <c r="BF54" s="13" t="str">
        <f t="shared" si="224"/>
        <v>N.D.</v>
      </c>
      <c r="BG54" s="11">
        <f t="shared" si="225"/>
        <v>0</v>
      </c>
      <c r="BH54" s="13" t="str">
        <f t="shared" si="226"/>
        <v>N.D.</v>
      </c>
    </row>
    <row r="55" spans="2:60" x14ac:dyDescent="0.35">
      <c r="B55" s="7" t="s">
        <v>13</v>
      </c>
      <c r="C55" s="8"/>
      <c r="D55" s="141" t="str">
        <f t="shared" ref="D55:D61" si="228">IF(C$41=0,"N.D.",C55/C$41)</f>
        <v>N.D.</v>
      </c>
      <c r="E55" s="8">
        <f>TablasERxDiv!AA42</f>
        <v>0</v>
      </c>
      <c r="F55" s="141" t="str">
        <f t="shared" ref="F55:F61" si="229">IF(E$41=0,"N.D.",E55/E$41)</f>
        <v>N.D.</v>
      </c>
      <c r="G55" s="8">
        <f>'mxn-dll'!N19</f>
        <v>0</v>
      </c>
      <c r="H55" s="141" t="str">
        <f t="shared" ref="H55:H61" si="230">IF(G$41=0,"N.D.",G55/G$41)</f>
        <v>N.D.</v>
      </c>
      <c r="I55" s="8">
        <f>'mxn-dll'!AC19</f>
        <v>0</v>
      </c>
      <c r="J55" s="141" t="str">
        <f t="shared" ref="J55:J61" si="231">IF(I$41=0,"N.D.",I55/I$41)</f>
        <v>N.D.</v>
      </c>
      <c r="K55" s="8">
        <f>TablasERxDiv!AT42</f>
        <v>0</v>
      </c>
      <c r="L55" s="141" t="str">
        <f t="shared" ref="L55:L61" si="232">IF(K$41=0,"N.D.",K55/K$41)</f>
        <v>N.D.</v>
      </c>
      <c r="M55" s="8">
        <f>TablasERxDiv!BC42</f>
        <v>0</v>
      </c>
      <c r="N55" s="141" t="str">
        <f t="shared" ref="N55:N61" si="233">IF(M$41=0,"N.D.",M55/M$41)</f>
        <v>N.D.</v>
      </c>
      <c r="O55" s="8">
        <f>K55+E55+C55+M55+G55+I55</f>
        <v>0</v>
      </c>
      <c r="P55" s="141" t="str">
        <f t="shared" ref="P55:P61" si="234">IF(O$41=0,"N.D.",O55/O$41)</f>
        <v>N.D.</v>
      </c>
      <c r="R55" s="7"/>
      <c r="S55" s="8"/>
      <c r="T55" s="42" t="str">
        <f t="shared" si="209"/>
        <v>N.D.</v>
      </c>
      <c r="U55" s="8">
        <f>(BDER!L16+BDER!L38+BDER!L60+BDER!L82+BDER!L104+BDER!L126)/1000</f>
        <v>0</v>
      </c>
      <c r="V55" s="42" t="str">
        <f t="shared" si="210"/>
        <v>N.D.</v>
      </c>
      <c r="W55" s="8">
        <f>(BDER!L479+BDER!L502+BDER!L569+BDER!L614)*TC_MES/1000</f>
        <v>0</v>
      </c>
      <c r="X55" s="42" t="str">
        <f t="shared" si="211"/>
        <v>N.D.</v>
      </c>
      <c r="Y55" s="8">
        <f>Y123*TC_MES</f>
        <v>0</v>
      </c>
      <c r="Z55" s="42" t="str">
        <f t="shared" si="212"/>
        <v>N.D.</v>
      </c>
      <c r="AA55" s="8">
        <f>(BDER!L302+BDER!L324+BDER!H346+BDER!L368+BDER!L390+BDER!L412)/1000</f>
        <v>0</v>
      </c>
      <c r="AB55" s="42" t="str">
        <f t="shared" si="213"/>
        <v>N.D.</v>
      </c>
      <c r="AC55" s="8">
        <f>(BDER!L434+BDER!L456)/1000</f>
        <v>0</v>
      </c>
      <c r="AD55" s="42" t="str">
        <f t="shared" si="214"/>
        <v>N.D.</v>
      </c>
      <c r="AE55" s="11">
        <f>+AA55+U55+S55+AC55+W55+Y55</f>
        <v>0</v>
      </c>
      <c r="AF55" s="42" t="str">
        <f t="shared" si="227"/>
        <v>N.D.</v>
      </c>
      <c r="AH55" s="7"/>
      <c r="AI55" s="8"/>
      <c r="AJ55" s="42" t="str">
        <f t="shared" si="215"/>
        <v>N.D.</v>
      </c>
      <c r="AK55" s="8">
        <f>(BDER!H16+BDER!H38+BDER!H60+BDER!H82+BDER!H104+BDER!H126)/1000</f>
        <v>0</v>
      </c>
      <c r="AL55" s="42" t="str">
        <f t="shared" si="216"/>
        <v>N.D.</v>
      </c>
      <c r="AM55" s="8">
        <f>(BDER!H479+BDER!H502+BDER!H569+BDER!H614)*TC_MES/1000</f>
        <v>0</v>
      </c>
      <c r="AN55" s="42" t="str">
        <f t="shared" si="217"/>
        <v>N.D.</v>
      </c>
      <c r="AO55" s="8">
        <f>AO123*TC_MES</f>
        <v>0</v>
      </c>
      <c r="AP55" s="42" t="str">
        <f t="shared" si="218"/>
        <v>N.D.</v>
      </c>
      <c r="AQ55" s="8">
        <f>(BDER!H302+BDER!H324+BDER!F346+BDER!H368+BDER!H390+BDER!H412)/1000</f>
        <v>0</v>
      </c>
      <c r="AR55" s="42" t="str">
        <f t="shared" si="219"/>
        <v>N.D.</v>
      </c>
      <c r="AS55" s="8">
        <f>(BDER!H434+BDER!H456)/1000</f>
        <v>0</v>
      </c>
      <c r="AT55" s="42" t="str">
        <f t="shared" si="220"/>
        <v>N.D.</v>
      </c>
      <c r="AU55" s="11">
        <f>+AQ55+AK55+AI55+AS55+AM55+AO55</f>
        <v>0</v>
      </c>
      <c r="AV55" s="42" t="str">
        <f t="shared" si="221"/>
        <v>N.D.</v>
      </c>
      <c r="AW55" s="25"/>
      <c r="AX55" s="7"/>
      <c r="AY55" s="11">
        <f t="shared" si="222"/>
        <v>0</v>
      </c>
      <c r="AZ55" s="12" t="str">
        <f t="shared" si="175"/>
        <v>N.D.</v>
      </c>
      <c r="BA55" s="11">
        <f t="shared" si="169"/>
        <v>0</v>
      </c>
      <c r="BB55" s="12" t="str">
        <f t="shared" si="170"/>
        <v>N.D.</v>
      </c>
      <c r="BC55" s="11">
        <f t="shared" si="171"/>
        <v>0</v>
      </c>
      <c r="BD55" s="12" t="str">
        <f t="shared" si="172"/>
        <v>N.D.</v>
      </c>
      <c r="BE55" s="11">
        <f t="shared" si="223"/>
        <v>0</v>
      </c>
      <c r="BF55" s="13" t="str">
        <f t="shared" si="224"/>
        <v>N.D.</v>
      </c>
      <c r="BG55" s="11">
        <f t="shared" si="225"/>
        <v>0</v>
      </c>
      <c r="BH55" s="13" t="str">
        <f t="shared" si="226"/>
        <v>N.D.</v>
      </c>
    </row>
    <row r="56" spans="2:60" x14ac:dyDescent="0.35">
      <c r="B56" s="7" t="s">
        <v>14</v>
      </c>
      <c r="C56" s="11"/>
      <c r="D56" s="138" t="str">
        <f t="shared" si="228"/>
        <v>N.D.</v>
      </c>
      <c r="E56" s="11">
        <f>TablasERxDiv!AA43</f>
        <v>0</v>
      </c>
      <c r="F56" s="138" t="str">
        <f t="shared" si="229"/>
        <v>N.D.</v>
      </c>
      <c r="G56" s="11">
        <f>'mxn-dll'!N20</f>
        <v>0</v>
      </c>
      <c r="H56" s="138" t="str">
        <f t="shared" si="230"/>
        <v>N.D.</v>
      </c>
      <c r="I56" s="11">
        <f>'mxn-dll'!AC20</f>
        <v>0</v>
      </c>
      <c r="J56" s="138" t="str">
        <f t="shared" si="231"/>
        <v>N.D.</v>
      </c>
      <c r="K56" s="11">
        <f>TablasERxDiv!AT43</f>
        <v>0</v>
      </c>
      <c r="L56" s="138" t="str">
        <f t="shared" si="232"/>
        <v>N.D.</v>
      </c>
      <c r="M56" s="11">
        <f>TablasERxDiv!BC43</f>
        <v>0</v>
      </c>
      <c r="N56" s="138" t="str">
        <f t="shared" si="233"/>
        <v>N.D.</v>
      </c>
      <c r="O56" s="11">
        <f>K56+E56-C56+M56+G56+I56</f>
        <v>0</v>
      </c>
      <c r="P56" s="138" t="str">
        <f t="shared" si="234"/>
        <v>N.D.</v>
      </c>
      <c r="R56" s="4" t="s">
        <v>17</v>
      </c>
      <c r="S56" s="14"/>
      <c r="T56" s="43" t="str">
        <f t="shared" si="209"/>
        <v>N.D.</v>
      </c>
      <c r="U56" s="14">
        <f>U51+U52+U53-U54-U55</f>
        <v>0</v>
      </c>
      <c r="V56" s="43" t="str">
        <f t="shared" si="210"/>
        <v>N.D.</v>
      </c>
      <c r="W56" s="14">
        <f>W51+W52+W53-W54-W55</f>
        <v>0</v>
      </c>
      <c r="X56" s="43" t="str">
        <f t="shared" si="211"/>
        <v>N.D.</v>
      </c>
      <c r="Y56" s="14">
        <f>Y51+Y52+Y53-Y54-Y55</f>
        <v>0</v>
      </c>
      <c r="Z56" s="43" t="str">
        <f t="shared" si="212"/>
        <v>N.D.</v>
      </c>
      <c r="AA56" s="14">
        <f>AA51+AA52+AA53-AA54-AA55</f>
        <v>0</v>
      </c>
      <c r="AB56" s="43" t="str">
        <f t="shared" si="213"/>
        <v>N.D.</v>
      </c>
      <c r="AC56" s="14">
        <f>AC51+AC52+AC53-AC54-AC55</f>
        <v>0</v>
      </c>
      <c r="AD56" s="43" t="str">
        <f t="shared" si="214"/>
        <v>N.D.</v>
      </c>
      <c r="AE56" s="14">
        <f>AE51+AE52+AE53-AE54-AE55</f>
        <v>0</v>
      </c>
      <c r="AF56" s="43" t="str">
        <f t="shared" si="227"/>
        <v>N.D.</v>
      </c>
      <c r="AH56" s="4" t="s">
        <v>17</v>
      </c>
      <c r="AI56" s="14"/>
      <c r="AJ56" s="43" t="str">
        <f t="shared" si="215"/>
        <v>N.D.</v>
      </c>
      <c r="AK56" s="14">
        <f>AK51+AK52+AK53-AK54-AK55</f>
        <v>0</v>
      </c>
      <c r="AL56" s="43" t="str">
        <f t="shared" si="216"/>
        <v>N.D.</v>
      </c>
      <c r="AM56" s="14">
        <f>AM51+AM52+AM53-AM54-AM55</f>
        <v>0</v>
      </c>
      <c r="AN56" s="43" t="str">
        <f t="shared" si="217"/>
        <v>N.D.</v>
      </c>
      <c r="AO56" s="14">
        <f>AO51+AO52+AO53-AO54-AO55</f>
        <v>0</v>
      </c>
      <c r="AP56" s="43" t="str">
        <f t="shared" si="218"/>
        <v>N.D.</v>
      </c>
      <c r="AQ56" s="14">
        <f>AQ51+AQ52+AQ53-AQ54-AQ55</f>
        <v>0</v>
      </c>
      <c r="AR56" s="43" t="str">
        <f t="shared" si="219"/>
        <v>N.D.</v>
      </c>
      <c r="AS56" s="14">
        <f>AS51+AS52+AS53-AS54-AS55</f>
        <v>0</v>
      </c>
      <c r="AT56" s="43" t="str">
        <f t="shared" si="220"/>
        <v>N.D.</v>
      </c>
      <c r="AU56" s="14">
        <f>AU51+AU52+AU53-AU54-AU55</f>
        <v>0</v>
      </c>
      <c r="AV56" s="43" t="str">
        <f t="shared" si="221"/>
        <v>N.D.</v>
      </c>
      <c r="AW56" s="25"/>
      <c r="AX56" s="4" t="s">
        <v>17</v>
      </c>
      <c r="AY56" s="14">
        <f t="shared" si="222"/>
        <v>1</v>
      </c>
      <c r="AZ56" s="22" t="str">
        <f t="shared" si="175"/>
        <v>N.D.</v>
      </c>
      <c r="BA56" s="14">
        <f t="shared" si="169"/>
        <v>0</v>
      </c>
      <c r="BB56" s="22" t="str">
        <f t="shared" si="170"/>
        <v>N.D.</v>
      </c>
      <c r="BC56" s="14">
        <f t="shared" si="171"/>
        <v>0</v>
      </c>
      <c r="BD56" s="22" t="str">
        <f t="shared" si="172"/>
        <v>N.D.</v>
      </c>
      <c r="BE56" s="14">
        <f>+AY56-BA56</f>
        <v>1</v>
      </c>
      <c r="BF56" s="16" t="str">
        <f t="shared" si="224"/>
        <v>N.D.</v>
      </c>
      <c r="BG56" s="14">
        <f>AY56-BC56</f>
        <v>1</v>
      </c>
      <c r="BH56" s="16" t="str">
        <f t="shared" si="226"/>
        <v>N.D.</v>
      </c>
    </row>
    <row r="57" spans="2:60" x14ac:dyDescent="0.35">
      <c r="B57" s="7" t="s">
        <v>15</v>
      </c>
      <c r="C57" s="11"/>
      <c r="D57" s="138" t="str">
        <f t="shared" si="228"/>
        <v>N.D.</v>
      </c>
      <c r="E57" s="11">
        <f>TablasERxDiv!AA44</f>
        <v>0</v>
      </c>
      <c r="F57" s="138" t="str">
        <f t="shared" si="229"/>
        <v>N.D.</v>
      </c>
      <c r="G57" s="11">
        <f>'mxn-dll'!N21</f>
        <v>0</v>
      </c>
      <c r="H57" s="138" t="str">
        <f t="shared" si="230"/>
        <v>N.D.</v>
      </c>
      <c r="I57" s="11">
        <f>'mxn-dll'!AC21</f>
        <v>0</v>
      </c>
      <c r="J57" s="138" t="str">
        <f t="shared" si="231"/>
        <v>N.D.</v>
      </c>
      <c r="K57" s="11">
        <f>TablasERxDiv!AT44</f>
        <v>0</v>
      </c>
      <c r="L57" s="138" t="str">
        <f t="shared" si="232"/>
        <v>N.D.</v>
      </c>
      <c r="M57" s="11">
        <f>TablasERxDiv!BC44</f>
        <v>0</v>
      </c>
      <c r="N57" s="138" t="str">
        <f t="shared" si="233"/>
        <v>N.D.</v>
      </c>
      <c r="O57" s="11">
        <f>K57+E57+C57+M57+G57+I57+intereses_acum</f>
        <v>1</v>
      </c>
      <c r="P57" s="138" t="str">
        <f t="shared" si="234"/>
        <v>N.D.</v>
      </c>
      <c r="R57" s="4" t="s">
        <v>18</v>
      </c>
      <c r="S57" s="14"/>
      <c r="T57" s="43" t="str">
        <f t="shared" si="209"/>
        <v>N.D.</v>
      </c>
      <c r="U57" s="14">
        <f>+U49-U56</f>
        <v>0</v>
      </c>
      <c r="V57" s="43" t="str">
        <f t="shared" si="210"/>
        <v>N.D.</v>
      </c>
      <c r="W57" s="14">
        <f>+W49-W56</f>
        <v>0</v>
      </c>
      <c r="X57" s="43" t="str">
        <f t="shared" si="211"/>
        <v>N.D.</v>
      </c>
      <c r="Y57" s="14">
        <f>+Y49-Y56</f>
        <v>0</v>
      </c>
      <c r="Z57" s="43" t="str">
        <f t="shared" si="212"/>
        <v>N.D.</v>
      </c>
      <c r="AA57" s="14">
        <f>+AA49-AA56</f>
        <v>0</v>
      </c>
      <c r="AB57" s="43" t="str">
        <f t="shared" si="213"/>
        <v>N.D.</v>
      </c>
      <c r="AC57" s="14">
        <f>+AC49-AC56</f>
        <v>0</v>
      </c>
      <c r="AD57" s="43" t="str">
        <f t="shared" si="214"/>
        <v>N.D.</v>
      </c>
      <c r="AE57" s="14">
        <f>+AE49-AE56</f>
        <v>0</v>
      </c>
      <c r="AF57" s="43" t="str">
        <f t="shared" si="227"/>
        <v>N.D.</v>
      </c>
      <c r="AH57" s="4" t="s">
        <v>18</v>
      </c>
      <c r="AI57" s="14"/>
      <c r="AJ57" s="43" t="str">
        <f t="shared" si="215"/>
        <v>N.D.</v>
      </c>
      <c r="AK57" s="14">
        <f>+AK49-AK56</f>
        <v>0</v>
      </c>
      <c r="AL57" s="43" t="str">
        <f t="shared" si="216"/>
        <v>N.D.</v>
      </c>
      <c r="AM57" s="14">
        <f>+AM49-AM56</f>
        <v>0</v>
      </c>
      <c r="AN57" s="43" t="str">
        <f t="shared" si="217"/>
        <v>N.D.</v>
      </c>
      <c r="AO57" s="14">
        <f>+AO49-AO56</f>
        <v>0</v>
      </c>
      <c r="AP57" s="43" t="str">
        <f t="shared" si="218"/>
        <v>N.D.</v>
      </c>
      <c r="AQ57" s="14">
        <f>+AQ49-AQ56</f>
        <v>0</v>
      </c>
      <c r="AR57" s="43" t="str">
        <f t="shared" si="219"/>
        <v>N.D.</v>
      </c>
      <c r="AS57" s="14">
        <f>+AS49-AS56</f>
        <v>0</v>
      </c>
      <c r="AT57" s="43" t="str">
        <f t="shared" si="220"/>
        <v>N.D.</v>
      </c>
      <c r="AU57" s="14">
        <f>+AU49-AU56</f>
        <v>0</v>
      </c>
      <c r="AV57" s="43" t="str">
        <f t="shared" si="221"/>
        <v>N.D.</v>
      </c>
      <c r="AX57" s="4" t="s">
        <v>18</v>
      </c>
      <c r="AY57" s="20">
        <f t="shared" si="222"/>
        <v>-1</v>
      </c>
      <c r="AZ57" s="15" t="str">
        <f t="shared" si="175"/>
        <v>N.D.</v>
      </c>
      <c r="BA57" s="20">
        <f t="shared" si="169"/>
        <v>0</v>
      </c>
      <c r="BB57" s="15" t="str">
        <f t="shared" si="170"/>
        <v>N.D.</v>
      </c>
      <c r="BC57" s="20">
        <f t="shared" si="171"/>
        <v>0</v>
      </c>
      <c r="BD57" s="15" t="str">
        <f t="shared" si="172"/>
        <v>N.D.</v>
      </c>
      <c r="BE57" s="14">
        <f t="shared" si="223"/>
        <v>-1</v>
      </c>
      <c r="BF57" s="16" t="str">
        <f t="shared" si="224"/>
        <v>N.D.</v>
      </c>
      <c r="BG57" s="14">
        <f t="shared" si="225"/>
        <v>-1</v>
      </c>
      <c r="BH57" s="16" t="str">
        <f t="shared" si="226"/>
        <v>N.D.</v>
      </c>
    </row>
    <row r="58" spans="2:60" x14ac:dyDescent="0.35">
      <c r="B58" s="7" t="s">
        <v>16</v>
      </c>
      <c r="C58" s="11"/>
      <c r="D58" s="138" t="str">
        <f t="shared" si="228"/>
        <v>N.D.</v>
      </c>
      <c r="E58" s="11">
        <f>TablasERxDiv!AA45</f>
        <v>0</v>
      </c>
      <c r="F58" s="138" t="str">
        <f t="shared" si="229"/>
        <v>N.D.</v>
      </c>
      <c r="G58" s="11">
        <f>'mxn-dll'!N22</f>
        <v>0</v>
      </c>
      <c r="H58" s="138" t="str">
        <f t="shared" si="230"/>
        <v>N.D.</v>
      </c>
      <c r="I58" s="11">
        <f>'mxn-dll'!AC22</f>
        <v>0</v>
      </c>
      <c r="J58" s="138" t="str">
        <f t="shared" si="231"/>
        <v>N.D.</v>
      </c>
      <c r="K58" s="11">
        <f>TablasERxDiv!AT45</f>
        <v>0</v>
      </c>
      <c r="L58" s="138" t="str">
        <f t="shared" si="232"/>
        <v>N.D.</v>
      </c>
      <c r="M58" s="11">
        <f>TablasERxDiv!BC45</f>
        <v>0</v>
      </c>
      <c r="N58" s="138" t="str">
        <f t="shared" si="233"/>
        <v>N.D.</v>
      </c>
      <c r="O58" s="11">
        <f>K58+E58+C58+M58+G58+I58</f>
        <v>0</v>
      </c>
      <c r="P58" s="138" t="str">
        <f t="shared" si="234"/>
        <v>N.D.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/>
      <c r="D59" s="138" t="str">
        <f t="shared" si="228"/>
        <v>N.D.</v>
      </c>
      <c r="E59" s="11">
        <f>TablasERxDiv!AA46</f>
        <v>0</v>
      </c>
      <c r="F59" s="138" t="str">
        <f t="shared" si="229"/>
        <v>N.D.</v>
      </c>
      <c r="G59" s="11">
        <f>'mxn-dll'!N23</f>
        <v>0</v>
      </c>
      <c r="H59" s="138" t="str">
        <f t="shared" si="230"/>
        <v>N.D.</v>
      </c>
      <c r="I59" s="11">
        <f>'mxn-dll'!AC23</f>
        <v>0</v>
      </c>
      <c r="J59" s="138" t="str">
        <f t="shared" si="231"/>
        <v>N.D.</v>
      </c>
      <c r="K59" s="11">
        <f>TablasERxDiv!AT46</f>
        <v>0</v>
      </c>
      <c r="L59" s="138" t="str">
        <f t="shared" si="232"/>
        <v>N.D.</v>
      </c>
      <c r="M59" s="11">
        <f>TablasERxDiv!BC46</f>
        <v>0</v>
      </c>
      <c r="N59" s="138" t="str">
        <f t="shared" si="233"/>
        <v>N.D.</v>
      </c>
      <c r="O59" s="11">
        <f>K59+E59+C59+M59+G59+I59</f>
        <v>0</v>
      </c>
      <c r="P59" s="138" t="str">
        <f t="shared" si="234"/>
        <v>N.D.</v>
      </c>
      <c r="R59" s="7" t="s">
        <v>35</v>
      </c>
      <c r="S59" s="8"/>
      <c r="T59" s="29" t="str">
        <f t="shared" ref="T59:T62" si="235">IF(S$41=0,"N.D.",S59/S$41)</f>
        <v>N.D.</v>
      </c>
      <c r="U59" s="8">
        <f>(BDER!L19+BDER!L41+BDER!L63+BDER!L85+BDER!L107+BDER!L129)/1000</f>
        <v>0</v>
      </c>
      <c r="V59" s="29" t="str">
        <f t="shared" ref="V59:V62" si="236">IF(U$41=0,"N.D.",U59/U$41)</f>
        <v>N.D.</v>
      </c>
      <c r="W59" s="8">
        <f>(BDER!L482+BDER!L505+BDER!L572+BDER!L617)*TC_MES/1000</f>
        <v>0</v>
      </c>
      <c r="X59" s="29" t="str">
        <f t="shared" ref="X59:X62" si="237">IF(W$41=0,"N.D.",W59/W$41)</f>
        <v>N.D.</v>
      </c>
      <c r="Y59" s="8">
        <f>Y127*TC_MES</f>
        <v>0</v>
      </c>
      <c r="Z59" s="29" t="str">
        <f t="shared" ref="Z59:Z62" si="238">IF(Y$41=0,"N.D.",Y59/Y$41)</f>
        <v>N.D.</v>
      </c>
      <c r="AA59" s="8">
        <f>(BDER!L305+BDER!L327+BDER!H349+BDER!L371+BDER!L393+BDER!L415)/1000</f>
        <v>0</v>
      </c>
      <c r="AB59" s="29" t="str">
        <f t="shared" ref="AB59:AB62" si="239">IF(AA$41=0,"N.D.",AA59/AA$41)</f>
        <v>N.D.</v>
      </c>
      <c r="AC59" s="8">
        <f>(BDER!L437+BDER!L459)/1000</f>
        <v>0</v>
      </c>
      <c r="AD59" s="29" t="str">
        <f t="shared" ref="AD59:AD62" si="240">IF(AC$41=0,"N.D.",AC59/AC$41)</f>
        <v>N.D.</v>
      </c>
      <c r="AE59" s="8">
        <f>+AA59+U59+S59+AC59+W59+Y59</f>
        <v>0</v>
      </c>
      <c r="AF59" s="29" t="str">
        <f t="shared" ref="AF59:AF62" si="241">IF(AE$41=0,"N.D.",AE59/AE$41)</f>
        <v>N.D.</v>
      </c>
      <c r="AH59" s="7" t="s">
        <v>35</v>
      </c>
      <c r="AI59" s="8"/>
      <c r="AJ59" s="29" t="str">
        <f t="shared" ref="AJ59:AJ62" si="242">IF(AI$41=0,"N.D.",AI59/AI$41)</f>
        <v>N.D.</v>
      </c>
      <c r="AK59" s="8">
        <f>(BDER!H19+BDER!H41+BDER!H63+BDER!H85+BDER!H107+BDER!H129)/1000</f>
        <v>0</v>
      </c>
      <c r="AL59" s="29" t="str">
        <f t="shared" ref="AL59:AL62" si="243">IF(AK$41=0,"N.D.",AK59/AK$41)</f>
        <v>N.D.</v>
      </c>
      <c r="AM59" s="8">
        <f>(BDER!H482+BDER!H505+BDER!H572+BDER!H617)*TC_MES/1000</f>
        <v>0</v>
      </c>
      <c r="AN59" s="29" t="str">
        <f t="shared" ref="AN59:AN62" si="244">IF(AM$41=0,"N.D.",AM59/AM$41)</f>
        <v>N.D.</v>
      </c>
      <c r="AO59" s="8">
        <f>AO127*TC_MES</f>
        <v>0</v>
      </c>
      <c r="AP59" s="29" t="str">
        <f t="shared" ref="AP59:AP62" si="245">IF(AO$41=0,"N.D.",AO59/AO$41)</f>
        <v>N.D.</v>
      </c>
      <c r="AQ59" s="8">
        <f>(BDER!H305+BDER!H327+BDER!F349+BDER!H371+BDER!H393+BDER!H415)/1000</f>
        <v>0</v>
      </c>
      <c r="AR59" s="29" t="str">
        <f t="shared" ref="AR59:AR62" si="246">IF(AQ$41=0,"N.D.",AQ59/AQ$41)</f>
        <v>N.D.</v>
      </c>
      <c r="AS59" s="8">
        <f>(BDER!H437+BDER!H459)/1000</f>
        <v>0</v>
      </c>
      <c r="AT59" s="29" t="str">
        <f t="shared" ref="AT59:AT62" si="247">IF(AS$41=0,"N.D.",AS59/AS$41)</f>
        <v>N.D.</v>
      </c>
      <c r="AU59" s="8">
        <f>+AQ59+AK59+AI59+AS59+AM59+AO59</f>
        <v>0</v>
      </c>
      <c r="AV59" s="29" t="str">
        <f t="shared" ref="AV59:AV62" si="248">IF(AU$41=0,"N.D.",AU59/AU$41)</f>
        <v>N.D.</v>
      </c>
      <c r="AX59" s="7" t="s">
        <v>19</v>
      </c>
      <c r="AY59" s="8">
        <f>O63</f>
        <v>0</v>
      </c>
      <c r="AZ59" s="9" t="str">
        <f t="shared" si="175"/>
        <v>N.D.</v>
      </c>
      <c r="BA59" s="8">
        <f t="shared" si="169"/>
        <v>0</v>
      </c>
      <c r="BB59" s="9" t="str">
        <f t="shared" si="170"/>
        <v>N.D.</v>
      </c>
      <c r="BC59" s="8">
        <f t="shared" si="171"/>
        <v>0</v>
      </c>
      <c r="BD59" s="9" t="str">
        <f t="shared" si="172"/>
        <v>N.D.</v>
      </c>
      <c r="BE59" s="8">
        <f>+AY59-BA59</f>
        <v>0</v>
      </c>
      <c r="BF59" s="10" t="str">
        <f t="shared" ref="BF59:BF62" si="249">IF(BA59=0,"N.D.",AY59/BA59-1)</f>
        <v>N.D.</v>
      </c>
      <c r="BG59" s="8">
        <f>AY59-BC59</f>
        <v>0</v>
      </c>
      <c r="BH59" s="10" t="str">
        <f>IF(BC59=0, "N.D.",AY59/BC59-1)</f>
        <v>N.D.</v>
      </c>
    </row>
    <row r="60" spans="2:60" x14ac:dyDescent="0.35">
      <c r="B60" s="4" t="s">
        <v>17</v>
      </c>
      <c r="C60" s="14"/>
      <c r="D60" s="139" t="str">
        <f t="shared" si="228"/>
        <v>N.D.</v>
      </c>
      <c r="E60" s="14">
        <f>+E55+E56+E57-E58</f>
        <v>0</v>
      </c>
      <c r="F60" s="139" t="str">
        <f t="shared" si="229"/>
        <v>N.D.</v>
      </c>
      <c r="G60" s="14">
        <f>+G55+G56+G57-G58</f>
        <v>0</v>
      </c>
      <c r="H60" s="139" t="str">
        <f t="shared" si="230"/>
        <v>N.D.</v>
      </c>
      <c r="I60" s="14">
        <f>+I55+I56+I57-I58</f>
        <v>0</v>
      </c>
      <c r="J60" s="139" t="str">
        <f t="shared" si="231"/>
        <v>N.D.</v>
      </c>
      <c r="K60" s="14">
        <f>+K55+K56+K57-K58</f>
        <v>0</v>
      </c>
      <c r="L60" s="139" t="str">
        <f t="shared" si="232"/>
        <v>N.D.</v>
      </c>
      <c r="M60" s="14">
        <f>+M55+M56+M57-M58</f>
        <v>0</v>
      </c>
      <c r="N60" s="139" t="str">
        <f t="shared" si="233"/>
        <v>N.D.</v>
      </c>
      <c r="O60" s="14">
        <f>+O55+O56+O57-O58</f>
        <v>1</v>
      </c>
      <c r="P60" s="139" t="str">
        <f t="shared" si="234"/>
        <v>N.D.</v>
      </c>
      <c r="R60" s="7" t="s">
        <v>43</v>
      </c>
      <c r="S60" s="8"/>
      <c r="T60" s="42" t="str">
        <f t="shared" si="235"/>
        <v>N.D.</v>
      </c>
      <c r="U60" s="8">
        <f>(BDER!L20+BDER!L42+BDER!L64+BDER!L86+BDER!L108+BDER!L130)/1000</f>
        <v>0</v>
      </c>
      <c r="V60" s="42" t="str">
        <f t="shared" si="236"/>
        <v>N.D.</v>
      </c>
      <c r="W60" s="8">
        <f>(BDER!L483+BDER!L506+BDER!L573+BDER!L618)*TC_MES/1000</f>
        <v>0</v>
      </c>
      <c r="X60" s="42" t="str">
        <f t="shared" si="237"/>
        <v>N.D.</v>
      </c>
      <c r="Y60" s="8">
        <f>Y128*TC_MES</f>
        <v>0</v>
      </c>
      <c r="Z60" s="42" t="str">
        <f t="shared" si="238"/>
        <v>N.D.</v>
      </c>
      <c r="AA60" s="8">
        <f>(BDER!L306+BDER!L328+BDER!H350+BDER!L372+BDER!L394+BDER!L416)/1000</f>
        <v>0</v>
      </c>
      <c r="AB60" s="42" t="str">
        <f t="shared" si="239"/>
        <v>N.D.</v>
      </c>
      <c r="AC60" s="8">
        <f>(BDER!L438+BDER!L460)/1000</f>
        <v>0</v>
      </c>
      <c r="AD60" s="42" t="str">
        <f t="shared" si="240"/>
        <v>N.D.</v>
      </c>
      <c r="AE60" s="11">
        <f>+AA60+U60+S60+AC60+W60+Y60</f>
        <v>0</v>
      </c>
      <c r="AF60" s="42" t="str">
        <f t="shared" si="241"/>
        <v>N.D.</v>
      </c>
      <c r="AH60" s="7" t="s">
        <v>43</v>
      </c>
      <c r="AI60" s="8"/>
      <c r="AJ60" s="42" t="str">
        <f t="shared" si="242"/>
        <v>N.D.</v>
      </c>
      <c r="AK60" s="8">
        <f>(BDER!H20+BDER!H42+BDER!H64+BDER!H86+BDER!H108+BDER!H130)/1000</f>
        <v>0</v>
      </c>
      <c r="AL60" s="42" t="str">
        <f t="shared" si="243"/>
        <v>N.D.</v>
      </c>
      <c r="AM60" s="8">
        <f>(BDER!H483+BDER!H506+BDER!H573+BDER!H618)*TC_MES/1000</f>
        <v>0</v>
      </c>
      <c r="AN60" s="42" t="str">
        <f t="shared" si="244"/>
        <v>N.D.</v>
      </c>
      <c r="AO60" s="8">
        <f>AO128*TC_MES</f>
        <v>0</v>
      </c>
      <c r="AP60" s="42" t="str">
        <f t="shared" si="245"/>
        <v>N.D.</v>
      </c>
      <c r="AQ60" s="8">
        <f>(BDER!H306+BDER!H328+BDER!F350+BDER!H372+BDER!H394+BDER!H416)/1000</f>
        <v>0</v>
      </c>
      <c r="AR60" s="42" t="str">
        <f t="shared" si="246"/>
        <v>N.D.</v>
      </c>
      <c r="AS60" s="8">
        <f>(BDER!H438+BDER!H460)/1000</f>
        <v>0</v>
      </c>
      <c r="AT60" s="42" t="str">
        <f t="shared" si="247"/>
        <v>N.D.</v>
      </c>
      <c r="AU60" s="11">
        <f>+AQ60+AK60+AI60+AS60+AM60+AO60</f>
        <v>0</v>
      </c>
      <c r="AV60" s="42" t="str">
        <f t="shared" si="248"/>
        <v>N.D.</v>
      </c>
      <c r="AX60" s="7" t="s">
        <v>20</v>
      </c>
      <c r="AY60" s="11">
        <f>O64</f>
        <v>0</v>
      </c>
      <c r="AZ60" s="12" t="str">
        <f t="shared" si="175"/>
        <v>N.D.</v>
      </c>
      <c r="BA60" s="11">
        <f t="shared" si="169"/>
        <v>0</v>
      </c>
      <c r="BB60" s="12" t="str">
        <f t="shared" si="170"/>
        <v>N.D.</v>
      </c>
      <c r="BC60" s="11">
        <f t="shared" si="171"/>
        <v>0</v>
      </c>
      <c r="BD60" s="12" t="str">
        <f t="shared" si="172"/>
        <v>N.D.</v>
      </c>
      <c r="BE60" s="11">
        <f>+AY60-BA60</f>
        <v>0</v>
      </c>
      <c r="BF60" s="13" t="str">
        <f t="shared" si="249"/>
        <v>N.D.</v>
      </c>
      <c r="BG60" s="11">
        <f>AY60-BC60</f>
        <v>0</v>
      </c>
      <c r="BH60" s="13" t="str">
        <f>IF(BC60=0, "N.D.",AY60/BC60-1)</f>
        <v>N.D.</v>
      </c>
    </row>
    <row r="61" spans="2:60" x14ac:dyDescent="0.35">
      <c r="B61" s="4" t="s">
        <v>18</v>
      </c>
      <c r="C61" s="14"/>
      <c r="D61" s="139" t="str">
        <f t="shared" si="228"/>
        <v>N.D.</v>
      </c>
      <c r="E61" s="14">
        <f>+E53-E60</f>
        <v>0</v>
      </c>
      <c r="F61" s="139" t="str">
        <f t="shared" si="229"/>
        <v>N.D.</v>
      </c>
      <c r="G61" s="14">
        <f>+G53-G60</f>
        <v>0</v>
      </c>
      <c r="H61" s="139" t="str">
        <f t="shared" si="230"/>
        <v>N.D.</v>
      </c>
      <c r="I61" s="14">
        <f>+I53-I60</f>
        <v>0</v>
      </c>
      <c r="J61" s="139" t="str">
        <f t="shared" si="231"/>
        <v>N.D.</v>
      </c>
      <c r="K61" s="14">
        <f>+K53-K60</f>
        <v>0</v>
      </c>
      <c r="L61" s="139" t="str">
        <f t="shared" si="232"/>
        <v>N.D.</v>
      </c>
      <c r="M61" s="14">
        <f>+M53-M60</f>
        <v>0</v>
      </c>
      <c r="N61" s="139" t="str">
        <f t="shared" si="233"/>
        <v>N.D.</v>
      </c>
      <c r="O61" s="14">
        <f>+O53-O60</f>
        <v>-1</v>
      </c>
      <c r="P61" s="139" t="str">
        <f t="shared" si="234"/>
        <v>N.D.</v>
      </c>
      <c r="R61" s="4" t="s">
        <v>21</v>
      </c>
      <c r="S61" s="14"/>
      <c r="T61" s="43" t="str">
        <f t="shared" si="235"/>
        <v>N.D.</v>
      </c>
      <c r="U61" s="14">
        <f>+U57-U59-U60</f>
        <v>0</v>
      </c>
      <c r="V61" s="43" t="str">
        <f t="shared" si="236"/>
        <v>N.D.</v>
      </c>
      <c r="W61" s="14">
        <f>+W57-W59-W60</f>
        <v>0</v>
      </c>
      <c r="X61" s="43" t="str">
        <f t="shared" si="237"/>
        <v>N.D.</v>
      </c>
      <c r="Y61" s="14">
        <f>+Y57-Y59-Y60</f>
        <v>0</v>
      </c>
      <c r="Z61" s="43" t="str">
        <f t="shared" si="238"/>
        <v>N.D.</v>
      </c>
      <c r="AA61" s="14">
        <f>+AA57-AA59-AA60</f>
        <v>0</v>
      </c>
      <c r="AB61" s="43" t="str">
        <f t="shared" si="239"/>
        <v>N.D.</v>
      </c>
      <c r="AC61" s="14">
        <f>+AC57-AC59-AC60</f>
        <v>0</v>
      </c>
      <c r="AD61" s="43" t="str">
        <f t="shared" si="240"/>
        <v>N.D.</v>
      </c>
      <c r="AE61" s="14">
        <f>+AE57-AE59-AE60</f>
        <v>0</v>
      </c>
      <c r="AF61" s="43" t="str">
        <f t="shared" si="241"/>
        <v>N.D.</v>
      </c>
      <c r="AH61" s="4" t="s">
        <v>21</v>
      </c>
      <c r="AI61" s="14"/>
      <c r="AJ61" s="43" t="str">
        <f t="shared" si="242"/>
        <v>N.D.</v>
      </c>
      <c r="AK61" s="14">
        <f>+AK57-AK59-AK60</f>
        <v>0</v>
      </c>
      <c r="AL61" s="43" t="str">
        <f t="shared" si="243"/>
        <v>N.D.</v>
      </c>
      <c r="AM61" s="14">
        <f>+AM57-AM59-AM60</f>
        <v>0</v>
      </c>
      <c r="AN61" s="43" t="str">
        <f t="shared" si="244"/>
        <v>N.D.</v>
      </c>
      <c r="AO61" s="14">
        <f>+AO57-AO59-AO60</f>
        <v>0</v>
      </c>
      <c r="AP61" s="43" t="str">
        <f t="shared" si="245"/>
        <v>N.D.</v>
      </c>
      <c r="AQ61" s="14">
        <f>+AQ57-AQ59-AQ60</f>
        <v>0</v>
      </c>
      <c r="AR61" s="43" t="str">
        <f t="shared" si="246"/>
        <v>N.D.</v>
      </c>
      <c r="AS61" s="14">
        <f>+AS57-AS59-AS60</f>
        <v>0</v>
      </c>
      <c r="AT61" s="43" t="str">
        <f t="shared" si="247"/>
        <v>N.D.</v>
      </c>
      <c r="AU61" s="14">
        <f>+AU57-AU59-AU60</f>
        <v>0</v>
      </c>
      <c r="AV61" s="43" t="str">
        <f t="shared" si="248"/>
        <v>N.D.</v>
      </c>
      <c r="AX61" s="4" t="s">
        <v>21</v>
      </c>
      <c r="AY61" s="14">
        <f>O65</f>
        <v>-1</v>
      </c>
      <c r="AZ61" s="15" t="str">
        <f t="shared" si="175"/>
        <v>N.D.</v>
      </c>
      <c r="BA61" s="14">
        <f t="shared" si="169"/>
        <v>0</v>
      </c>
      <c r="BB61" s="15" t="str">
        <f t="shared" si="170"/>
        <v>N.D.</v>
      </c>
      <c r="BC61" s="14">
        <f t="shared" si="171"/>
        <v>0</v>
      </c>
      <c r="BD61" s="15" t="str">
        <f t="shared" si="172"/>
        <v>N.D.</v>
      </c>
      <c r="BE61" s="14">
        <f>+AY61-BA61</f>
        <v>-1</v>
      </c>
      <c r="BF61" s="16" t="str">
        <f t="shared" si="249"/>
        <v>N.D.</v>
      </c>
      <c r="BG61" s="14">
        <f>AY61-BC61</f>
        <v>-1</v>
      </c>
      <c r="BH61" s="16" t="str">
        <f>IF(BC61=0, "N.D.",AY61/BC61-1)</f>
        <v>N.D.</v>
      </c>
    </row>
    <row r="62" spans="2:60" x14ac:dyDescent="0.35">
      <c r="B62" s="1"/>
      <c r="C62" s="30"/>
      <c r="D62" s="140"/>
      <c r="E62" s="30"/>
      <c r="F62" s="140"/>
      <c r="G62" s="30"/>
      <c r="H62" s="140"/>
      <c r="I62" s="30"/>
      <c r="J62" s="140"/>
      <c r="K62" s="30"/>
      <c r="L62" s="140"/>
      <c r="M62" s="30"/>
      <c r="N62" s="140"/>
      <c r="O62" s="30"/>
      <c r="P62" s="140"/>
      <c r="R62" s="4" t="s">
        <v>22</v>
      </c>
      <c r="S62" s="20"/>
      <c r="T62" s="45" t="str">
        <f t="shared" si="235"/>
        <v>N.D.</v>
      </c>
      <c r="U62" s="20">
        <f>+U49+U47</f>
        <v>0</v>
      </c>
      <c r="V62" s="45" t="str">
        <f t="shared" si="236"/>
        <v>N.D.</v>
      </c>
      <c r="W62" s="20">
        <f>+W49+W47</f>
        <v>0</v>
      </c>
      <c r="X62" s="45" t="str">
        <f t="shared" si="237"/>
        <v>N.D.</v>
      </c>
      <c r="Y62" s="20">
        <f>+Y49+Y47</f>
        <v>0</v>
      </c>
      <c r="Z62" s="45" t="str">
        <f t="shared" si="238"/>
        <v>N.D.</v>
      </c>
      <c r="AA62" s="20">
        <f>+AA49+AA47</f>
        <v>0</v>
      </c>
      <c r="AB62" s="45" t="str">
        <f t="shared" si="239"/>
        <v>N.D.</v>
      </c>
      <c r="AC62" s="20">
        <f>+AC49+AC47</f>
        <v>0</v>
      </c>
      <c r="AD62" s="45" t="str">
        <f t="shared" si="240"/>
        <v>N.D.</v>
      </c>
      <c r="AE62" s="20">
        <f>+AE49+AE47</f>
        <v>0</v>
      </c>
      <c r="AF62" s="45" t="str">
        <f t="shared" si="241"/>
        <v>N.D.</v>
      </c>
      <c r="AH62" s="4" t="s">
        <v>22</v>
      </c>
      <c r="AI62" s="20"/>
      <c r="AJ62" s="45" t="str">
        <f t="shared" si="242"/>
        <v>N.D.</v>
      </c>
      <c r="AK62" s="20">
        <f>+AK49+AK47</f>
        <v>0</v>
      </c>
      <c r="AL62" s="45" t="str">
        <f t="shared" si="243"/>
        <v>N.D.</v>
      </c>
      <c r="AM62" s="20">
        <f>+AM49+AM47</f>
        <v>0</v>
      </c>
      <c r="AN62" s="45" t="str">
        <f t="shared" si="244"/>
        <v>N.D.</v>
      </c>
      <c r="AO62" s="20">
        <f>+AO49+AO47</f>
        <v>0</v>
      </c>
      <c r="AP62" s="45" t="str">
        <f t="shared" si="245"/>
        <v>N.D.</v>
      </c>
      <c r="AQ62" s="20">
        <f>+AQ49+AQ47</f>
        <v>0</v>
      </c>
      <c r="AR62" s="45" t="str">
        <f t="shared" si="246"/>
        <v>N.D.</v>
      </c>
      <c r="AS62" s="20">
        <f>+AS49+AS47</f>
        <v>0</v>
      </c>
      <c r="AT62" s="45" t="str">
        <f t="shared" si="247"/>
        <v>N.D.</v>
      </c>
      <c r="AU62" s="20">
        <f>+AU49+AU47</f>
        <v>0</v>
      </c>
      <c r="AV62" s="45" t="str">
        <f t="shared" si="248"/>
        <v>N.D.</v>
      </c>
      <c r="AX62" s="4" t="s">
        <v>22</v>
      </c>
      <c r="AY62" s="14">
        <f>O66</f>
        <v>0</v>
      </c>
      <c r="AZ62" s="15" t="str">
        <f t="shared" si="175"/>
        <v>N.D.</v>
      </c>
      <c r="BA62" s="14">
        <f t="shared" si="169"/>
        <v>0</v>
      </c>
      <c r="BB62" s="15" t="str">
        <f t="shared" si="170"/>
        <v>N.D.</v>
      </c>
      <c r="BC62" s="14">
        <f t="shared" si="171"/>
        <v>0</v>
      </c>
      <c r="BD62" s="15" t="str">
        <f t="shared" si="172"/>
        <v>N.D.</v>
      </c>
      <c r="BE62" s="14">
        <f>+AY62-BA62</f>
        <v>0</v>
      </c>
      <c r="BF62" s="16" t="str">
        <f t="shared" si="249"/>
        <v>N.D.</v>
      </c>
      <c r="BG62" s="14">
        <f>AY62-BC62</f>
        <v>0</v>
      </c>
      <c r="BH62" s="16" t="str">
        <f>IF(BC62=0, "N.D.",AY62/BC62-1)</f>
        <v>N.D.</v>
      </c>
    </row>
    <row r="63" spans="2:60" x14ac:dyDescent="0.35">
      <c r="B63" s="7" t="s">
        <v>35</v>
      </c>
      <c r="C63" s="8"/>
      <c r="D63" s="141" t="str">
        <f t="shared" ref="D63:D71" si="250">IF(C$41=0,"N.D.",C63/C$41)</f>
        <v>N.D.</v>
      </c>
      <c r="E63" s="8">
        <f>TablasERxDiv!AA50</f>
        <v>0</v>
      </c>
      <c r="F63" s="141" t="str">
        <f t="shared" ref="F63:F71" si="251">IF(E$41=0,"N.D.",E63/E$41)</f>
        <v>N.D.</v>
      </c>
      <c r="G63" s="8">
        <f>'mxn-dll'!N27</f>
        <v>0</v>
      </c>
      <c r="H63" s="141" t="str">
        <f t="shared" ref="H63" si="252">IF(G$41=0,"N.D.",G63/G$41)</f>
        <v>N.D.</v>
      </c>
      <c r="I63" s="8">
        <f>'mxn-dll'!AC27</f>
        <v>0</v>
      </c>
      <c r="J63" s="141" t="str">
        <f t="shared" ref="J63" si="253">IF(I$41=0,"N.D.",I63/I$41)</f>
        <v>N.D.</v>
      </c>
      <c r="K63" s="8">
        <f>TablasERxDiv!AT50</f>
        <v>0</v>
      </c>
      <c r="L63" s="141" t="str">
        <f t="shared" ref="L63" si="254">IF(K$41=0,"N.D.",K63/K$41)</f>
        <v>N.D.</v>
      </c>
      <c r="M63" s="8">
        <f>TablasERxDiv!BC50</f>
        <v>0</v>
      </c>
      <c r="N63" s="141" t="str">
        <f t="shared" ref="N63" si="255">IF(M$41=0,"N.D.",M63/M$41)</f>
        <v>N.D.</v>
      </c>
      <c r="O63" s="8">
        <f>K63+E63+C63+M63+G63+I63</f>
        <v>0</v>
      </c>
      <c r="P63" s="141" t="str">
        <f t="shared" ref="P63" si="256">IF(O$41=0,"N.D.",O63/O$41)</f>
        <v>N.D.</v>
      </c>
    </row>
    <row r="64" spans="2:60" x14ac:dyDescent="0.35">
      <c r="B64" s="7" t="s">
        <v>20</v>
      </c>
      <c r="C64" s="11"/>
      <c r="D64" s="138" t="str">
        <f t="shared" si="250"/>
        <v>N.D.</v>
      </c>
      <c r="E64" s="11">
        <f>TablasERxDiv!AA51</f>
        <v>0</v>
      </c>
      <c r="F64" s="138" t="str">
        <f t="shared" si="251"/>
        <v>N.D.</v>
      </c>
      <c r="G64" s="11">
        <f>'mxn-dll'!N28</f>
        <v>0</v>
      </c>
      <c r="H64" s="138" t="str">
        <f t="shared" ref="H64" si="257">IF(G$41=0,"N.D.",G64/G$41)</f>
        <v>N.D.</v>
      </c>
      <c r="I64" s="11">
        <f>'mxn-dll'!AC28</f>
        <v>0</v>
      </c>
      <c r="J64" s="138" t="str">
        <f t="shared" ref="J64" si="258">IF(I$41=0,"N.D.",I64/I$41)</f>
        <v>N.D.</v>
      </c>
      <c r="K64" s="11">
        <f>TablasERxDiv!AT51</f>
        <v>0</v>
      </c>
      <c r="L64" s="138" t="str">
        <f t="shared" ref="L64" si="259">IF(K$41=0,"N.D.",K64/K$41)</f>
        <v>N.D.</v>
      </c>
      <c r="M64" s="11">
        <f>TablasERxDiv!BC51</f>
        <v>0</v>
      </c>
      <c r="N64" s="138" t="str">
        <f t="shared" ref="N64" si="260">IF(M$41=0,"N.D.",M64/M$41)</f>
        <v>N.D.</v>
      </c>
      <c r="O64" s="11">
        <f>K64+E64+C64+M64+G64+I64</f>
        <v>0</v>
      </c>
      <c r="P64" s="138" t="str">
        <f t="shared" ref="P64" si="261">IF(O$41=0,"N.D.",O64/O$41)</f>
        <v>N.D.</v>
      </c>
    </row>
    <row r="65" spans="2:48" x14ac:dyDescent="0.35">
      <c r="B65" s="4" t="s">
        <v>21</v>
      </c>
      <c r="C65" s="14"/>
      <c r="D65" s="139" t="str">
        <f t="shared" si="250"/>
        <v>N.D.</v>
      </c>
      <c r="E65" s="14">
        <f>E61-E63-E64</f>
        <v>0</v>
      </c>
      <c r="F65" s="139" t="str">
        <f t="shared" si="251"/>
        <v>N.D.</v>
      </c>
      <c r="G65" s="14">
        <f>G61-G63-G64</f>
        <v>0</v>
      </c>
      <c r="H65" s="139" t="str">
        <f t="shared" ref="H65" si="262">IF(G$41=0,"N.D.",G65/G$41)</f>
        <v>N.D.</v>
      </c>
      <c r="I65" s="14">
        <f>I61-I63-I64</f>
        <v>0</v>
      </c>
      <c r="J65" s="139" t="str">
        <f t="shared" ref="J65" si="263">IF(I$41=0,"N.D.",I65/I$41)</f>
        <v>N.D.</v>
      </c>
      <c r="K65" s="14">
        <f>K61-K63-K64</f>
        <v>0</v>
      </c>
      <c r="L65" s="139" t="str">
        <f t="shared" ref="L65" si="264">IF(K$41=0,"N.D.",K65/K$41)</f>
        <v>N.D.</v>
      </c>
      <c r="M65" s="14">
        <f>M61-M63-M64</f>
        <v>0</v>
      </c>
      <c r="N65" s="139" t="str">
        <f t="shared" ref="N65" si="265">IF(M$41=0,"N.D.",M65/M$41)</f>
        <v>N.D.</v>
      </c>
      <c r="O65" s="14">
        <f>O61-O63-O64</f>
        <v>-1</v>
      </c>
      <c r="P65" s="139" t="str">
        <f t="shared" ref="P65" si="266">IF(O$41=0,"N.D.",O65/O$41)</f>
        <v>N.D.</v>
      </c>
    </row>
    <row r="66" spans="2:48" x14ac:dyDescent="0.35">
      <c r="B66" s="4" t="s">
        <v>22</v>
      </c>
      <c r="C66" s="20"/>
      <c r="D66" s="142" t="str">
        <f t="shared" si="250"/>
        <v>N.D.</v>
      </c>
      <c r="E66" s="20">
        <f>E53+E47</f>
        <v>0</v>
      </c>
      <c r="F66" s="142" t="str">
        <f t="shared" si="251"/>
        <v>N.D.</v>
      </c>
      <c r="G66" s="20">
        <f>G53+G47</f>
        <v>0</v>
      </c>
      <c r="H66" s="142" t="str">
        <f t="shared" ref="H66" si="267">IF(G$41=0,"N.D.",G66/G$41)</f>
        <v>N.D.</v>
      </c>
      <c r="I66" s="20">
        <f>I53+I47</f>
        <v>0</v>
      </c>
      <c r="J66" s="142" t="str">
        <f t="shared" ref="J66" si="268">IF(I$41=0,"N.D.",I66/I$41)</f>
        <v>N.D.</v>
      </c>
      <c r="K66" s="20">
        <f>K53+K47</f>
        <v>0</v>
      </c>
      <c r="L66" s="142" t="str">
        <f t="shared" ref="L66" si="269">IF(K$41=0,"N.D.",K66/K$41)</f>
        <v>N.D.</v>
      </c>
      <c r="M66" s="20">
        <f>M53+M47</f>
        <v>0</v>
      </c>
      <c r="N66" s="142" t="str">
        <f t="shared" ref="N66" si="270">IF(M$41=0,"N.D.",M66/M$41)</f>
        <v>N.D.</v>
      </c>
      <c r="O66" s="20">
        <f>O53+O47</f>
        <v>0</v>
      </c>
      <c r="P66" s="142" t="str">
        <f t="shared" ref="P66" si="271">IF(O$41=0,"N.D.",O66/O$41)</f>
        <v>N.D.</v>
      </c>
    </row>
    <row r="67" spans="2:48" x14ac:dyDescent="0.35">
      <c r="B67" s="4" t="s">
        <v>36</v>
      </c>
      <c r="C67" s="20"/>
      <c r="D67" s="142" t="str">
        <f t="shared" si="250"/>
        <v>N.D.</v>
      </c>
      <c r="E67" s="20">
        <f>division!B16+E65+E47</f>
        <v>0</v>
      </c>
      <c r="F67" s="142" t="str">
        <f t="shared" si="251"/>
        <v>N.D.</v>
      </c>
      <c r="G67" s="20">
        <f>+G65+G55+G47</f>
        <v>0</v>
      </c>
      <c r="H67" s="142" t="str">
        <f t="shared" ref="H67" si="272">IF(G$41=0,"N.D.",G67/G$41)</f>
        <v>N.D.</v>
      </c>
      <c r="I67" s="20">
        <f>+I65+I55+I47</f>
        <v>0</v>
      </c>
      <c r="J67" s="142" t="str">
        <f t="shared" ref="J67" si="273">IF(I$41=0,"N.D.",I67/I$41)</f>
        <v>N.D.</v>
      </c>
      <c r="K67" s="20">
        <f>+K65+K55+K47</f>
        <v>0</v>
      </c>
      <c r="L67" s="142" t="str">
        <f t="shared" ref="L67" si="274">IF(K$41=0,"N.D.",K67/K$41)</f>
        <v>N.D.</v>
      </c>
      <c r="M67" s="20">
        <f>+M65+M55+M47</f>
        <v>0</v>
      </c>
      <c r="N67" s="142" t="str">
        <f t="shared" ref="N67" si="275">IF(M$41=0,"N.D.",M67/M$41)</f>
        <v>N.D.</v>
      </c>
      <c r="O67" s="20">
        <f>-intereses+E67+G67+I67+K67+M67</f>
        <v>-1</v>
      </c>
      <c r="P67" s="142" t="str">
        <f t="shared" ref="P67" si="276">IF(O$41=0,"N.D.",O67/O$41)</f>
        <v>N.D.</v>
      </c>
    </row>
    <row r="68" spans="2:48" x14ac:dyDescent="0.35">
      <c r="B68" s="7" t="s">
        <v>37</v>
      </c>
      <c r="C68" s="34"/>
      <c r="D68" s="298" t="str">
        <f t="shared" si="250"/>
        <v>N.D.</v>
      </c>
      <c r="E68" s="34">
        <f>division!B14</f>
        <v>0</v>
      </c>
      <c r="F68" s="298" t="str">
        <f t="shared" si="251"/>
        <v>N.D.</v>
      </c>
      <c r="G68" s="34">
        <f>'mxn-dll'!N32</f>
        <v>0</v>
      </c>
      <c r="H68" s="298" t="str">
        <f t="shared" ref="H68" si="277">IF(G$41=0,"N.D.",G68/G$41)</f>
        <v>N.D.</v>
      </c>
      <c r="I68" s="34">
        <f>'mxn-dll'!AC32</f>
        <v>0</v>
      </c>
      <c r="J68" s="298" t="str">
        <f t="shared" ref="J68" si="278">IF(I$41=0,"N.D.",I68/I$41)</f>
        <v>N.D.</v>
      </c>
      <c r="K68" s="34">
        <f>division!E14</f>
        <v>0</v>
      </c>
      <c r="L68" s="298" t="str">
        <f t="shared" ref="L68" si="279">IF(K$41=0,"N.D.",K68/K$41)</f>
        <v>N.D.</v>
      </c>
      <c r="M68" s="34">
        <f>division!F14</f>
        <v>0</v>
      </c>
      <c r="N68" s="298" t="str">
        <f t="shared" ref="N68" si="280">IF(M$41=0,"N.D.",M68/M$41)</f>
        <v>N.D.</v>
      </c>
      <c r="O68" s="34">
        <f>+M68+K68+G68+E68+C68+AG50+I68+Q68</f>
        <v>0</v>
      </c>
      <c r="P68" s="298" t="str">
        <f t="shared" ref="P68" si="281">IF(O$41=0,"N.D.",O68/O$41)</f>
        <v>N.D.</v>
      </c>
      <c r="Q68">
        <f>capital_acum - intereses_acum</f>
        <v>0</v>
      </c>
      <c r="R68" t="s">
        <v>415</v>
      </c>
    </row>
    <row r="69" spans="2:48" x14ac:dyDescent="0.35">
      <c r="B69" s="4" t="s">
        <v>38</v>
      </c>
      <c r="C69" s="20"/>
      <c r="D69" s="142" t="str">
        <f t="shared" si="250"/>
        <v>N.D.</v>
      </c>
      <c r="E69" s="20">
        <f>+E67-E68</f>
        <v>0</v>
      </c>
      <c r="F69" s="142" t="str">
        <f t="shared" si="251"/>
        <v>N.D.</v>
      </c>
      <c r="G69" s="20">
        <f>+G67-G68</f>
        <v>0</v>
      </c>
      <c r="H69" s="142" t="str">
        <f t="shared" ref="H69" si="282">IF(G$41=0,"N.D.",G69/G$41)</f>
        <v>N.D.</v>
      </c>
      <c r="I69" s="20">
        <f>+I67-I68</f>
        <v>0</v>
      </c>
      <c r="J69" s="142" t="str">
        <f t="shared" ref="J69" si="283">IF(I$41=0,"N.D.",I69/I$41)</f>
        <v>N.D.</v>
      </c>
      <c r="K69" s="20">
        <f>+K67-K68</f>
        <v>0</v>
      </c>
      <c r="L69" s="142" t="str">
        <f t="shared" ref="L69" si="284">IF(K$41=0,"N.D.",K69/K$41)</f>
        <v>N.D.</v>
      </c>
      <c r="M69" s="20">
        <f>+M67-M68</f>
        <v>0</v>
      </c>
      <c r="N69" s="142" t="str">
        <f t="shared" ref="N69" si="285">IF(M$41=0,"N.D.",M69/M$41)</f>
        <v>N.D.</v>
      </c>
      <c r="O69" s="20">
        <f>+O67-O68</f>
        <v>-1</v>
      </c>
      <c r="P69" s="142" t="str">
        <f t="shared" ref="P69" si="286">IF(O$41=0,"N.D.",O69/O$41)</f>
        <v>N.D.</v>
      </c>
    </row>
    <row r="70" spans="2:48" x14ac:dyDescent="0.35">
      <c r="B70" s="7" t="s">
        <v>39</v>
      </c>
      <c r="C70" s="34"/>
      <c r="D70" s="298" t="str">
        <f t="shared" si="250"/>
        <v>N.D.</v>
      </c>
      <c r="E70" s="34">
        <f>division!B15</f>
        <v>0</v>
      </c>
      <c r="F70" s="298" t="str">
        <f t="shared" si="251"/>
        <v>N.D.</v>
      </c>
      <c r="G70" s="34">
        <f>'mxn-dll'!N34</f>
        <v>0</v>
      </c>
      <c r="H70" s="298" t="str">
        <f t="shared" ref="H70" si="287">IF(G$41=0,"N.D.",G70/G$41)</f>
        <v>N.D.</v>
      </c>
      <c r="I70" s="34">
        <f>'mxn-dll'!AC34</f>
        <v>0</v>
      </c>
      <c r="J70" s="298" t="str">
        <f t="shared" ref="J70" si="288">IF(I$41=0,"N.D.",I70/I$41)</f>
        <v>N.D.</v>
      </c>
      <c r="K70" s="34">
        <f>division!E15</f>
        <v>0</v>
      </c>
      <c r="L70" s="298" t="str">
        <f t="shared" ref="L70" si="289">IF(K$41=0,"N.D.",K70/K$41)</f>
        <v>N.D.</v>
      </c>
      <c r="M70" s="34">
        <f>division!F15</f>
        <v>0</v>
      </c>
      <c r="N70" s="298" t="str">
        <f t="shared" ref="N70" si="290">IF(M$41=0,"N.D.",M70/M$41)</f>
        <v>N.D.</v>
      </c>
      <c r="O70" s="34">
        <f>+G70+M70+C70+E70+K70+I70</f>
        <v>0</v>
      </c>
      <c r="P70" s="298" t="str">
        <f t="shared" ref="P70" si="291">IF(O$41=0,"N.D.",O70/O$41)</f>
        <v>N.D.</v>
      </c>
    </row>
    <row r="71" spans="2:48" x14ac:dyDescent="0.35">
      <c r="B71" s="4" t="s">
        <v>40</v>
      </c>
      <c r="C71" s="20"/>
      <c r="D71" s="142" t="str">
        <f t="shared" si="250"/>
        <v>N.D.</v>
      </c>
      <c r="E71" s="20">
        <f>+E69-E70</f>
        <v>0</v>
      </c>
      <c r="F71" s="142" t="str">
        <f t="shared" si="251"/>
        <v>N.D.</v>
      </c>
      <c r="G71" s="20">
        <f>+G69-G70</f>
        <v>0</v>
      </c>
      <c r="H71" s="142" t="str">
        <f t="shared" ref="H71" si="292">IF(G$41=0,"N.D.",G71/G$41)</f>
        <v>N.D.</v>
      </c>
      <c r="I71" s="20">
        <f>+I69-I70</f>
        <v>0</v>
      </c>
      <c r="J71" s="142" t="str">
        <f t="shared" ref="J71" si="293">IF(I$41=0,"N.D.",I71/I$41)</f>
        <v>N.D.</v>
      </c>
      <c r="K71" s="20">
        <f>+K69-K70</f>
        <v>0</v>
      </c>
      <c r="L71" s="142" t="str">
        <f t="shared" ref="L71" si="294">IF(K$41=0,"N.D.",K71/K$41)</f>
        <v>N.D.</v>
      </c>
      <c r="M71" s="20">
        <f>+M69-M70</f>
        <v>0</v>
      </c>
      <c r="N71" s="142" t="str">
        <f t="shared" ref="N71" si="295">IF(M$41=0,"N.D.",M71/M$41)</f>
        <v>N.D.</v>
      </c>
      <c r="O71" s="20">
        <f>+O69-O70</f>
        <v>-1</v>
      </c>
      <c r="P71" s="142" t="str">
        <f t="shared" ref="P71" si="296">IF(O$41=0,"N.D.",O71/O$41)</f>
        <v>N.D.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69" t="s">
        <v>369</v>
      </c>
      <c r="E75" s="372"/>
      <c r="F75" s="372"/>
      <c r="G75" s="372"/>
      <c r="H75" s="372"/>
      <c r="I75" s="372"/>
      <c r="J75" s="372"/>
      <c r="K75" s="372"/>
      <c r="L75" s="372"/>
      <c r="M75" s="372"/>
      <c r="N75" s="372"/>
      <c r="O75" s="372"/>
      <c r="P75" s="372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/>
      <c r="D77" s="29" t="str">
        <f>IF(C$77=0,"N.D.",C77/C$77)</f>
        <v>N.D.</v>
      </c>
      <c r="E77" s="8">
        <f>E4/TC_MES</f>
        <v>0</v>
      </c>
      <c r="F77" s="137" t="str">
        <f t="shared" ref="F77:F79" si="297">IF(E$77=0,"N.D.",E77/E$77)</f>
        <v>N.D.</v>
      </c>
      <c r="G77" s="8">
        <f>G4/TC_MES</f>
        <v>0</v>
      </c>
      <c r="H77" s="137" t="str">
        <f t="shared" ref="H77:H79" si="298">IF(G$77=0,"N.D.",G77/G$77)</f>
        <v>N.D.</v>
      </c>
      <c r="I77" s="8">
        <f>I4/TC_MES</f>
        <v>0</v>
      </c>
      <c r="J77" s="137" t="str">
        <f t="shared" ref="J77:J85" si="299">IF(I$77=0,"N.D.",I77/I$77)</f>
        <v>N.D.</v>
      </c>
      <c r="K77" s="8">
        <f>K4/TC_MES</f>
        <v>0</v>
      </c>
      <c r="L77" s="137" t="str">
        <f t="shared" ref="L77:L79" si="300">IF(K$77=0,"N.D.",K77/K$77)</f>
        <v>N.D.</v>
      </c>
      <c r="M77" s="8">
        <f>M4/TC_MES</f>
        <v>0</v>
      </c>
      <c r="N77" s="137" t="str">
        <f t="shared" ref="N77:N79" si="301">IF(M$77=0,"N.D.",M77/M$77)</f>
        <v>N.D.</v>
      </c>
      <c r="O77" s="8">
        <f>O4/TC_MES</f>
        <v>0</v>
      </c>
      <c r="P77" s="137" t="str">
        <f t="shared" ref="P77:P79" si="302">IF(O$77=0,"N.D.",O77/O$77)</f>
        <v>N.D.</v>
      </c>
      <c r="Q77" s="25"/>
      <c r="R77" s="7" t="s">
        <v>5</v>
      </c>
      <c r="S77" s="8"/>
      <c r="T77" s="29"/>
      <c r="U77" s="8"/>
      <c r="V77" s="29"/>
      <c r="W77" s="8">
        <f>(BDER!K466+BDER!K489+BDER!K556+BDER!K601)/1000</f>
        <v>0</v>
      </c>
      <c r="X77" s="29" t="str">
        <f>IF(W$77=0,"N.D.",W77/W$77)</f>
        <v>N.D.</v>
      </c>
      <c r="Y77" s="8">
        <f>(BDER!K512+BDER!K534+BDER!K579+BDER!K624+BDER!K646)/1000</f>
        <v>0</v>
      </c>
      <c r="Z77" s="29" t="str">
        <f>IF(Y$77=0,"N.D.",Y77/Y$77)</f>
        <v>N.D.</v>
      </c>
      <c r="AA77" s="8"/>
      <c r="AB77" s="29"/>
      <c r="AC77" s="8"/>
      <c r="AD77" s="29"/>
      <c r="AE77" s="8">
        <f>+AA77+U77+S77+AC77+W77+Y77</f>
        <v>0</v>
      </c>
      <c r="AF77" s="29" t="str">
        <f t="shared" ref="AF77:AF79" si="303">IF(AE$4=0,"N.D.",AE77/AE$4)</f>
        <v>N.D.</v>
      </c>
      <c r="AH77" s="7" t="s">
        <v>5</v>
      </c>
      <c r="AI77" s="8"/>
      <c r="AJ77" s="29"/>
      <c r="AK77" s="8"/>
      <c r="AL77" s="29"/>
      <c r="AM77" s="8">
        <f>(BDER!G466+BDER!G489+BDER!G556+BDER!G601)/1000</f>
        <v>0</v>
      </c>
      <c r="AN77" s="29" t="str">
        <f>IF(AM$77=0,"N.D.",AM77/AM$77)</f>
        <v>N.D.</v>
      </c>
      <c r="AO77" s="8">
        <f>(BDER!G512+BDER!G534+BDER!G579+BDER!G624+BDER!G646)/1000</f>
        <v>0</v>
      </c>
      <c r="AP77" s="29" t="str">
        <f>IF(AO$77=0,"N.D.",AO77/AO$77)</f>
        <v>N.D.</v>
      </c>
      <c r="AQ77" s="8"/>
      <c r="AR77" s="29"/>
      <c r="AS77" s="8"/>
      <c r="AT77" s="29"/>
      <c r="AU77" s="8">
        <f>+AQ77+AK77+AI77+AS77+AM77+AO77</f>
        <v>0</v>
      </c>
      <c r="AV77" s="29" t="str">
        <f t="shared" ref="AV77:AV79" si="304">IF(AU$4=0,"N.D.",AU77/AU$4)</f>
        <v>N.D.</v>
      </c>
    </row>
    <row r="78" spans="2:48" x14ac:dyDescent="0.35">
      <c r="B78" s="7" t="s">
        <v>6</v>
      </c>
      <c r="C78" s="34"/>
      <c r="D78" s="189" t="str">
        <f t="shared" ref="D78:D79" si="305">IF(C$77=0,"N.D.",C78/C$77)</f>
        <v>N.D.</v>
      </c>
      <c r="E78" s="11">
        <f>E5/TC_MES</f>
        <v>0</v>
      </c>
      <c r="F78" s="138" t="str">
        <f t="shared" si="297"/>
        <v>N.D.</v>
      </c>
      <c r="G78" s="11">
        <f>G5/TC_MES</f>
        <v>0</v>
      </c>
      <c r="H78" s="138" t="str">
        <f t="shared" si="298"/>
        <v>N.D.</v>
      </c>
      <c r="I78" s="11">
        <f>I5/TC_MES</f>
        <v>0</v>
      </c>
      <c r="J78" s="138" t="str">
        <f t="shared" si="299"/>
        <v>N.D.</v>
      </c>
      <c r="K78" s="11">
        <f>K5/TC_MES</f>
        <v>0</v>
      </c>
      <c r="L78" s="138" t="str">
        <f t="shared" si="300"/>
        <v>N.D.</v>
      </c>
      <c r="M78" s="11">
        <f>M5/TC_MES</f>
        <v>0</v>
      </c>
      <c r="N78" s="138" t="str">
        <f t="shared" si="301"/>
        <v>N.D.</v>
      </c>
      <c r="O78" s="11">
        <f>O5/TC_MES</f>
        <v>0</v>
      </c>
      <c r="P78" s="138" t="str">
        <f t="shared" si="302"/>
        <v>N.D.</v>
      </c>
      <c r="Q78" s="25"/>
      <c r="R78" s="7" t="s">
        <v>6</v>
      </c>
      <c r="S78" s="8"/>
      <c r="T78" s="42"/>
      <c r="U78" s="8"/>
      <c r="V78" s="42"/>
      <c r="W78" s="8">
        <f>(BDER!K467+BDER!K490+BDER!K557+BDER!K602)/1000</f>
        <v>0</v>
      </c>
      <c r="X78" s="42" t="str">
        <f t="shared" ref="X78:X79" si="306">IF(W$77=0,"N.D.",W78/W$77)</f>
        <v>N.D.</v>
      </c>
      <c r="Y78" s="8">
        <f>(BDER!K513+BDER!K535+BDER!K580+BDER!K625+BDER!K647)/1000</f>
        <v>0</v>
      </c>
      <c r="Z78" s="42" t="str">
        <f t="shared" ref="Z78:Z79" si="307">IF(Y$77=0,"N.D.",Y78/Y$77)</f>
        <v>N.D.</v>
      </c>
      <c r="AA78" s="8"/>
      <c r="AB78" s="42"/>
      <c r="AC78" s="8"/>
      <c r="AD78" s="42"/>
      <c r="AE78" s="11">
        <f>+AA78+U78+S78+AC78+W78+Y78</f>
        <v>0</v>
      </c>
      <c r="AF78" s="42" t="str">
        <f t="shared" si="303"/>
        <v>N.D.</v>
      </c>
      <c r="AH78" s="7" t="s">
        <v>6</v>
      </c>
      <c r="AI78" s="8"/>
      <c r="AJ78" s="42"/>
      <c r="AK78" s="8"/>
      <c r="AL78" s="42"/>
      <c r="AM78" s="8">
        <f>(BDER!G467+BDER!G490+BDER!G557+BDER!G602)/1000</f>
        <v>0</v>
      </c>
      <c r="AN78" s="42" t="str">
        <f t="shared" ref="AN78:AN79" si="308">IF(AM$77=0,"N.D.",AM78/AM$77)</f>
        <v>N.D.</v>
      </c>
      <c r="AO78" s="8">
        <f>(BDER!G513+BDER!G535+BDER!G580+BDER!G625+BDER!G647)/1000</f>
        <v>0</v>
      </c>
      <c r="AP78" s="42" t="str">
        <f t="shared" ref="AP78:AP79" si="309">IF(AO$77=0,"N.D.",AO78/AO$77)</f>
        <v>N.D.</v>
      </c>
      <c r="AQ78" s="8"/>
      <c r="AR78" s="42"/>
      <c r="AS78" s="8"/>
      <c r="AT78" s="42"/>
      <c r="AU78" s="11">
        <f>+AQ78+AK78+AI78+AS78+AM78+AO78</f>
        <v>0</v>
      </c>
      <c r="AV78" s="42" t="str">
        <f t="shared" si="304"/>
        <v>N.D.</v>
      </c>
    </row>
    <row r="79" spans="2:48" x14ac:dyDescent="0.35">
      <c r="B79" s="4" t="s">
        <v>7</v>
      </c>
      <c r="C79" s="20"/>
      <c r="D79" s="139" t="str">
        <f t="shared" si="305"/>
        <v>N.D.</v>
      </c>
      <c r="E79" s="14">
        <f>E6/TC_MES</f>
        <v>0</v>
      </c>
      <c r="F79" s="139" t="str">
        <f t="shared" si="297"/>
        <v>N.D.</v>
      </c>
      <c r="G79" s="14">
        <f>G6/TC_MES</f>
        <v>0</v>
      </c>
      <c r="H79" s="139" t="str">
        <f t="shared" si="298"/>
        <v>N.D.</v>
      </c>
      <c r="I79" s="14">
        <f>I6/TC_MES</f>
        <v>0</v>
      </c>
      <c r="J79" s="139" t="str">
        <f t="shared" si="299"/>
        <v>N.D.</v>
      </c>
      <c r="K79" s="14">
        <f>K6/TC_MES</f>
        <v>0</v>
      </c>
      <c r="L79" s="139" t="str">
        <f t="shared" si="300"/>
        <v>N.D.</v>
      </c>
      <c r="M79" s="14">
        <f>M6/TC_MES</f>
        <v>0</v>
      </c>
      <c r="N79" s="139" t="str">
        <f t="shared" si="301"/>
        <v>N.D.</v>
      </c>
      <c r="O79" s="14">
        <f>O6/TC_MES</f>
        <v>0</v>
      </c>
      <c r="P79" s="139" t="str">
        <f t="shared" si="302"/>
        <v>N.D.</v>
      </c>
      <c r="Q79" s="25"/>
      <c r="R79" s="4" t="s">
        <v>7</v>
      </c>
      <c r="S79" s="14"/>
      <c r="T79" s="43"/>
      <c r="U79" s="14"/>
      <c r="V79" s="43"/>
      <c r="W79" s="14">
        <f>W77-W78</f>
        <v>0</v>
      </c>
      <c r="X79" s="43" t="str">
        <f t="shared" si="306"/>
        <v>N.D.</v>
      </c>
      <c r="Y79" s="14">
        <f>Y77-Y78</f>
        <v>0</v>
      </c>
      <c r="Z79" s="43" t="str">
        <f t="shared" si="307"/>
        <v>N.D.</v>
      </c>
      <c r="AA79" s="14"/>
      <c r="AB79" s="43"/>
      <c r="AC79" s="14"/>
      <c r="AD79" s="43"/>
      <c r="AE79" s="14">
        <f>AE77-AE78</f>
        <v>0</v>
      </c>
      <c r="AF79" s="43" t="str">
        <f t="shared" si="303"/>
        <v>N.D.</v>
      </c>
      <c r="AH79" s="4" t="s">
        <v>7</v>
      </c>
      <c r="AI79" s="14"/>
      <c r="AJ79" s="43"/>
      <c r="AK79" s="14"/>
      <c r="AL79" s="43"/>
      <c r="AM79" s="14">
        <f>+AM77-AM78</f>
        <v>0</v>
      </c>
      <c r="AN79" s="43" t="str">
        <f t="shared" si="308"/>
        <v>N.D.</v>
      </c>
      <c r="AO79" s="14">
        <f>+AO77-AO78</f>
        <v>0</v>
      </c>
      <c r="AP79" s="43" t="str">
        <f t="shared" si="309"/>
        <v>N.D.</v>
      </c>
      <c r="AQ79" s="14"/>
      <c r="AR79" s="43"/>
      <c r="AS79" s="14"/>
      <c r="AT79" s="43"/>
      <c r="AU79" s="14">
        <f>+AQ79+AK79+AI79+AS79+AM79+AO79</f>
        <v>0</v>
      </c>
      <c r="AV79" s="43" t="str">
        <f t="shared" si="304"/>
        <v>N.D.</v>
      </c>
    </row>
    <row r="80" spans="2:48" x14ac:dyDescent="0.35">
      <c r="B80" s="1"/>
      <c r="C80" s="30"/>
      <c r="D80" s="140"/>
      <c r="E80" s="30"/>
      <c r="F80" s="140"/>
      <c r="G80" s="30"/>
      <c r="H80" s="140"/>
      <c r="I80" s="30"/>
      <c r="J80" s="140"/>
      <c r="K80" s="30"/>
      <c r="L80" s="140"/>
      <c r="M80" s="30"/>
      <c r="N80" s="140"/>
      <c r="O80" s="30"/>
      <c r="P80" s="140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/>
      <c r="D81" s="141" t="str">
        <f t="shared" ref="D81:D85" si="310">IF(C$77=0,"N.D.",C81/C$77)</f>
        <v>N.D.</v>
      </c>
      <c r="E81" s="8">
        <f>E8/TC_MES</f>
        <v>0</v>
      </c>
      <c r="F81" s="141" t="str">
        <f t="shared" ref="F81:F85" si="311">IF(E$77=0,"N.D.",E81/E$77)</f>
        <v>N.D.</v>
      </c>
      <c r="G81" s="8">
        <f>G8/TC_MES</f>
        <v>0</v>
      </c>
      <c r="H81" s="141" t="str">
        <f t="shared" ref="H81:H85" si="312">IF(G$77=0,"N.D.",G81/G$77)</f>
        <v>N.D.</v>
      </c>
      <c r="I81" s="8">
        <f>I8/TC_MES</f>
        <v>0</v>
      </c>
      <c r="J81" s="141" t="str">
        <f t="shared" si="299"/>
        <v>N.D.</v>
      </c>
      <c r="K81" s="8">
        <f>K8/TC_MES</f>
        <v>0</v>
      </c>
      <c r="L81" s="141" t="str">
        <f t="shared" ref="L81:L85" si="313">IF(K$77=0,"N.D.",K81/K$77)</f>
        <v>N.D.</v>
      </c>
      <c r="M81" s="8">
        <f>M8/TC_MES</f>
        <v>0</v>
      </c>
      <c r="N81" s="141" t="str">
        <f t="shared" ref="N81:N85" si="314">IF(M$77=0,"N.D.",M81/M$77)</f>
        <v>N.D.</v>
      </c>
      <c r="O81" s="8">
        <f>O8/TC_MES</f>
        <v>0</v>
      </c>
      <c r="P81" s="141" t="str">
        <f t="shared" ref="P81:P85" si="315">IF(O$77=0,"N.D.",O81/O$77)</f>
        <v>N.D.</v>
      </c>
      <c r="Q81" s="25"/>
      <c r="R81" s="7" t="s">
        <v>8</v>
      </c>
      <c r="S81" s="8"/>
      <c r="T81" s="29"/>
      <c r="U81" s="8"/>
      <c r="V81" s="29"/>
      <c r="W81" s="8">
        <f>(BDER!K470+BDER!K493+BDER!K560+BDER!K605)/1000</f>
        <v>0</v>
      </c>
      <c r="X81" s="29" t="str">
        <f t="shared" ref="X81:X85" si="316">IF(W$77=0,"N.D.",W81/W$77)</f>
        <v>N.D.</v>
      </c>
      <c r="Y81" s="8">
        <f>(BDER!K515+BDER!K537+BDER!K582+BDER!K627+BDER!K649)/1000</f>
        <v>0</v>
      </c>
      <c r="Z81" s="29" t="str">
        <f t="shared" ref="Z81:Z83" si="317">IF(Y$77=0,"N.D.",Y81/Y$77)</f>
        <v>N.D.</v>
      </c>
      <c r="AA81" s="8"/>
      <c r="AB81" s="29"/>
      <c r="AC81" s="8"/>
      <c r="AD81" s="29"/>
      <c r="AE81" s="8">
        <f>+AA81+U81+S81+AC81+W81+Y81</f>
        <v>0</v>
      </c>
      <c r="AF81" s="29" t="str">
        <f t="shared" ref="AF81:AF85" si="318">IF(AE$4=0,"N.D.",AE81/AE$4)</f>
        <v>N.D.</v>
      </c>
      <c r="AH81" s="7" t="s">
        <v>8</v>
      </c>
      <c r="AI81" s="8"/>
      <c r="AJ81" s="29"/>
      <c r="AK81" s="8"/>
      <c r="AL81" s="29"/>
      <c r="AM81" s="8">
        <f>(BDER!G470+BDER!G493+BDER!G560+BDER!G605)/1000</f>
        <v>0</v>
      </c>
      <c r="AN81" s="29" t="str">
        <f t="shared" ref="AN81:AN85" si="319">IF(AM$77=0,"N.D.",AM81/AM$77)</f>
        <v>N.D.</v>
      </c>
      <c r="AO81" s="8">
        <f>(BDER!G515+BDER!G537+BDER!G582+BDER!G627+BDER!G649)/1000</f>
        <v>0</v>
      </c>
      <c r="AP81" s="29" t="str">
        <f t="shared" ref="AP81:AP85" si="320">IF(AO$77=0,"N.D.",AO81/AO$77)</f>
        <v>N.D.</v>
      </c>
      <c r="AQ81" s="8"/>
      <c r="AR81" s="29"/>
      <c r="AS81" s="8"/>
      <c r="AT81" s="29"/>
      <c r="AU81" s="8">
        <f>+AQ81+AK81+AI81+AS81+AM81+AO81</f>
        <v>0</v>
      </c>
      <c r="AV81" s="29" t="str">
        <f t="shared" ref="AV81:AV85" si="321">IF(AU$4=0,"N.D.",AU81/AU$4)</f>
        <v>N.D.</v>
      </c>
    </row>
    <row r="82" spans="2:48" x14ac:dyDescent="0.35">
      <c r="B82" s="7" t="s">
        <v>9</v>
      </c>
      <c r="C82" s="11"/>
      <c r="D82" s="138" t="str">
        <f t="shared" si="310"/>
        <v>N.D.</v>
      </c>
      <c r="E82" s="11">
        <f>E9/TC_MES+E14/TC_MES+E15/TC_MES</f>
        <v>0</v>
      </c>
      <c r="F82" s="138" t="str">
        <f t="shared" si="311"/>
        <v>N.D.</v>
      </c>
      <c r="G82" s="11">
        <f>G9/TC_MES+G14/TC_MES+G15/TC_MES</f>
        <v>0</v>
      </c>
      <c r="H82" s="138" t="str">
        <f t="shared" si="312"/>
        <v>N.D.</v>
      </c>
      <c r="I82" s="11">
        <f>I9/TC_MES+I14/TC_MES+I15/TC_MES</f>
        <v>0</v>
      </c>
      <c r="J82" s="138" t="str">
        <f t="shared" si="299"/>
        <v>N.D.</v>
      </c>
      <c r="K82" s="11">
        <f>K9/TC_MES+K14/TC_MES+K15/TC_MES</f>
        <v>0</v>
      </c>
      <c r="L82" s="138" t="str">
        <f t="shared" si="313"/>
        <v>N.D.</v>
      </c>
      <c r="M82" s="11">
        <f>M9/TC_MES+M14/TC_MES+M15/TC_MES</f>
        <v>0</v>
      </c>
      <c r="N82" s="138" t="str">
        <f t="shared" si="314"/>
        <v>N.D.</v>
      </c>
      <c r="O82" s="11">
        <f>O9/TC_MES+O14/TC_MES+O15/TC_MES</f>
        <v>0</v>
      </c>
      <c r="P82" s="138" t="str">
        <f t="shared" si="315"/>
        <v>N.D.</v>
      </c>
      <c r="Q82" s="25"/>
      <c r="R82" s="7" t="s">
        <v>9</v>
      </c>
      <c r="S82" s="8"/>
      <c r="T82" s="42"/>
      <c r="U82" s="8"/>
      <c r="V82" s="42"/>
      <c r="W82" s="8">
        <f>(BDER!K471+BDER!K494+BDER!K561+BDER!K606)/1000</f>
        <v>0</v>
      </c>
      <c r="X82" s="42" t="str">
        <f t="shared" si="316"/>
        <v>N.D.</v>
      </c>
      <c r="Y82" s="8">
        <f>(BDER!K516+BDER!K538+BDER!K583+BDER!K628+BDER!K650)/1000</f>
        <v>0</v>
      </c>
      <c r="Z82" s="42" t="str">
        <f t="shared" si="317"/>
        <v>N.D.</v>
      </c>
      <c r="AA82" s="8"/>
      <c r="AB82" s="42"/>
      <c r="AC82" s="8"/>
      <c r="AD82" s="42"/>
      <c r="AE82" s="11">
        <f>+AA82+U82+S82+AC82+W82+Y82</f>
        <v>0</v>
      </c>
      <c r="AF82" s="42" t="str">
        <f t="shared" si="318"/>
        <v>N.D.</v>
      </c>
      <c r="AH82" s="7" t="s">
        <v>9</v>
      </c>
      <c r="AI82" s="8"/>
      <c r="AJ82" s="42"/>
      <c r="AK82" s="8"/>
      <c r="AL82" s="42"/>
      <c r="AM82" s="8">
        <f>(BDER!G471+BDER!G494+BDER!G561+BDER!G606)/1000</f>
        <v>0</v>
      </c>
      <c r="AN82" s="42" t="str">
        <f t="shared" si="319"/>
        <v>N.D.</v>
      </c>
      <c r="AO82" s="8">
        <f>(BDER!G516+BDER!G538+BDER!G583+BDER!G628+BDER!G650)/1000</f>
        <v>0</v>
      </c>
      <c r="AP82" s="42" t="str">
        <f t="shared" si="320"/>
        <v>N.D.</v>
      </c>
      <c r="AQ82" s="8"/>
      <c r="AR82" s="42"/>
      <c r="AS82" s="8"/>
      <c r="AT82" s="42"/>
      <c r="AU82" s="11">
        <f>+AQ82+AK82+AI82+AS82+AM82+AO82</f>
        <v>0</v>
      </c>
      <c r="AV82" s="42" t="str">
        <f t="shared" si="321"/>
        <v>N.D.</v>
      </c>
    </row>
    <row r="83" spans="2:48" x14ac:dyDescent="0.35">
      <c r="B83" s="7" t="s">
        <v>10</v>
      </c>
      <c r="C83" s="11"/>
      <c r="D83" s="138" t="str">
        <f t="shared" si="310"/>
        <v>N.D.</v>
      </c>
      <c r="E83" s="11">
        <f>E10/TC_MES</f>
        <v>0</v>
      </c>
      <c r="F83" s="138" t="str">
        <f t="shared" si="311"/>
        <v>N.D.</v>
      </c>
      <c r="G83" s="11">
        <f>G10/TC_MES</f>
        <v>0</v>
      </c>
      <c r="H83" s="138" t="str">
        <f t="shared" si="312"/>
        <v>N.D.</v>
      </c>
      <c r="I83" s="11">
        <f>I10/TC_MES</f>
        <v>0</v>
      </c>
      <c r="J83" s="138" t="str">
        <f t="shared" si="299"/>
        <v>N.D.</v>
      </c>
      <c r="K83" s="11">
        <f>K10/TC_MES</f>
        <v>0</v>
      </c>
      <c r="L83" s="138" t="str">
        <f t="shared" si="313"/>
        <v>N.D.</v>
      </c>
      <c r="M83" s="11">
        <f>M10/TC_MES</f>
        <v>0</v>
      </c>
      <c r="N83" s="138" t="str">
        <f t="shared" si="314"/>
        <v>N.D.</v>
      </c>
      <c r="O83" s="11">
        <f>O10/TC_MES</f>
        <v>0</v>
      </c>
      <c r="P83" s="138" t="str">
        <f t="shared" si="315"/>
        <v>N.D.</v>
      </c>
      <c r="Q83" s="25"/>
      <c r="R83" s="7" t="s">
        <v>10</v>
      </c>
      <c r="S83" s="8"/>
      <c r="T83" s="42"/>
      <c r="U83" s="8"/>
      <c r="V83" s="42"/>
      <c r="W83" s="8">
        <f>(BDER!K472+BDER!K495+BDER!K562+BDER!K607)/1000</f>
        <v>0</v>
      </c>
      <c r="X83" s="42" t="str">
        <f t="shared" si="316"/>
        <v>N.D.</v>
      </c>
      <c r="Y83" s="8">
        <f>(BDER!K517+BDER!K539+BDER!K584+BDER!K629+BDER!K651)/1000</f>
        <v>0</v>
      </c>
      <c r="Z83" s="42" t="str">
        <f t="shared" si="317"/>
        <v>N.D.</v>
      </c>
      <c r="AA83" s="8"/>
      <c r="AB83" s="42"/>
      <c r="AC83" s="8"/>
      <c r="AD83" s="42"/>
      <c r="AE83" s="11">
        <f>+AA83+U83+S83+AC83+W83+Y83</f>
        <v>0</v>
      </c>
      <c r="AF83" s="42" t="str">
        <f t="shared" si="318"/>
        <v>N.D.</v>
      </c>
      <c r="AH83" s="7" t="s">
        <v>10</v>
      </c>
      <c r="AI83" s="8"/>
      <c r="AJ83" s="42"/>
      <c r="AK83" s="8"/>
      <c r="AL83" s="42"/>
      <c r="AM83" s="8">
        <f>(BDER!G472+BDER!G495+BDER!G562+BDER!G607)/1000</f>
        <v>0</v>
      </c>
      <c r="AN83" s="42" t="str">
        <f t="shared" si="319"/>
        <v>N.D.</v>
      </c>
      <c r="AO83" s="8">
        <f>(BDER!G517+BDER!G539+BDER!G584+BDER!G629+BDER!G651)/1000</f>
        <v>0</v>
      </c>
      <c r="AP83" s="42" t="str">
        <f t="shared" si="320"/>
        <v>N.D.</v>
      </c>
      <c r="AQ83" s="8"/>
      <c r="AR83" s="42"/>
      <c r="AS83" s="8"/>
      <c r="AT83" s="42"/>
      <c r="AU83" s="11">
        <f>+AQ83+AK83+AI83+AS83+AM83+AO83</f>
        <v>0</v>
      </c>
      <c r="AV83" s="42" t="str">
        <f t="shared" si="321"/>
        <v>N.D.</v>
      </c>
    </row>
    <row r="84" spans="2:48" x14ac:dyDescent="0.35">
      <c r="B84" s="4" t="s">
        <v>11</v>
      </c>
      <c r="C84" s="14"/>
      <c r="D84" s="139" t="str">
        <f t="shared" si="310"/>
        <v>N.D.</v>
      </c>
      <c r="E84" s="14">
        <f>E11/TC_MES</f>
        <v>0</v>
      </c>
      <c r="F84" s="139" t="str">
        <f t="shared" si="311"/>
        <v>N.D.</v>
      </c>
      <c r="G84" s="14">
        <f>G11/TC_MES</f>
        <v>0</v>
      </c>
      <c r="H84" s="139" t="str">
        <f t="shared" si="312"/>
        <v>N.D.</v>
      </c>
      <c r="I84" s="14">
        <f>I11/TC_MES</f>
        <v>0</v>
      </c>
      <c r="J84" s="139" t="str">
        <f t="shared" si="299"/>
        <v>N.D.</v>
      </c>
      <c r="K84" s="14">
        <f>K11/TC_MES</f>
        <v>0</v>
      </c>
      <c r="L84" s="139" t="str">
        <f t="shared" si="313"/>
        <v>N.D.</v>
      </c>
      <c r="M84" s="14">
        <f>M11/TC_MES</f>
        <v>0</v>
      </c>
      <c r="N84" s="139" t="str">
        <f t="shared" si="314"/>
        <v>N.D.</v>
      </c>
      <c r="O84" s="14">
        <f>O11/TC_MES</f>
        <v>0</v>
      </c>
      <c r="P84" s="139" t="str">
        <f t="shared" si="315"/>
        <v>N.D.</v>
      </c>
      <c r="Q84" s="25"/>
      <c r="R84" s="4" t="s">
        <v>11</v>
      </c>
      <c r="S84" s="14"/>
      <c r="T84" s="43"/>
      <c r="U84" s="14"/>
      <c r="V84" s="43"/>
      <c r="W84" s="14">
        <f>SUM(W81:W83)</f>
        <v>0</v>
      </c>
      <c r="X84" s="43" t="str">
        <f t="shared" si="316"/>
        <v>N.D.</v>
      </c>
      <c r="Y84" s="14">
        <f>SUM(Y81:Y83)</f>
        <v>0</v>
      </c>
      <c r="Z84" s="43" t="str">
        <f>IF(Y$77=0,"N.D.",Y84/Y$77)</f>
        <v>N.D.</v>
      </c>
      <c r="AA84" s="14"/>
      <c r="AB84" s="43"/>
      <c r="AC84" s="14"/>
      <c r="AD84" s="43"/>
      <c r="AE84" s="14">
        <f>SUM(AE81:AE83)</f>
        <v>0</v>
      </c>
      <c r="AF84" s="43" t="str">
        <f t="shared" si="318"/>
        <v>N.D.</v>
      </c>
      <c r="AH84" s="4" t="s">
        <v>11</v>
      </c>
      <c r="AI84" s="14"/>
      <c r="AJ84" s="43"/>
      <c r="AK84" s="14"/>
      <c r="AL84" s="43"/>
      <c r="AM84" s="14">
        <f>SUM(AM81:AM83)</f>
        <v>0</v>
      </c>
      <c r="AN84" s="43" t="str">
        <f t="shared" si="319"/>
        <v>N.D.</v>
      </c>
      <c r="AO84" s="14">
        <f>SUM(AO81:AO83)</f>
        <v>0</v>
      </c>
      <c r="AP84" s="43" t="str">
        <f t="shared" si="320"/>
        <v>N.D.</v>
      </c>
      <c r="AQ84" s="14"/>
      <c r="AR84" s="43"/>
      <c r="AS84" s="14"/>
      <c r="AT84" s="43"/>
      <c r="AU84" s="14">
        <f>SUM(AU81:AU83)</f>
        <v>0</v>
      </c>
      <c r="AV84" s="43" t="str">
        <f t="shared" si="321"/>
        <v>N.D.</v>
      </c>
    </row>
    <row r="85" spans="2:48" x14ac:dyDescent="0.35">
      <c r="B85" s="4" t="s">
        <v>12</v>
      </c>
      <c r="C85" s="20"/>
      <c r="D85" s="142" t="str">
        <f t="shared" si="310"/>
        <v>N.D.</v>
      </c>
      <c r="E85" s="20">
        <f>E16/TC_MES</f>
        <v>0</v>
      </c>
      <c r="F85" s="142" t="str">
        <f t="shared" si="311"/>
        <v>N.D.</v>
      </c>
      <c r="G85" s="20">
        <f>G16/TC_MES</f>
        <v>0</v>
      </c>
      <c r="H85" s="142" t="str">
        <f t="shared" si="312"/>
        <v>N.D.</v>
      </c>
      <c r="I85" s="20">
        <f>I16/TC_MES</f>
        <v>0</v>
      </c>
      <c r="J85" s="142" t="str">
        <f t="shared" si="299"/>
        <v>N.D.</v>
      </c>
      <c r="K85" s="20">
        <f>K16/TC_MES</f>
        <v>0</v>
      </c>
      <c r="L85" s="142" t="str">
        <f t="shared" si="313"/>
        <v>N.D.</v>
      </c>
      <c r="M85" s="20">
        <f>M16/TC_MES</f>
        <v>0</v>
      </c>
      <c r="N85" s="142" t="str">
        <f t="shared" si="314"/>
        <v>N.D.</v>
      </c>
      <c r="O85" s="20">
        <f>O16/TC_MES</f>
        <v>0</v>
      </c>
      <c r="P85" s="142" t="str">
        <f t="shared" si="315"/>
        <v>N.D.</v>
      </c>
      <c r="Q85" s="25"/>
      <c r="R85" s="4" t="s">
        <v>12</v>
      </c>
      <c r="S85" s="20"/>
      <c r="T85" s="45"/>
      <c r="U85" s="20"/>
      <c r="V85" s="45"/>
      <c r="W85" s="20">
        <f>W79-W84</f>
        <v>0</v>
      </c>
      <c r="X85" s="45" t="str">
        <f t="shared" si="316"/>
        <v>N.D.</v>
      </c>
      <c r="Y85" s="20">
        <f>Y79-Y84</f>
        <v>0</v>
      </c>
      <c r="Z85" s="45" t="str">
        <f>IF(Y$77=0,"N.D.",Y85/Y$77)</f>
        <v>N.D.</v>
      </c>
      <c r="AA85" s="20"/>
      <c r="AB85" s="45"/>
      <c r="AC85" s="20"/>
      <c r="AD85" s="45"/>
      <c r="AE85" s="20">
        <f>AE79-AE84</f>
        <v>0</v>
      </c>
      <c r="AF85" s="45" t="str">
        <f t="shared" si="318"/>
        <v>N.D.</v>
      </c>
      <c r="AH85" s="4" t="s">
        <v>12</v>
      </c>
      <c r="AI85" s="20"/>
      <c r="AJ85" s="45"/>
      <c r="AK85" s="20"/>
      <c r="AL85" s="45"/>
      <c r="AM85" s="20">
        <f>+AM79-AM84</f>
        <v>0</v>
      </c>
      <c r="AN85" s="45" t="str">
        <f t="shared" si="319"/>
        <v>N.D.</v>
      </c>
      <c r="AO85" s="20">
        <f>+AO79-AO84</f>
        <v>0</v>
      </c>
      <c r="AP85" s="45" t="str">
        <f t="shared" si="320"/>
        <v>N.D.</v>
      </c>
      <c r="AQ85" s="20"/>
      <c r="AR85" s="45"/>
      <c r="AS85" s="20"/>
      <c r="AT85" s="45"/>
      <c r="AU85" s="20">
        <f>+AU79-AU84</f>
        <v>0</v>
      </c>
      <c r="AV85" s="45" t="str">
        <f t="shared" si="321"/>
        <v>N.D.</v>
      </c>
    </row>
    <row r="86" spans="2:48" x14ac:dyDescent="0.35">
      <c r="B86" s="1"/>
      <c r="C86" s="30"/>
      <c r="D86" s="140"/>
      <c r="E86" s="30"/>
      <c r="F86" s="140"/>
      <c r="G86" s="30"/>
      <c r="H86" s="140"/>
      <c r="I86" s="30"/>
      <c r="J86" s="140"/>
      <c r="K86" s="30"/>
      <c r="L86" s="140"/>
      <c r="M86" s="30"/>
      <c r="N86" s="140"/>
      <c r="O86" s="30"/>
      <c r="P86" s="140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/>
      <c r="D87" s="141" t="str">
        <f t="shared" ref="D87:D93" si="322">IF(C$77=0,"N.D.",C87/C$77)</f>
        <v>N.D.</v>
      </c>
      <c r="E87" s="8">
        <f t="shared" ref="E87:E93" si="323">E18/TC_MES</f>
        <v>0</v>
      </c>
      <c r="F87" s="141" t="str">
        <f t="shared" ref="F87:F93" si="324">IF(E$77=0,"N.D.",E87/E$77)</f>
        <v>N.D.</v>
      </c>
      <c r="G87" s="8">
        <f t="shared" ref="G87:G93" si="325">G18/TC_MES</f>
        <v>0</v>
      </c>
      <c r="H87" s="141" t="str">
        <f t="shared" ref="H87:H93" si="326">IF(G$77=0,"N.D.",G87/G$77)</f>
        <v>N.D.</v>
      </c>
      <c r="I87" s="8">
        <f t="shared" ref="I87:I93" si="327">I18/TC_MES</f>
        <v>0</v>
      </c>
      <c r="J87" s="141" t="str">
        <f t="shared" ref="J87:J93" si="328">IF(I$77=0,"N.D.",I87/I$77)</f>
        <v>N.D.</v>
      </c>
      <c r="K87" s="8">
        <f t="shared" ref="K87:K93" si="329">K18/TC_MES</f>
        <v>0</v>
      </c>
      <c r="L87" s="141" t="str">
        <f t="shared" ref="L87:L93" si="330">IF(K$77=0,"N.D.",K87/K$77)</f>
        <v>N.D.</v>
      </c>
      <c r="M87" s="8">
        <f t="shared" ref="M87:M93" si="331">M18/TC_MES</f>
        <v>0</v>
      </c>
      <c r="N87" s="141" t="str">
        <f t="shared" ref="N87:N93" si="332">IF(M$77=0,"N.D.",M87/M$77)</f>
        <v>N.D.</v>
      </c>
      <c r="O87" s="8">
        <f t="shared" ref="O87:O93" si="333">O18/TC_MES</f>
        <v>0</v>
      </c>
      <c r="P87" s="141" t="str">
        <f t="shared" ref="P87:P93" si="334">IF(O$77=0,"N.D.",O87/O$77)</f>
        <v>N.D.</v>
      </c>
      <c r="Q87" s="25"/>
      <c r="R87" s="7" t="s">
        <v>13</v>
      </c>
      <c r="S87" s="8"/>
      <c r="T87" s="29"/>
      <c r="U87" s="8"/>
      <c r="V87" s="29"/>
      <c r="W87" s="8">
        <f>(BDER!K475+BDER!K498+BDER!K565+BDER!K610)/1000</f>
        <v>0</v>
      </c>
      <c r="X87" s="29" t="str">
        <f t="shared" ref="X87:X93" si="335">IF(W$77=0,"N.D.",W87/W$77)</f>
        <v>N.D.</v>
      </c>
      <c r="Y87" s="8">
        <f>(BDER!K520+BDER!K542+BDER!K587+BDER!K632+BDER!K654)/1000</f>
        <v>0</v>
      </c>
      <c r="Z87" s="29" t="str">
        <f t="shared" ref="Z87:Z93" si="336">IF(Y$77=0,"N.D.",Y87/Y$77)</f>
        <v>N.D.</v>
      </c>
      <c r="AA87" s="8"/>
      <c r="AB87" s="29"/>
      <c r="AC87" s="8"/>
      <c r="AD87" s="29"/>
      <c r="AE87" s="8">
        <f>+AA87+U87+S87+AC87+W87+Y87</f>
        <v>0</v>
      </c>
      <c r="AF87" s="29" t="str">
        <f t="shared" ref="AF87:AF93" si="337">IF(AE$4=0,"N.D.",AE87/AE$4)</f>
        <v>N.D.</v>
      </c>
      <c r="AH87" s="7" t="s">
        <v>13</v>
      </c>
      <c r="AI87" s="8"/>
      <c r="AJ87" s="29"/>
      <c r="AK87" s="8"/>
      <c r="AL87" s="29"/>
      <c r="AM87" s="8">
        <f>(BDER!G475+BDER!G498+BDER!G565+BDER!G610)/1000</f>
        <v>0</v>
      </c>
      <c r="AN87" s="29" t="str">
        <f t="shared" ref="AN87:AN93" si="338">IF(AM$77=0,"N.D.",AM87/AM$77)</f>
        <v>N.D.</v>
      </c>
      <c r="AO87" s="8">
        <f>(BDER!G520+BDER!G542+BDER!G587+BDER!G632+BDER!G654)/1000</f>
        <v>0</v>
      </c>
      <c r="AP87" s="29" t="str">
        <f t="shared" ref="AP87:AP93" si="339">IF(AO$77=0,"N.D.",AO87/AO$77)</f>
        <v>N.D.</v>
      </c>
      <c r="AQ87" s="8"/>
      <c r="AR87" s="29"/>
      <c r="AS87" s="8"/>
      <c r="AT87" s="29"/>
      <c r="AU87" s="8">
        <f>+AQ87+AK87+AI87+AS87+AM87+AO87</f>
        <v>0</v>
      </c>
      <c r="AV87" s="29" t="str">
        <f>IF(AU$4=0,"N.D.",AU87/AU$4)</f>
        <v>N.D.</v>
      </c>
    </row>
    <row r="88" spans="2:48" x14ac:dyDescent="0.35">
      <c r="B88" s="7" t="s">
        <v>14</v>
      </c>
      <c r="C88" s="11"/>
      <c r="D88" s="138" t="str">
        <f t="shared" si="322"/>
        <v>N.D.</v>
      </c>
      <c r="E88" s="11">
        <f t="shared" si="323"/>
        <v>0</v>
      </c>
      <c r="F88" s="138" t="str">
        <f t="shared" si="324"/>
        <v>N.D.</v>
      </c>
      <c r="G88" s="11">
        <f t="shared" si="325"/>
        <v>0</v>
      </c>
      <c r="H88" s="138" t="str">
        <f t="shared" si="326"/>
        <v>N.D.</v>
      </c>
      <c r="I88" s="11">
        <f t="shared" si="327"/>
        <v>0</v>
      </c>
      <c r="J88" s="138" t="str">
        <f t="shared" si="328"/>
        <v>N.D.</v>
      </c>
      <c r="K88" s="11">
        <f t="shared" si="329"/>
        <v>0</v>
      </c>
      <c r="L88" s="138" t="str">
        <f t="shared" si="330"/>
        <v>N.D.</v>
      </c>
      <c r="M88" s="11">
        <f t="shared" si="331"/>
        <v>0</v>
      </c>
      <c r="N88" s="138" t="str">
        <f t="shared" si="332"/>
        <v>N.D.</v>
      </c>
      <c r="O88" s="11">
        <f t="shared" si="333"/>
        <v>0</v>
      </c>
      <c r="P88" s="138" t="str">
        <f t="shared" si="334"/>
        <v>N.D.</v>
      </c>
      <c r="Q88" s="25"/>
      <c r="R88" s="7" t="s">
        <v>14</v>
      </c>
      <c r="S88" s="8"/>
      <c r="T88" s="42"/>
      <c r="U88" s="8"/>
      <c r="V88" s="42"/>
      <c r="W88" s="8">
        <f>(BDER!K476+BDER!K499+BDER!K566+BDER!K611)/1000</f>
        <v>0</v>
      </c>
      <c r="X88" s="42" t="str">
        <f t="shared" si="335"/>
        <v>N.D.</v>
      </c>
      <c r="Y88" s="8">
        <f>(BDER!K521+BDER!K543+BDER!K588+BDER!K633+BDER!K655)/1000</f>
        <v>0</v>
      </c>
      <c r="Z88" s="42" t="str">
        <f t="shared" si="336"/>
        <v>N.D.</v>
      </c>
      <c r="AA88" s="8"/>
      <c r="AB88" s="42"/>
      <c r="AC88" s="8"/>
      <c r="AD88" s="42"/>
      <c r="AE88" s="11">
        <f>+AA88+U88+S88+AC88+W88+Y88</f>
        <v>0</v>
      </c>
      <c r="AF88" s="42" t="str">
        <f t="shared" si="337"/>
        <v>N.D.</v>
      </c>
      <c r="AH88" s="7" t="s">
        <v>14</v>
      </c>
      <c r="AI88" s="8"/>
      <c r="AJ88" s="42"/>
      <c r="AK88" s="8"/>
      <c r="AL88" s="42"/>
      <c r="AM88" s="8">
        <f>(BDER!G476+BDER!G499+BDER!G566+BDER!G611)/1000</f>
        <v>0</v>
      </c>
      <c r="AN88" s="42" t="str">
        <f t="shared" si="338"/>
        <v>N.D.</v>
      </c>
      <c r="AO88" s="8">
        <f>(BDER!G521+BDER!G543+BDER!G588+BDER!G633+BDER!G655)/1000</f>
        <v>0</v>
      </c>
      <c r="AP88" s="42" t="str">
        <f t="shared" si="339"/>
        <v>N.D.</v>
      </c>
      <c r="AQ88" s="8"/>
      <c r="AR88" s="42"/>
      <c r="AS88" s="8"/>
      <c r="AT88" s="42"/>
      <c r="AU88" s="11">
        <f>+AQ88+AK88+AI88+AS88+AM88+AO88</f>
        <v>0</v>
      </c>
      <c r="AV88" s="42" t="str">
        <f t="shared" ref="AV88:AV93" si="340">IF(AU$4=0,"N.D.",AU88/AU$4)</f>
        <v>N.D.</v>
      </c>
    </row>
    <row r="89" spans="2:48" x14ac:dyDescent="0.35">
      <c r="B89" s="7" t="s">
        <v>15</v>
      </c>
      <c r="C89" s="11"/>
      <c r="D89" s="138" t="str">
        <f t="shared" si="322"/>
        <v>N.D.</v>
      </c>
      <c r="E89" s="11">
        <f t="shared" si="323"/>
        <v>0</v>
      </c>
      <c r="F89" s="138" t="str">
        <f t="shared" si="324"/>
        <v>N.D.</v>
      </c>
      <c r="G89" s="11">
        <f t="shared" si="325"/>
        <v>0</v>
      </c>
      <c r="H89" s="138" t="str">
        <f t="shared" si="326"/>
        <v>N.D.</v>
      </c>
      <c r="I89" s="11">
        <f t="shared" si="327"/>
        <v>0</v>
      </c>
      <c r="J89" s="138" t="str">
        <f t="shared" si="328"/>
        <v>N.D.</v>
      </c>
      <c r="K89" s="11">
        <f t="shared" si="329"/>
        <v>0</v>
      </c>
      <c r="L89" s="138" t="str">
        <f t="shared" si="330"/>
        <v>N.D.</v>
      </c>
      <c r="M89" s="11">
        <f t="shared" si="331"/>
        <v>0</v>
      </c>
      <c r="N89" s="138" t="str">
        <f t="shared" si="332"/>
        <v>N.D.</v>
      </c>
      <c r="O89" s="11">
        <f t="shared" si="333"/>
        <v>1</v>
      </c>
      <c r="P89" s="138" t="str">
        <f t="shared" si="334"/>
        <v>N.D.</v>
      </c>
      <c r="Q89" s="25"/>
      <c r="R89" s="7" t="s">
        <v>15</v>
      </c>
      <c r="S89" s="8"/>
      <c r="T89" s="42"/>
      <c r="U89" s="8"/>
      <c r="V89" s="42"/>
      <c r="W89" s="8">
        <f>(BDER!K477+BDER!K500+BDER!K567+BDER!K612)/1000</f>
        <v>0</v>
      </c>
      <c r="X89" s="42" t="str">
        <f t="shared" si="335"/>
        <v>N.D.</v>
      </c>
      <c r="Y89" s="8">
        <f>(BDER!K522+BDER!K544+BDER!K589+BDER!K634+BDER!K656)/1000</f>
        <v>0</v>
      </c>
      <c r="Z89" s="42" t="str">
        <f t="shared" si="336"/>
        <v>N.D.</v>
      </c>
      <c r="AA89" s="8"/>
      <c r="AB89" s="42"/>
      <c r="AC89" s="8"/>
      <c r="AD89" s="42"/>
      <c r="AE89" s="11">
        <f>+AA89+U89+S89+AC89+W89+Y89</f>
        <v>0</v>
      </c>
      <c r="AF89" s="42" t="str">
        <f t="shared" si="337"/>
        <v>N.D.</v>
      </c>
      <c r="AH89" s="7" t="s">
        <v>15</v>
      </c>
      <c r="AI89" s="8"/>
      <c r="AJ89" s="42"/>
      <c r="AK89" s="8"/>
      <c r="AL89" s="42"/>
      <c r="AM89" s="8">
        <f>(BDER!G477+BDER!G500+BDER!G567+BDER!G612)/1000</f>
        <v>0</v>
      </c>
      <c r="AN89" s="42" t="str">
        <f t="shared" si="338"/>
        <v>N.D.</v>
      </c>
      <c r="AO89" s="8">
        <f>(BDER!G522+BDER!G544+BDER!G589+BDER!G634+BDER!G656)/1000</f>
        <v>0</v>
      </c>
      <c r="AP89" s="42" t="str">
        <f t="shared" si="339"/>
        <v>N.D.</v>
      </c>
      <c r="AQ89" s="8"/>
      <c r="AR89" s="42"/>
      <c r="AS89" s="8"/>
      <c r="AT89" s="42"/>
      <c r="AU89" s="11">
        <f>+AQ89+AK89+AI89+AS89+AM89+AO89</f>
        <v>0</v>
      </c>
      <c r="AV89" s="42" t="str">
        <f t="shared" si="340"/>
        <v>N.D.</v>
      </c>
    </row>
    <row r="90" spans="2:48" x14ac:dyDescent="0.35">
      <c r="B90" s="7" t="s">
        <v>16</v>
      </c>
      <c r="C90" s="11"/>
      <c r="D90" s="138" t="str">
        <f t="shared" si="322"/>
        <v>N.D.</v>
      </c>
      <c r="E90" s="11">
        <f t="shared" si="323"/>
        <v>0</v>
      </c>
      <c r="F90" s="138" t="str">
        <f t="shared" si="324"/>
        <v>N.D.</v>
      </c>
      <c r="G90" s="11">
        <f t="shared" si="325"/>
        <v>0</v>
      </c>
      <c r="H90" s="138" t="str">
        <f t="shared" si="326"/>
        <v>N.D.</v>
      </c>
      <c r="I90" s="11">
        <f t="shared" si="327"/>
        <v>0</v>
      </c>
      <c r="J90" s="138" t="str">
        <f t="shared" si="328"/>
        <v>N.D.</v>
      </c>
      <c r="K90" s="11">
        <f t="shared" si="329"/>
        <v>0</v>
      </c>
      <c r="L90" s="138" t="str">
        <f t="shared" si="330"/>
        <v>N.D.</v>
      </c>
      <c r="M90" s="11">
        <f t="shared" si="331"/>
        <v>0</v>
      </c>
      <c r="N90" s="138" t="str">
        <f t="shared" si="332"/>
        <v>N.D.</v>
      </c>
      <c r="O90" s="11">
        <f t="shared" si="333"/>
        <v>0</v>
      </c>
      <c r="P90" s="138" t="str">
        <f t="shared" si="334"/>
        <v>N.D.</v>
      </c>
      <c r="Q90" s="25"/>
      <c r="R90" s="7" t="s">
        <v>16</v>
      </c>
      <c r="S90" s="8"/>
      <c r="T90" s="42"/>
      <c r="U90" s="8"/>
      <c r="V90" s="42"/>
      <c r="W90" s="8">
        <f>(BDER!K478+BDER!K501+BDER!K568+BDER!K613)/1000</f>
        <v>0</v>
      </c>
      <c r="X90" s="42" t="str">
        <f t="shared" si="335"/>
        <v>N.D.</v>
      </c>
      <c r="Y90" s="8">
        <f>(BDER!K523+BDER!K545+BDER!K590+BDER!K635+BDER!K657)/1000</f>
        <v>0</v>
      </c>
      <c r="Z90" s="42" t="str">
        <f t="shared" si="336"/>
        <v>N.D.</v>
      </c>
      <c r="AA90" s="8"/>
      <c r="AB90" s="42"/>
      <c r="AC90" s="8"/>
      <c r="AD90" s="42"/>
      <c r="AE90" s="11">
        <f>+AA90+U90+S90+AC90+W90+Y90</f>
        <v>0</v>
      </c>
      <c r="AF90" s="42" t="str">
        <f t="shared" si="337"/>
        <v>N.D.</v>
      </c>
      <c r="AH90" s="7" t="s">
        <v>16</v>
      </c>
      <c r="AI90" s="8"/>
      <c r="AJ90" s="42"/>
      <c r="AK90" s="8"/>
      <c r="AL90" s="42"/>
      <c r="AM90" s="8">
        <f>(BDER!G478+BDER!G501+BDER!G568+BDER!G613)/1000</f>
        <v>0</v>
      </c>
      <c r="AN90" s="42" t="str">
        <f t="shared" si="338"/>
        <v>N.D.</v>
      </c>
      <c r="AO90" s="8">
        <f>(BDER!G523+BDER!G545+BDER!G590+BDER!G635+BDER!G657)/1000</f>
        <v>0</v>
      </c>
      <c r="AP90" s="42" t="str">
        <f t="shared" si="339"/>
        <v>N.D.</v>
      </c>
      <c r="AQ90" s="8"/>
      <c r="AR90" s="42"/>
      <c r="AS90" s="8"/>
      <c r="AT90" s="42"/>
      <c r="AU90" s="11">
        <f>+AQ90+AK90+AI90+AS90+AM90+AO90</f>
        <v>0</v>
      </c>
      <c r="AV90" s="42" t="str">
        <f t="shared" si="340"/>
        <v>N.D.</v>
      </c>
    </row>
    <row r="91" spans="2:48" x14ac:dyDescent="0.35">
      <c r="B91" s="7"/>
      <c r="C91" s="11"/>
      <c r="D91" s="138" t="str">
        <f t="shared" si="322"/>
        <v>N.D.</v>
      </c>
      <c r="E91" s="11">
        <f t="shared" si="323"/>
        <v>0</v>
      </c>
      <c r="F91" s="138" t="str">
        <f t="shared" si="324"/>
        <v>N.D.</v>
      </c>
      <c r="G91" s="11">
        <f t="shared" si="325"/>
        <v>0</v>
      </c>
      <c r="H91" s="138" t="str">
        <f t="shared" si="326"/>
        <v>N.D.</v>
      </c>
      <c r="I91" s="11">
        <f t="shared" si="327"/>
        <v>0</v>
      </c>
      <c r="J91" s="138" t="str">
        <f t="shared" si="328"/>
        <v>N.D.</v>
      </c>
      <c r="K91" s="11">
        <f t="shared" si="329"/>
        <v>0</v>
      </c>
      <c r="L91" s="138" t="str">
        <f t="shared" si="330"/>
        <v>N.D.</v>
      </c>
      <c r="M91" s="11">
        <f t="shared" si="331"/>
        <v>0</v>
      </c>
      <c r="N91" s="138" t="str">
        <f t="shared" si="332"/>
        <v>N.D.</v>
      </c>
      <c r="O91" s="11">
        <f t="shared" si="333"/>
        <v>0</v>
      </c>
      <c r="P91" s="138" t="str">
        <f t="shared" si="334"/>
        <v>N.D.</v>
      </c>
      <c r="Q91" s="25"/>
      <c r="R91" s="7"/>
      <c r="S91" s="8"/>
      <c r="T91" s="42"/>
      <c r="U91" s="8"/>
      <c r="V91" s="42"/>
      <c r="W91" s="8">
        <f>(BDER!K479+BDER!K502+BDER!K569+BDER!K614)/1000</f>
        <v>0</v>
      </c>
      <c r="X91" s="42" t="str">
        <f t="shared" si="335"/>
        <v>N.D.</v>
      </c>
      <c r="Y91" s="8">
        <f>(BDER!K524+BDER!K546+BDER!K591+BDER!K636+BDER!K658)/1000</f>
        <v>0</v>
      </c>
      <c r="Z91" s="42" t="str">
        <f t="shared" si="336"/>
        <v>N.D.</v>
      </c>
      <c r="AA91" s="8"/>
      <c r="AB91" s="42"/>
      <c r="AC91" s="8"/>
      <c r="AD91" s="42"/>
      <c r="AE91" s="11">
        <f>+AA91+U91+S91+AC91+W91+Y91</f>
        <v>0</v>
      </c>
      <c r="AF91" s="42" t="str">
        <f t="shared" si="337"/>
        <v>N.D.</v>
      </c>
      <c r="AH91" s="7"/>
      <c r="AI91" s="8"/>
      <c r="AJ91" s="42"/>
      <c r="AK91" s="8"/>
      <c r="AL91" s="42"/>
      <c r="AM91" s="8">
        <f>(BDER!G479+BDER!G502+BDER!G569+BDER!G614)/1000</f>
        <v>0</v>
      </c>
      <c r="AN91" s="42" t="str">
        <f t="shared" si="338"/>
        <v>N.D.</v>
      </c>
      <c r="AO91" s="8">
        <f>(BDER!G524+BDER!G546+BDER!G591+BDER!G636+BDER!G658)/1000</f>
        <v>0</v>
      </c>
      <c r="AP91" s="42" t="str">
        <f t="shared" si="339"/>
        <v>N.D.</v>
      </c>
      <c r="AQ91" s="8"/>
      <c r="AR91" s="42"/>
      <c r="AS91" s="8"/>
      <c r="AT91" s="42"/>
      <c r="AU91" s="11">
        <f>+AQ91+AK91+AI91+AS91+AM91+AO91</f>
        <v>0</v>
      </c>
      <c r="AV91" s="42" t="str">
        <f t="shared" si="340"/>
        <v>N.D.</v>
      </c>
    </row>
    <row r="92" spans="2:48" x14ac:dyDescent="0.35">
      <c r="B92" s="4" t="s">
        <v>17</v>
      </c>
      <c r="C92" s="14"/>
      <c r="D92" s="139" t="str">
        <f t="shared" si="322"/>
        <v>N.D.</v>
      </c>
      <c r="E92" s="14">
        <f t="shared" si="323"/>
        <v>0</v>
      </c>
      <c r="F92" s="139" t="str">
        <f t="shared" si="324"/>
        <v>N.D.</v>
      </c>
      <c r="G92" s="14">
        <f t="shared" si="325"/>
        <v>0</v>
      </c>
      <c r="H92" s="139" t="str">
        <f t="shared" si="326"/>
        <v>N.D.</v>
      </c>
      <c r="I92" s="14">
        <f t="shared" si="327"/>
        <v>0</v>
      </c>
      <c r="J92" s="139" t="str">
        <f t="shared" si="328"/>
        <v>N.D.</v>
      </c>
      <c r="K92" s="14">
        <f t="shared" si="329"/>
        <v>0</v>
      </c>
      <c r="L92" s="139" t="str">
        <f t="shared" si="330"/>
        <v>N.D.</v>
      </c>
      <c r="M92" s="14">
        <f t="shared" si="331"/>
        <v>0</v>
      </c>
      <c r="N92" s="139" t="str">
        <f t="shared" si="332"/>
        <v>N.D.</v>
      </c>
      <c r="O92" s="14">
        <f t="shared" si="333"/>
        <v>1</v>
      </c>
      <c r="P92" s="139" t="str">
        <f t="shared" si="334"/>
        <v>N.D.</v>
      </c>
      <c r="Q92" s="25"/>
      <c r="R92" s="4" t="s">
        <v>17</v>
      </c>
      <c r="S92" s="14"/>
      <c r="T92" s="43"/>
      <c r="U92" s="14"/>
      <c r="V92" s="43"/>
      <c r="W92" s="14">
        <f>W87+W88+W89-W90-W91</f>
        <v>0</v>
      </c>
      <c r="X92" s="43" t="str">
        <f t="shared" si="335"/>
        <v>N.D.</v>
      </c>
      <c r="Y92" s="14">
        <f>Y87+Y88+Y89-Y90-Y91</f>
        <v>0</v>
      </c>
      <c r="Z92" s="43" t="str">
        <f t="shared" si="336"/>
        <v>N.D.</v>
      </c>
      <c r="AA92" s="14"/>
      <c r="AB92" s="43"/>
      <c r="AC92" s="14"/>
      <c r="AD92" s="43"/>
      <c r="AE92" s="14">
        <f>AE87+AE88+AE89-AE90</f>
        <v>0</v>
      </c>
      <c r="AF92" s="43" t="str">
        <f t="shared" si="337"/>
        <v>N.D.</v>
      </c>
      <c r="AH92" s="4" t="s">
        <v>17</v>
      </c>
      <c r="AI92" s="14"/>
      <c r="AJ92" s="43"/>
      <c r="AK92" s="14"/>
      <c r="AL92" s="43"/>
      <c r="AM92" s="14">
        <f>AM87+AM88+AM89-AM90-AM91</f>
        <v>0</v>
      </c>
      <c r="AN92" s="43" t="str">
        <f t="shared" si="338"/>
        <v>N.D.</v>
      </c>
      <c r="AO92" s="14">
        <f>AO87+AO88+AO89-AO90-AO91</f>
        <v>0</v>
      </c>
      <c r="AP92" s="43" t="str">
        <f t="shared" si="339"/>
        <v>N.D.</v>
      </c>
      <c r="AQ92" s="14"/>
      <c r="AR92" s="43"/>
      <c r="AS92" s="14"/>
      <c r="AT92" s="43"/>
      <c r="AU92" s="14">
        <f>AU87+AU88+AU89-AU90</f>
        <v>0</v>
      </c>
      <c r="AV92" s="43" t="str">
        <f t="shared" si="340"/>
        <v>N.D.</v>
      </c>
    </row>
    <row r="93" spans="2:48" x14ac:dyDescent="0.35">
      <c r="B93" s="4" t="s">
        <v>18</v>
      </c>
      <c r="C93" s="14"/>
      <c r="D93" s="139" t="str">
        <f t="shared" si="322"/>
        <v>N.D.</v>
      </c>
      <c r="E93" s="14">
        <f t="shared" si="323"/>
        <v>0</v>
      </c>
      <c r="F93" s="139" t="str">
        <f t="shared" si="324"/>
        <v>N.D.</v>
      </c>
      <c r="G93" s="14">
        <f t="shared" si="325"/>
        <v>0</v>
      </c>
      <c r="H93" s="139" t="str">
        <f t="shared" si="326"/>
        <v>N.D.</v>
      </c>
      <c r="I93" s="14">
        <f t="shared" si="327"/>
        <v>0</v>
      </c>
      <c r="J93" s="139" t="str">
        <f t="shared" si="328"/>
        <v>N.D.</v>
      </c>
      <c r="K93" s="14">
        <f t="shared" si="329"/>
        <v>0</v>
      </c>
      <c r="L93" s="139" t="str">
        <f t="shared" si="330"/>
        <v>N.D.</v>
      </c>
      <c r="M93" s="14">
        <f t="shared" si="331"/>
        <v>0</v>
      </c>
      <c r="N93" s="139" t="str">
        <f t="shared" si="332"/>
        <v>N.D.</v>
      </c>
      <c r="O93" s="14">
        <f t="shared" si="333"/>
        <v>-1</v>
      </c>
      <c r="P93" s="139" t="str">
        <f t="shared" si="334"/>
        <v>N.D.</v>
      </c>
      <c r="Q93" s="25"/>
      <c r="R93" s="4" t="s">
        <v>18</v>
      </c>
      <c r="S93" s="14"/>
      <c r="T93" s="43"/>
      <c r="U93" s="14"/>
      <c r="V93" s="43"/>
      <c r="W93" s="14">
        <f>+W85-W92</f>
        <v>0</v>
      </c>
      <c r="X93" s="43" t="str">
        <f t="shared" si="335"/>
        <v>N.D.</v>
      </c>
      <c r="Y93" s="14">
        <f>+Y85-Y92</f>
        <v>0</v>
      </c>
      <c r="Z93" s="43" t="str">
        <f t="shared" si="336"/>
        <v>N.D.</v>
      </c>
      <c r="AA93" s="14"/>
      <c r="AB93" s="43"/>
      <c r="AC93" s="14"/>
      <c r="AD93" s="43"/>
      <c r="AE93" s="14">
        <f>+AE85-AE92</f>
        <v>0</v>
      </c>
      <c r="AF93" s="43" t="str">
        <f t="shared" si="337"/>
        <v>N.D.</v>
      </c>
      <c r="AH93" s="4" t="s">
        <v>18</v>
      </c>
      <c r="AI93" s="14"/>
      <c r="AJ93" s="43"/>
      <c r="AK93" s="14"/>
      <c r="AL93" s="43"/>
      <c r="AM93" s="14">
        <f>+AM85-AM92</f>
        <v>0</v>
      </c>
      <c r="AN93" s="43" t="str">
        <f t="shared" si="338"/>
        <v>N.D.</v>
      </c>
      <c r="AO93" s="14">
        <f>+AO85-AO92</f>
        <v>0</v>
      </c>
      <c r="AP93" s="43" t="str">
        <f t="shared" si="339"/>
        <v>N.D.</v>
      </c>
      <c r="AQ93" s="14"/>
      <c r="AR93" s="43"/>
      <c r="AS93" s="14"/>
      <c r="AT93" s="43"/>
      <c r="AU93" s="14">
        <f>+AU85-AU92</f>
        <v>0</v>
      </c>
      <c r="AV93" s="43" t="str">
        <f t="shared" si="340"/>
        <v>N.D.</v>
      </c>
    </row>
    <row r="94" spans="2:48" x14ac:dyDescent="0.35">
      <c r="B94" s="1"/>
      <c r="C94" s="30"/>
      <c r="D94" s="140"/>
      <c r="E94" s="30"/>
      <c r="F94" s="140"/>
      <c r="G94" s="30"/>
      <c r="H94" s="140"/>
      <c r="I94" s="30"/>
      <c r="J94" s="140"/>
      <c r="K94" s="30"/>
      <c r="L94" s="140"/>
      <c r="M94" s="30"/>
      <c r="N94" s="140"/>
      <c r="O94" s="30"/>
      <c r="P94" s="140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/>
      <c r="D95" s="141" t="str">
        <f t="shared" ref="D95:D102" si="341">IF(C$77=0,"N.D.",C95/C$77)</f>
        <v>N.D.</v>
      </c>
      <c r="E95" s="8">
        <f t="shared" ref="E95:E103" si="342">E26/TC_MES</f>
        <v>0</v>
      </c>
      <c r="F95" s="141" t="str">
        <f t="shared" ref="F95:F103" si="343">IF(E$77=0,"N.D.",E95/E$77)</f>
        <v>N.D.</v>
      </c>
      <c r="G95" s="8">
        <f t="shared" ref="G95:G103" si="344">G26/TC_MES</f>
        <v>0</v>
      </c>
      <c r="H95" s="141" t="str">
        <f t="shared" ref="H95:H103" si="345">IF(G$77=0,"N.D.",G95/G$77)</f>
        <v>N.D.</v>
      </c>
      <c r="I95" s="8">
        <f t="shared" ref="I95:I103" si="346">I26/TC_MES</f>
        <v>0</v>
      </c>
      <c r="J95" s="141" t="str">
        <f t="shared" ref="J95:J103" si="347">IF(I$77=0,"N.D.",I95/I$77)</f>
        <v>N.D.</v>
      </c>
      <c r="K95" s="8">
        <f t="shared" ref="K95:K103" si="348">K26/TC_MES</f>
        <v>0</v>
      </c>
      <c r="L95" s="141" t="str">
        <f t="shared" ref="L95:L103" si="349">IF(K$77=0,"N.D.",K95/K$77)</f>
        <v>N.D.</v>
      </c>
      <c r="M95" s="8">
        <f t="shared" ref="M95:M103" si="350">M26/TC_MES</f>
        <v>0</v>
      </c>
      <c r="N95" s="141" t="str">
        <f t="shared" ref="N95:N103" si="351">IF(M$77=0,"N.D.",M95/M$77)</f>
        <v>N.D.</v>
      </c>
      <c r="O95" s="8">
        <f t="shared" ref="O95:O103" si="352">O26/TC_MES</f>
        <v>0</v>
      </c>
      <c r="P95" s="141" t="str">
        <f t="shared" ref="P95:P103" si="353">IF(O$77=0,"N.D.",O95/O$77)</f>
        <v>N.D.</v>
      </c>
      <c r="Q95" s="25"/>
      <c r="R95" s="7" t="s">
        <v>35</v>
      </c>
      <c r="S95" s="8"/>
      <c r="T95" s="29"/>
      <c r="U95" s="8"/>
      <c r="V95" s="29"/>
      <c r="W95" s="8">
        <f>(BDER!K482+BDER!K505+BDER!K572+BDER!K617)/1000</f>
        <v>0</v>
      </c>
      <c r="X95" s="29" t="str">
        <f t="shared" ref="X95:X98" si="354">IF(W$77=0,"N.D.",W95/W$77)</f>
        <v>N.D.</v>
      </c>
      <c r="Y95" s="8">
        <f>(BDER!K527+BDER!K549+BDER!K594+BDER!K639+BDER!K661)/1000</f>
        <v>0</v>
      </c>
      <c r="Z95" s="29" t="str">
        <f t="shared" ref="Z95:Z98" si="355">IF(Y$77=0,"N.D.",Y95/Y$77)</f>
        <v>N.D.</v>
      </c>
      <c r="AA95" s="8"/>
      <c r="AB95" s="29"/>
      <c r="AC95" s="8"/>
      <c r="AD95" s="29"/>
      <c r="AE95" s="8">
        <f>+AA95+U95+S95+AC95+W95+Y95</f>
        <v>0</v>
      </c>
      <c r="AF95" s="29" t="str">
        <f t="shared" ref="AF95:AF98" si="356">IF(AE$4=0,"N.D.",AE95/AE$4)</f>
        <v>N.D.</v>
      </c>
      <c r="AH95" s="7" t="s">
        <v>35</v>
      </c>
      <c r="AI95" s="8"/>
      <c r="AJ95" s="29"/>
      <c r="AK95" s="8"/>
      <c r="AL95" s="29"/>
      <c r="AM95" s="8">
        <f>(BDER!G482+BDER!G505+BDER!G572+BDER!G617)/1000</f>
        <v>0</v>
      </c>
      <c r="AN95" s="29" t="str">
        <f t="shared" ref="AN95:AN98" si="357">IF(AM$77=0,"N.D.",AM95/AM$77)</f>
        <v>N.D.</v>
      </c>
      <c r="AO95" s="8">
        <f>(BDER!G527+BDER!G549+BDER!G594+BDER!G639+BDER!G661)/1000</f>
        <v>0</v>
      </c>
      <c r="AP95" s="29" t="str">
        <f t="shared" ref="AP95:AP98" si="358">IF(AO$77=0,"N.D.",AO95/AO$77)</f>
        <v>N.D.</v>
      </c>
      <c r="AQ95" s="8"/>
      <c r="AR95" s="29"/>
      <c r="AS95" s="8"/>
      <c r="AT95" s="29"/>
      <c r="AU95" s="8">
        <f>+AQ95+AK95+AI95+AS95+AM95+AO95</f>
        <v>0</v>
      </c>
      <c r="AV95" s="29" t="str">
        <f t="shared" ref="AV95:AV98" si="359">IF(AU$4=0,"N.D.",AU95/AU$4)</f>
        <v>N.D.</v>
      </c>
    </row>
    <row r="96" spans="2:48" x14ac:dyDescent="0.35">
      <c r="B96" s="7" t="s">
        <v>43</v>
      </c>
      <c r="C96" s="11"/>
      <c r="D96" s="138" t="str">
        <f t="shared" si="341"/>
        <v>N.D.</v>
      </c>
      <c r="E96" s="11">
        <f t="shared" si="342"/>
        <v>0</v>
      </c>
      <c r="F96" s="138" t="str">
        <f t="shared" si="343"/>
        <v>N.D.</v>
      </c>
      <c r="G96" s="11">
        <f t="shared" si="344"/>
        <v>0</v>
      </c>
      <c r="H96" s="138" t="str">
        <f t="shared" si="345"/>
        <v>N.D.</v>
      </c>
      <c r="I96" s="11">
        <f t="shared" si="346"/>
        <v>0</v>
      </c>
      <c r="J96" s="138" t="str">
        <f t="shared" si="347"/>
        <v>N.D.</v>
      </c>
      <c r="K96" s="11">
        <f t="shared" si="348"/>
        <v>0</v>
      </c>
      <c r="L96" s="138" t="str">
        <f t="shared" si="349"/>
        <v>N.D.</v>
      </c>
      <c r="M96" s="11">
        <f t="shared" si="350"/>
        <v>0</v>
      </c>
      <c r="N96" s="138" t="str">
        <f t="shared" si="351"/>
        <v>N.D.</v>
      </c>
      <c r="O96" s="11">
        <f t="shared" si="352"/>
        <v>0</v>
      </c>
      <c r="P96" s="138" t="str">
        <f t="shared" si="353"/>
        <v>N.D.</v>
      </c>
      <c r="Q96" s="25"/>
      <c r="R96" s="7" t="s">
        <v>43</v>
      </c>
      <c r="S96" s="8"/>
      <c r="T96" s="42"/>
      <c r="U96" s="8"/>
      <c r="V96" s="42"/>
      <c r="W96" s="8">
        <f>(BDER!K483+BDER!K506+BDER!K573+BDER!K618)/1000</f>
        <v>0</v>
      </c>
      <c r="X96" s="42" t="str">
        <f t="shared" si="354"/>
        <v>N.D.</v>
      </c>
      <c r="Y96" s="8">
        <f>(BDER!K528+BDER!K550+BDER!K595+BDER!K640+BDER!K662)/1000</f>
        <v>0</v>
      </c>
      <c r="Z96" s="42" t="str">
        <f t="shared" si="355"/>
        <v>N.D.</v>
      </c>
      <c r="AA96" s="8"/>
      <c r="AB96" s="42"/>
      <c r="AC96" s="8"/>
      <c r="AD96" s="42"/>
      <c r="AE96" s="11">
        <f>+AA96+U96+S96+AC96+W96+Y96</f>
        <v>0</v>
      </c>
      <c r="AF96" s="42" t="str">
        <f t="shared" si="356"/>
        <v>N.D.</v>
      </c>
      <c r="AH96" s="7" t="s">
        <v>43</v>
      </c>
      <c r="AI96" s="8"/>
      <c r="AJ96" s="42"/>
      <c r="AK96" s="8"/>
      <c r="AL96" s="42"/>
      <c r="AM96" s="8">
        <f>(BDER!G483+BDER!G506+BDER!G573+BDER!G618)/1000</f>
        <v>0</v>
      </c>
      <c r="AN96" s="42" t="str">
        <f t="shared" si="357"/>
        <v>N.D.</v>
      </c>
      <c r="AO96" s="8">
        <f>(BDER!G528+BDER!G550+BDER!G595+BDER!G640+BDER!G662)/1000</f>
        <v>0</v>
      </c>
      <c r="AP96" s="42" t="str">
        <f t="shared" si="358"/>
        <v>N.D.</v>
      </c>
      <c r="AQ96" s="8"/>
      <c r="AR96" s="42"/>
      <c r="AS96" s="8"/>
      <c r="AT96" s="42"/>
      <c r="AU96" s="11">
        <f>+AQ96+AK96+AI96+AS96+AM96+AO96</f>
        <v>0</v>
      </c>
      <c r="AV96" s="42" t="str">
        <f t="shared" si="359"/>
        <v>N.D.</v>
      </c>
    </row>
    <row r="97" spans="2:48" x14ac:dyDescent="0.35">
      <c r="B97" s="4" t="s">
        <v>21</v>
      </c>
      <c r="C97" s="14"/>
      <c r="D97" s="139" t="str">
        <f t="shared" si="341"/>
        <v>N.D.</v>
      </c>
      <c r="E97" s="14">
        <f t="shared" si="342"/>
        <v>0</v>
      </c>
      <c r="F97" s="139" t="str">
        <f t="shared" si="343"/>
        <v>N.D.</v>
      </c>
      <c r="G97" s="14">
        <f t="shared" si="344"/>
        <v>0</v>
      </c>
      <c r="H97" s="139" t="str">
        <f t="shared" si="345"/>
        <v>N.D.</v>
      </c>
      <c r="I97" s="14">
        <f t="shared" si="346"/>
        <v>0</v>
      </c>
      <c r="J97" s="139" t="str">
        <f t="shared" si="347"/>
        <v>N.D.</v>
      </c>
      <c r="K97" s="14">
        <f t="shared" si="348"/>
        <v>0</v>
      </c>
      <c r="L97" s="139" t="str">
        <f t="shared" si="349"/>
        <v>N.D.</v>
      </c>
      <c r="M97" s="14">
        <f t="shared" si="350"/>
        <v>0</v>
      </c>
      <c r="N97" s="139" t="str">
        <f t="shared" si="351"/>
        <v>N.D.</v>
      </c>
      <c r="O97" s="14">
        <f t="shared" si="352"/>
        <v>-1</v>
      </c>
      <c r="P97" s="139" t="str">
        <f t="shared" si="353"/>
        <v>N.D.</v>
      </c>
      <c r="Q97" s="25"/>
      <c r="R97" s="4" t="s">
        <v>21</v>
      </c>
      <c r="S97" s="14"/>
      <c r="T97" s="43"/>
      <c r="U97" s="14"/>
      <c r="V97" s="43"/>
      <c r="W97" s="14">
        <f>+W93-W95-W96</f>
        <v>0</v>
      </c>
      <c r="X97" s="43" t="str">
        <f t="shared" si="354"/>
        <v>N.D.</v>
      </c>
      <c r="Y97" s="14">
        <f>+Y93-Y95-Y96</f>
        <v>0</v>
      </c>
      <c r="Z97" s="43" t="str">
        <f t="shared" si="355"/>
        <v>N.D.</v>
      </c>
      <c r="AA97" s="14"/>
      <c r="AB97" s="43"/>
      <c r="AC97" s="14"/>
      <c r="AD97" s="43"/>
      <c r="AE97" s="14">
        <f>+AE93-AE95-AE96</f>
        <v>0</v>
      </c>
      <c r="AF97" s="43" t="str">
        <f t="shared" si="356"/>
        <v>N.D.</v>
      </c>
      <c r="AH97" s="4" t="s">
        <v>21</v>
      </c>
      <c r="AI97" s="14"/>
      <c r="AJ97" s="43"/>
      <c r="AK97" s="14"/>
      <c r="AL97" s="43"/>
      <c r="AM97" s="14">
        <f>+AM93-AM95-AM96</f>
        <v>0</v>
      </c>
      <c r="AN97" s="43" t="str">
        <f t="shared" si="357"/>
        <v>N.D.</v>
      </c>
      <c r="AO97" s="14">
        <f>+AO93-AO95-AO96</f>
        <v>0</v>
      </c>
      <c r="AP97" s="43" t="str">
        <f t="shared" si="358"/>
        <v>N.D.</v>
      </c>
      <c r="AQ97" s="14"/>
      <c r="AR97" s="43"/>
      <c r="AS97" s="14"/>
      <c r="AT97" s="43"/>
      <c r="AU97" s="14">
        <f>+AU93-AU95-AU96</f>
        <v>0</v>
      </c>
      <c r="AV97" s="43" t="str">
        <f t="shared" si="359"/>
        <v>N.D.</v>
      </c>
    </row>
    <row r="98" spans="2:48" x14ac:dyDescent="0.35">
      <c r="B98" s="4" t="s">
        <v>22</v>
      </c>
      <c r="C98" s="20"/>
      <c r="D98" s="142" t="str">
        <f t="shared" si="341"/>
        <v>N.D.</v>
      </c>
      <c r="E98" s="20">
        <f t="shared" si="342"/>
        <v>0</v>
      </c>
      <c r="F98" s="142" t="str">
        <f t="shared" si="343"/>
        <v>N.D.</v>
      </c>
      <c r="G98" s="20">
        <f t="shared" si="344"/>
        <v>0</v>
      </c>
      <c r="H98" s="142" t="str">
        <f t="shared" si="345"/>
        <v>N.D.</v>
      </c>
      <c r="I98" s="20">
        <f t="shared" si="346"/>
        <v>0</v>
      </c>
      <c r="J98" s="142" t="str">
        <f t="shared" si="347"/>
        <v>N.D.</v>
      </c>
      <c r="K98" s="20">
        <f t="shared" si="348"/>
        <v>0</v>
      </c>
      <c r="L98" s="142" t="str">
        <f t="shared" si="349"/>
        <v>N.D.</v>
      </c>
      <c r="M98" s="20">
        <f t="shared" si="350"/>
        <v>0</v>
      </c>
      <c r="N98" s="142" t="str">
        <f t="shared" si="351"/>
        <v>N.D.</v>
      </c>
      <c r="O98" s="20">
        <f t="shared" si="352"/>
        <v>0</v>
      </c>
      <c r="P98" s="142" t="str">
        <f t="shared" si="353"/>
        <v>N.D.</v>
      </c>
      <c r="Q98" s="25"/>
      <c r="R98" s="4" t="s">
        <v>22</v>
      </c>
      <c r="S98" s="20"/>
      <c r="T98" s="45"/>
      <c r="U98" s="20"/>
      <c r="V98" s="45"/>
      <c r="W98" s="20">
        <f>+W85+W83</f>
        <v>0</v>
      </c>
      <c r="X98" s="45" t="str">
        <f t="shared" si="354"/>
        <v>N.D.</v>
      </c>
      <c r="Y98" s="20">
        <f>+Y85+Y83</f>
        <v>0</v>
      </c>
      <c r="Z98" s="45" t="str">
        <f t="shared" si="355"/>
        <v>N.D.</v>
      </c>
      <c r="AA98" s="20"/>
      <c r="AB98" s="45"/>
      <c r="AC98" s="20"/>
      <c r="AD98" s="45"/>
      <c r="AE98" s="20">
        <f>+AE85+AE83</f>
        <v>0</v>
      </c>
      <c r="AF98" s="45" t="str">
        <f t="shared" si="356"/>
        <v>N.D.</v>
      </c>
      <c r="AH98" s="4" t="s">
        <v>22</v>
      </c>
      <c r="AI98" s="20"/>
      <c r="AJ98" s="45"/>
      <c r="AK98" s="20"/>
      <c r="AL98" s="45"/>
      <c r="AM98" s="20">
        <f>+AM85+AM83</f>
        <v>0</v>
      </c>
      <c r="AN98" s="45" t="str">
        <f t="shared" si="357"/>
        <v>N.D.</v>
      </c>
      <c r="AO98" s="20">
        <f>+AO85+AO83</f>
        <v>0</v>
      </c>
      <c r="AP98" s="45" t="str">
        <f t="shared" si="358"/>
        <v>N.D.</v>
      </c>
      <c r="AQ98" s="20"/>
      <c r="AR98" s="45"/>
      <c r="AS98" s="20"/>
      <c r="AT98" s="45"/>
      <c r="AU98" s="20">
        <f>+AU85+AU83</f>
        <v>0</v>
      </c>
      <c r="AV98" s="45" t="str">
        <f t="shared" si="359"/>
        <v>N.D.</v>
      </c>
    </row>
    <row r="99" spans="2:48" x14ac:dyDescent="0.35">
      <c r="B99" s="4" t="s">
        <v>36</v>
      </c>
      <c r="C99" s="20"/>
      <c r="D99" s="142" t="str">
        <f t="shared" si="341"/>
        <v>N.D.</v>
      </c>
      <c r="E99" s="20">
        <f t="shared" si="342"/>
        <v>0</v>
      </c>
      <c r="F99" s="142" t="str">
        <f t="shared" si="343"/>
        <v>N.D.</v>
      </c>
      <c r="G99" s="20">
        <f t="shared" si="344"/>
        <v>0</v>
      </c>
      <c r="H99" s="142" t="str">
        <f t="shared" si="345"/>
        <v>N.D.</v>
      </c>
      <c r="I99" s="20">
        <f t="shared" si="346"/>
        <v>0</v>
      </c>
      <c r="J99" s="142" t="str">
        <f t="shared" si="347"/>
        <v>N.D.</v>
      </c>
      <c r="K99" s="20">
        <f t="shared" si="348"/>
        <v>0</v>
      </c>
      <c r="L99" s="142" t="str">
        <f t="shared" si="349"/>
        <v>N.D.</v>
      </c>
      <c r="M99" s="20">
        <f t="shared" si="350"/>
        <v>0</v>
      </c>
      <c r="N99" s="142" t="str">
        <f t="shared" si="351"/>
        <v>N.D.</v>
      </c>
      <c r="O99" s="20">
        <f t="shared" si="352"/>
        <v>-1</v>
      </c>
      <c r="P99" s="142" t="str">
        <f t="shared" si="353"/>
        <v>N.D.</v>
      </c>
      <c r="Q99" s="25"/>
      <c r="R99" s="25"/>
    </row>
    <row r="100" spans="2:48" x14ac:dyDescent="0.35">
      <c r="B100" s="7" t="s">
        <v>37</v>
      </c>
      <c r="C100" s="20"/>
      <c r="D100" s="142" t="str">
        <f t="shared" si="341"/>
        <v>N.D.</v>
      </c>
      <c r="E100" s="20">
        <f t="shared" si="342"/>
        <v>0</v>
      </c>
      <c r="F100" s="142" t="str">
        <f t="shared" si="343"/>
        <v>N.D.</v>
      </c>
      <c r="G100" s="20">
        <f t="shared" si="344"/>
        <v>0</v>
      </c>
      <c r="H100" s="142" t="str">
        <f t="shared" si="345"/>
        <v>N.D.</v>
      </c>
      <c r="I100" s="20">
        <f t="shared" si="346"/>
        <v>0</v>
      </c>
      <c r="J100" s="142" t="str">
        <f t="shared" si="347"/>
        <v>N.D.</v>
      </c>
      <c r="K100" s="20">
        <f t="shared" si="348"/>
        <v>0</v>
      </c>
      <c r="L100" s="142" t="str">
        <f t="shared" si="349"/>
        <v>N.D.</v>
      </c>
      <c r="M100" s="20">
        <f t="shared" si="350"/>
        <v>0</v>
      </c>
      <c r="N100" s="142" t="str">
        <f t="shared" si="351"/>
        <v>N.D.</v>
      </c>
      <c r="O100" s="20">
        <f t="shared" si="352"/>
        <v>0</v>
      </c>
      <c r="P100" s="142" t="str">
        <f t="shared" si="353"/>
        <v>N.D.</v>
      </c>
      <c r="Q100" s="25"/>
      <c r="R100" s="25"/>
    </row>
    <row r="101" spans="2:48" x14ac:dyDescent="0.35">
      <c r="B101" s="4" t="s">
        <v>38</v>
      </c>
      <c r="C101" s="20"/>
      <c r="D101" s="142" t="str">
        <f t="shared" si="341"/>
        <v>N.D.</v>
      </c>
      <c r="E101" s="20">
        <f t="shared" si="342"/>
        <v>0</v>
      </c>
      <c r="F101" s="142" t="str">
        <f t="shared" si="343"/>
        <v>N.D.</v>
      </c>
      <c r="G101" s="20">
        <f t="shared" si="344"/>
        <v>0</v>
      </c>
      <c r="H101" s="142" t="str">
        <f t="shared" si="345"/>
        <v>N.D.</v>
      </c>
      <c r="I101" s="20">
        <f t="shared" si="346"/>
        <v>0</v>
      </c>
      <c r="J101" s="142" t="str">
        <f t="shared" si="347"/>
        <v>N.D.</v>
      </c>
      <c r="K101" s="20">
        <f t="shared" si="348"/>
        <v>0</v>
      </c>
      <c r="L101" s="142" t="str">
        <f t="shared" si="349"/>
        <v>N.D.</v>
      </c>
      <c r="M101" s="20">
        <f t="shared" si="350"/>
        <v>0</v>
      </c>
      <c r="N101" s="142" t="str">
        <f t="shared" si="351"/>
        <v>N.D.</v>
      </c>
      <c r="O101" s="20">
        <f t="shared" si="352"/>
        <v>-1</v>
      </c>
      <c r="P101" s="142" t="str">
        <f t="shared" si="353"/>
        <v>N.D.</v>
      </c>
      <c r="Q101" s="25"/>
      <c r="R101" s="25"/>
    </row>
    <row r="102" spans="2:48" x14ac:dyDescent="0.35">
      <c r="B102" s="7" t="s">
        <v>39</v>
      </c>
      <c r="C102" s="20"/>
      <c r="D102" s="142" t="str">
        <f t="shared" si="341"/>
        <v>N.D.</v>
      </c>
      <c r="E102" s="20">
        <f t="shared" si="342"/>
        <v>0</v>
      </c>
      <c r="F102" s="142" t="str">
        <f t="shared" si="343"/>
        <v>N.D.</v>
      </c>
      <c r="G102" s="20">
        <f t="shared" si="344"/>
        <v>0</v>
      </c>
      <c r="H102" s="142" t="str">
        <f t="shared" si="345"/>
        <v>N.D.</v>
      </c>
      <c r="I102" s="20">
        <f t="shared" si="346"/>
        <v>0</v>
      </c>
      <c r="J102" s="142" t="str">
        <f t="shared" si="347"/>
        <v>N.D.</v>
      </c>
      <c r="K102" s="20">
        <f t="shared" si="348"/>
        <v>0</v>
      </c>
      <c r="L102" s="142" t="str">
        <f t="shared" si="349"/>
        <v>N.D.</v>
      </c>
      <c r="M102" s="20">
        <f t="shared" si="350"/>
        <v>0</v>
      </c>
      <c r="N102" s="142" t="str">
        <f t="shared" si="351"/>
        <v>N.D.</v>
      </c>
      <c r="O102" s="20">
        <f t="shared" si="352"/>
        <v>0</v>
      </c>
      <c r="P102" s="142" t="str">
        <f t="shared" si="353"/>
        <v>N.D.</v>
      </c>
      <c r="Q102" s="25"/>
      <c r="R102" s="25"/>
    </row>
    <row r="103" spans="2:48" x14ac:dyDescent="0.35">
      <c r="B103" s="4" t="s">
        <v>40</v>
      </c>
      <c r="C103" s="20"/>
      <c r="D103" s="142" t="str">
        <f>IF(C$77=0,"N.D.",C103/C$77)</f>
        <v>N.D.</v>
      </c>
      <c r="E103" s="20">
        <f t="shared" si="342"/>
        <v>0</v>
      </c>
      <c r="F103" s="142" t="str">
        <f t="shared" si="343"/>
        <v>N.D.</v>
      </c>
      <c r="G103" s="20">
        <f t="shared" si="344"/>
        <v>0</v>
      </c>
      <c r="H103" s="142" t="str">
        <f t="shared" si="345"/>
        <v>N.D.</v>
      </c>
      <c r="I103" s="20">
        <f t="shared" si="346"/>
        <v>0</v>
      </c>
      <c r="J103" s="142" t="str">
        <f t="shared" si="347"/>
        <v>N.D.</v>
      </c>
      <c r="K103" s="20">
        <f t="shared" si="348"/>
        <v>0</v>
      </c>
      <c r="L103" s="142" t="str">
        <f t="shared" si="349"/>
        <v>N.D.</v>
      </c>
      <c r="M103" s="20">
        <f t="shared" si="350"/>
        <v>0</v>
      </c>
      <c r="N103" s="142" t="str">
        <f t="shared" si="351"/>
        <v>N.D.</v>
      </c>
      <c r="O103" s="20">
        <f t="shared" si="352"/>
        <v>-1</v>
      </c>
      <c r="P103" s="142" t="str">
        <f t="shared" si="353"/>
        <v>N.D.</v>
      </c>
      <c r="Q103" s="25"/>
      <c r="R103" s="25"/>
    </row>
    <row r="104" spans="2:48" x14ac:dyDescent="0.35">
      <c r="B104" s="7"/>
      <c r="C104" s="143"/>
      <c r="D104" s="144"/>
      <c r="E104" s="143"/>
      <c r="F104" s="144"/>
      <c r="G104" s="143"/>
      <c r="H104" s="144"/>
      <c r="I104" s="143"/>
      <c r="J104" s="144"/>
      <c r="K104" s="143"/>
      <c r="L104" s="144"/>
      <c r="M104" s="143"/>
      <c r="N104" s="144"/>
      <c r="O104" s="143"/>
      <c r="P104" s="25"/>
      <c r="Q104" s="25"/>
      <c r="R104" s="25"/>
    </row>
    <row r="106" spans="2:48" x14ac:dyDescent="0.35">
      <c r="B106" t="s">
        <v>368</v>
      </c>
    </row>
    <row r="107" spans="2:48" ht="14.5" customHeight="1" x14ac:dyDescent="0.35">
      <c r="B107" s="26" t="s">
        <v>110</v>
      </c>
      <c r="C107" s="7"/>
      <c r="D107" s="369" t="s">
        <v>370</v>
      </c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/>
      <c r="D109" s="29" t="str">
        <f>IF(C$109=0,"N.D.",C109/C$109)</f>
        <v>N.D.</v>
      </c>
      <c r="E109" s="8">
        <f>E41/TC_PROM</f>
        <v>0</v>
      </c>
      <c r="F109" s="137" t="str">
        <f t="shared" ref="F109:F111" si="360">IF(E$109=0,"N.D.",E109/E$109)</f>
        <v>N.D.</v>
      </c>
      <c r="G109" s="8">
        <f>G41/TC_PROM</f>
        <v>0</v>
      </c>
      <c r="H109" s="137" t="str">
        <f t="shared" ref="H109:H111" si="361">IF(G$109=0,"N.D.",G109/G$109)</f>
        <v>N.D.</v>
      </c>
      <c r="I109" s="8">
        <f>I41/TC_PROM</f>
        <v>0</v>
      </c>
      <c r="J109" s="137" t="str">
        <f t="shared" ref="J109:J111" si="362">IF(I$109=0,"N.D.",I109/I$109)</f>
        <v>N.D.</v>
      </c>
      <c r="K109" s="8">
        <f>K41/TC_PROM</f>
        <v>0</v>
      </c>
      <c r="L109" s="137" t="str">
        <f t="shared" ref="L109:L111" si="363">IF(K$109=0,"N.D.",K109/K$109)</f>
        <v>N.D.</v>
      </c>
      <c r="M109" s="8">
        <f>M41/TC_PROM</f>
        <v>0</v>
      </c>
      <c r="N109" s="137" t="str">
        <f t="shared" ref="N109:N111" si="364">IF(M$109=0,"N.D.",M109/M$109)</f>
        <v>N.D.</v>
      </c>
      <c r="O109" s="8">
        <f>O41/TC_PROM</f>
        <v>0</v>
      </c>
      <c r="P109" s="137" t="str">
        <f t="shared" ref="P109:P111" si="365">IF(O$109=0,"N.D.",O109/O$109)</f>
        <v>N.D.</v>
      </c>
      <c r="R109" s="7" t="s">
        <v>5</v>
      </c>
      <c r="S109" s="8"/>
      <c r="T109" s="29"/>
      <c r="U109" s="8"/>
      <c r="V109" s="29"/>
      <c r="W109" s="8">
        <f>(BDER!L466+BDER!L489+BDER!L556+BDER!L601)/1000</f>
        <v>0</v>
      </c>
      <c r="X109" s="29" t="str">
        <f>IF(W$109=0,"N.D.",W109/W$109)</f>
        <v>N.D.</v>
      </c>
      <c r="Y109" s="8">
        <f>(BDER!L512+BDER!L534+BDER!L579+BDER!L624+BDER!L646)/1000</f>
        <v>0</v>
      </c>
      <c r="Z109" s="29" t="str">
        <f>IF(Y$109=0,"N.D.",Y109/Y$109)</f>
        <v>N.D.</v>
      </c>
      <c r="AA109" s="8"/>
      <c r="AB109" s="29"/>
      <c r="AC109" s="8"/>
      <c r="AD109" s="29"/>
      <c r="AE109" s="8">
        <f>+AA109+U109+S109+AC109+W109+Y109</f>
        <v>0</v>
      </c>
      <c r="AF109" s="29" t="str">
        <f t="shared" ref="AF109:AF111" si="366">IF(AE$41=0,"N.D.",AE109/AE$41)</f>
        <v>N.D.</v>
      </c>
      <c r="AH109" s="7" t="s">
        <v>5</v>
      </c>
      <c r="AI109" s="8"/>
      <c r="AJ109" s="29"/>
      <c r="AK109" s="8"/>
      <c r="AL109" s="29"/>
      <c r="AM109" s="8">
        <f>(BDER!H466+BDER!H489+BDER!H556+BDER!H601)/1000</f>
        <v>0</v>
      </c>
      <c r="AN109" s="29" t="str">
        <f>IF(AM$109=0,"N.D.",AM109/AM$109)</f>
        <v>N.D.</v>
      </c>
      <c r="AO109" s="8">
        <f>(BDER!H512+BDER!H534+BDER!H579+BDER!H624+BDER!H646)/1000</f>
        <v>0</v>
      </c>
      <c r="AP109" s="29" t="str">
        <f t="shared" ref="AP109:AP111" si="367">IF(AO$109=0,"N.D.",AO109/AO$109)</f>
        <v>N.D.</v>
      </c>
      <c r="AQ109" s="8"/>
      <c r="AR109" s="29"/>
      <c r="AS109" s="8"/>
      <c r="AT109" s="29"/>
      <c r="AU109" s="8">
        <f>+AQ109+AK109+AI109+AS109+AM109+AO109</f>
        <v>0</v>
      </c>
      <c r="AV109" s="29" t="str">
        <f t="shared" ref="AV109:AV111" si="368">IF(AU$41=0,"N.D.",AU109/AU$41)</f>
        <v>N.D.</v>
      </c>
    </row>
    <row r="110" spans="2:48" x14ac:dyDescent="0.35">
      <c r="B110" s="7" t="s">
        <v>6</v>
      </c>
      <c r="C110" s="11"/>
      <c r="D110" s="138" t="str">
        <f t="shared" ref="D110:D111" si="369">IF(C$109=0,"N.D.",C110/C$109)</f>
        <v>N.D.</v>
      </c>
      <c r="E110" s="11">
        <f>E42/TC_PROM</f>
        <v>0</v>
      </c>
      <c r="F110" s="138" t="str">
        <f t="shared" si="360"/>
        <v>N.D.</v>
      </c>
      <c r="G110" s="11">
        <f>G42/TC_PROM</f>
        <v>0</v>
      </c>
      <c r="H110" s="138" t="str">
        <f t="shared" si="361"/>
        <v>N.D.</v>
      </c>
      <c r="I110" s="11">
        <f>I42/TC_PROM</f>
        <v>0</v>
      </c>
      <c r="J110" s="138" t="str">
        <f t="shared" si="362"/>
        <v>N.D.</v>
      </c>
      <c r="K110" s="11">
        <f>K42/TC_PROM</f>
        <v>0</v>
      </c>
      <c r="L110" s="138" t="str">
        <f t="shared" si="363"/>
        <v>N.D.</v>
      </c>
      <c r="M110" s="11">
        <f>M42/TC_PROM</f>
        <v>0</v>
      </c>
      <c r="N110" s="138" t="str">
        <f t="shared" si="364"/>
        <v>N.D.</v>
      </c>
      <c r="O110" s="11">
        <f>O42/TC_PROM</f>
        <v>0</v>
      </c>
      <c r="P110" s="138" t="str">
        <f t="shared" si="365"/>
        <v>N.D.</v>
      </c>
      <c r="R110" s="7" t="s">
        <v>6</v>
      </c>
      <c r="S110" s="8"/>
      <c r="T110" s="42"/>
      <c r="U110" s="8"/>
      <c r="V110" s="42"/>
      <c r="W110" s="8">
        <f>(BDER!L467+BDER!L490+BDER!L557+BDER!L602)/1000</f>
        <v>0</v>
      </c>
      <c r="X110" s="42" t="str">
        <f t="shared" ref="X110:X111" si="370">IF(W$109=0,"N.D.",W110/W$109)</f>
        <v>N.D.</v>
      </c>
      <c r="Y110" s="8">
        <f>(BDER!L513+BDER!L535+BDER!L580+BDER!L625+BDER!L647)/1000</f>
        <v>0</v>
      </c>
      <c r="Z110" s="42" t="str">
        <f t="shared" ref="Z110:Z111" si="371">IF(Y$109=0,"N.D.",Y110/Y$109)</f>
        <v>N.D.</v>
      </c>
      <c r="AA110" s="8"/>
      <c r="AB110" s="42"/>
      <c r="AC110" s="8"/>
      <c r="AD110" s="42"/>
      <c r="AE110" s="11">
        <f>+AA110+U110+S110+AC110+W110+Y110</f>
        <v>0</v>
      </c>
      <c r="AF110" s="42" t="str">
        <f t="shared" si="366"/>
        <v>N.D.</v>
      </c>
      <c r="AH110" s="7" t="s">
        <v>6</v>
      </c>
      <c r="AI110" s="8"/>
      <c r="AJ110" s="42"/>
      <c r="AK110" s="8"/>
      <c r="AL110" s="42"/>
      <c r="AM110" s="8">
        <f>(BDER!H467+BDER!H490+BDER!H557+BDER!H602)/1000</f>
        <v>0</v>
      </c>
      <c r="AN110" s="29" t="str">
        <f>IF(AM$109=0,"N.D.",AM110/AM$109)</f>
        <v>N.D.</v>
      </c>
      <c r="AO110" s="8">
        <f>(BDER!H513+BDER!H535+BDER!H580+BDER!H625+BDER!H647)/1000</f>
        <v>0</v>
      </c>
      <c r="AP110" s="42" t="str">
        <f t="shared" si="367"/>
        <v>N.D.</v>
      </c>
      <c r="AQ110" s="8"/>
      <c r="AR110" s="42"/>
      <c r="AS110" s="8"/>
      <c r="AT110" s="42"/>
      <c r="AU110" s="11">
        <f>+AQ110+AK110+AI110+AS110+AM110+AO110</f>
        <v>0</v>
      </c>
      <c r="AV110" s="42" t="str">
        <f t="shared" si="368"/>
        <v>N.D.</v>
      </c>
    </row>
    <row r="111" spans="2:48" x14ac:dyDescent="0.35">
      <c r="B111" s="4" t="s">
        <v>7</v>
      </c>
      <c r="C111" s="14"/>
      <c r="D111" s="139" t="str">
        <f t="shared" si="369"/>
        <v>N.D.</v>
      </c>
      <c r="E111" s="14">
        <f>E43/TC_PROM</f>
        <v>0</v>
      </c>
      <c r="F111" s="139" t="str">
        <f t="shared" si="360"/>
        <v>N.D.</v>
      </c>
      <c r="G111" s="14">
        <f>G43/TC_PROM</f>
        <v>0</v>
      </c>
      <c r="H111" s="139" t="str">
        <f t="shared" si="361"/>
        <v>N.D.</v>
      </c>
      <c r="I111" s="14">
        <f>I43/TC_PROM</f>
        <v>0</v>
      </c>
      <c r="J111" s="139" t="str">
        <f t="shared" si="362"/>
        <v>N.D.</v>
      </c>
      <c r="K111" s="14">
        <f>K43/TC_PROM</f>
        <v>0</v>
      </c>
      <c r="L111" s="139" t="str">
        <f t="shared" si="363"/>
        <v>N.D.</v>
      </c>
      <c r="M111" s="14">
        <f>M43/TC_PROM</f>
        <v>0</v>
      </c>
      <c r="N111" s="139" t="str">
        <f t="shared" si="364"/>
        <v>N.D.</v>
      </c>
      <c r="O111" s="14">
        <f>O43/TC_PROM</f>
        <v>0</v>
      </c>
      <c r="P111" s="139" t="str">
        <f t="shared" si="365"/>
        <v>N.D.</v>
      </c>
      <c r="R111" s="4" t="s">
        <v>7</v>
      </c>
      <c r="S111" s="14"/>
      <c r="T111" s="43"/>
      <c r="U111" s="14"/>
      <c r="V111" s="43"/>
      <c r="W111" s="14">
        <f>+W109-W110</f>
        <v>0</v>
      </c>
      <c r="X111" s="43" t="str">
        <f t="shared" si="370"/>
        <v>N.D.</v>
      </c>
      <c r="Y111" s="14">
        <f>+Y109-Y110</f>
        <v>0</v>
      </c>
      <c r="Z111" s="43" t="str">
        <f t="shared" si="371"/>
        <v>N.D.</v>
      </c>
      <c r="AA111" s="14"/>
      <c r="AB111" s="43"/>
      <c r="AC111" s="14"/>
      <c r="AD111" s="43"/>
      <c r="AE111" s="14">
        <f>+AA111+U111+S111+AC111+W111+Y111</f>
        <v>0</v>
      </c>
      <c r="AF111" s="43" t="str">
        <f t="shared" si="366"/>
        <v>N.D.</v>
      </c>
      <c r="AH111" s="4" t="s">
        <v>7</v>
      </c>
      <c r="AI111" s="14"/>
      <c r="AJ111" s="43"/>
      <c r="AK111" s="14"/>
      <c r="AL111" s="43"/>
      <c r="AM111" s="14">
        <f>+AM109-AM110</f>
        <v>0</v>
      </c>
      <c r="AN111" s="43" t="str">
        <f>IF(AM$109=0,"N.D.",AM111/AM$109)</f>
        <v>N.D.</v>
      </c>
      <c r="AO111" s="14">
        <f>+AO109-AO110</f>
        <v>0</v>
      </c>
      <c r="AP111" s="43" t="str">
        <f t="shared" si="367"/>
        <v>N.D.</v>
      </c>
      <c r="AQ111" s="14"/>
      <c r="AR111" s="43"/>
      <c r="AS111" s="14"/>
      <c r="AT111" s="43"/>
      <c r="AU111" s="14">
        <f>+AQ111+AK111+AI111+AS111+AM111+AO111</f>
        <v>0</v>
      </c>
      <c r="AV111" s="43" t="str">
        <f t="shared" si="368"/>
        <v>N.D.</v>
      </c>
    </row>
    <row r="112" spans="2:48" x14ac:dyDescent="0.35">
      <c r="B112" s="1"/>
      <c r="C112" s="30"/>
      <c r="D112" s="140"/>
      <c r="E112" s="30"/>
      <c r="F112" s="140"/>
      <c r="G112" s="30"/>
      <c r="H112" s="140"/>
      <c r="I112" s="30"/>
      <c r="J112" s="140"/>
      <c r="K112" s="30"/>
      <c r="L112" s="140"/>
      <c r="M112" s="30"/>
      <c r="N112" s="140"/>
      <c r="O112" s="30"/>
      <c r="P112" s="140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/>
      <c r="D113" s="141" t="str">
        <f t="shared" ref="D113:D117" si="372">IF(C$109=0,"N.D.",C113/C$109)</f>
        <v>N.D.</v>
      </c>
      <c r="E113" s="8">
        <f>E45/TC_PROM</f>
        <v>0</v>
      </c>
      <c r="F113" s="141" t="str">
        <f t="shared" ref="F113:F117" si="373">IF(E$109=0,"N.D.",E113/E$109)</f>
        <v>N.D.</v>
      </c>
      <c r="G113" s="8">
        <f>G45/TC_PROM</f>
        <v>0</v>
      </c>
      <c r="H113" s="141" t="str">
        <f t="shared" ref="H113:H117" si="374">IF(G$109=0,"N.D.",G113/G$109)</f>
        <v>N.D.</v>
      </c>
      <c r="I113" s="8">
        <f>I45/TC_PROM</f>
        <v>0</v>
      </c>
      <c r="J113" s="141" t="str">
        <f t="shared" ref="J113:J117" si="375">IF(I$109=0,"N.D.",I113/I$109)</f>
        <v>N.D.</v>
      </c>
      <c r="K113" s="8">
        <f>K45/TC_PROM</f>
        <v>0</v>
      </c>
      <c r="L113" s="141" t="str">
        <f t="shared" ref="L113:L117" si="376">IF(K$109=0,"N.D.",K113/K$109)</f>
        <v>N.D.</v>
      </c>
      <c r="M113" s="8">
        <f>M45/TC_PROM</f>
        <v>0</v>
      </c>
      <c r="N113" s="141" t="str">
        <f t="shared" ref="N113:N117" si="377">IF(M$109=0,"N.D.",M113/M$109)</f>
        <v>N.D.</v>
      </c>
      <c r="O113" s="8">
        <f>O45/TC_PROM</f>
        <v>0</v>
      </c>
      <c r="P113" s="141" t="str">
        <f t="shared" ref="P113:P117" si="378">IF(O$109=0,"N.D.",O113/O$109)</f>
        <v>N.D.</v>
      </c>
      <c r="R113" s="7" t="s">
        <v>8</v>
      </c>
      <c r="S113" s="8"/>
      <c r="T113" s="29"/>
      <c r="U113" s="8"/>
      <c r="V113" s="29"/>
      <c r="W113" s="8">
        <f>(BDER!L470+BDER!L493+BDER!L560+BDER!L605)/1000</f>
        <v>0</v>
      </c>
      <c r="X113" s="29" t="str">
        <f t="shared" ref="X113:X117" si="379">IF(W$109=0,"N.D.",W113/W$109)</f>
        <v>N.D.</v>
      </c>
      <c r="Y113" s="8">
        <f>(BDER!L515+BDER!L537+BDER!L582+BDER!L627+BDER!L649)/1000</f>
        <v>0</v>
      </c>
      <c r="Z113" s="29" t="str">
        <f t="shared" ref="Z113:Z117" si="380">IF(Y$109=0,"N.D.",Y113/Y$109)</f>
        <v>N.D.</v>
      </c>
      <c r="AA113" s="8"/>
      <c r="AB113" s="29"/>
      <c r="AC113" s="8"/>
      <c r="AD113" s="29"/>
      <c r="AE113" s="8">
        <f>+AA113+U113+S113+AC113+W113+Y113</f>
        <v>0</v>
      </c>
      <c r="AF113" s="29" t="str">
        <f t="shared" ref="AF113:AF117" si="381">IF(AE$41=0,"N.D.",AE113/AE$41)</f>
        <v>N.D.</v>
      </c>
      <c r="AH113" s="7" t="s">
        <v>8</v>
      </c>
      <c r="AI113" s="8"/>
      <c r="AJ113" s="29"/>
      <c r="AK113" s="8"/>
      <c r="AL113" s="29"/>
      <c r="AM113" s="8">
        <f>(BDER!H470+BDER!H493+BDER!H560+BDER!H605)/1000</f>
        <v>0</v>
      </c>
      <c r="AN113" s="29" t="str">
        <f t="shared" ref="AN113:AN117" si="382">IF(AM$109=0,"N.D.",AM113/AM$109)</f>
        <v>N.D.</v>
      </c>
      <c r="AO113" s="8">
        <f>(BDER!H515+BDER!H537+BDER!H582+BDER!H627+BDER!H649)/1000</f>
        <v>0</v>
      </c>
      <c r="AP113" s="29" t="str">
        <f t="shared" ref="AP113:AP117" si="383">IF(AO$109=0,"N.D.",AO113/AO$109)</f>
        <v>N.D.</v>
      </c>
      <c r="AQ113" s="8"/>
      <c r="AR113" s="29"/>
      <c r="AS113" s="8"/>
      <c r="AT113" s="29"/>
      <c r="AU113" s="8">
        <f>+AQ113+AK113+AI113+AS113+AM113+AO113</f>
        <v>0</v>
      </c>
      <c r="AV113" s="29" t="str">
        <f t="shared" ref="AV113:AV117" si="384">IF(AU$41=0,"N.D.",AU113/AU$41)</f>
        <v>N.D.</v>
      </c>
    </row>
    <row r="114" spans="2:48" x14ac:dyDescent="0.35">
      <c r="B114" s="7" t="s">
        <v>9</v>
      </c>
      <c r="C114" s="11"/>
      <c r="D114" s="138" t="str">
        <f t="shared" si="372"/>
        <v>N.D.</v>
      </c>
      <c r="E114" s="11">
        <f>E46/TC_PROM+E51/TC_PROM+E52/TC_PROM</f>
        <v>0</v>
      </c>
      <c r="F114" s="138" t="str">
        <f t="shared" si="373"/>
        <v>N.D.</v>
      </c>
      <c r="G114" s="11">
        <f>G46/TC_PROM+G51/TC_PROM+G52/TC_PROM</f>
        <v>0</v>
      </c>
      <c r="H114" s="138" t="str">
        <f t="shared" si="374"/>
        <v>N.D.</v>
      </c>
      <c r="I114" s="11">
        <f>I46/TC_PROM+I51/TC_PROM+I52/TC_PROM</f>
        <v>0</v>
      </c>
      <c r="J114" s="138" t="str">
        <f t="shared" si="375"/>
        <v>N.D.</v>
      </c>
      <c r="K114" s="11">
        <f>K46/TC_PROM+K51/TC_PROM+K52/TC_PROM</f>
        <v>0</v>
      </c>
      <c r="L114" s="138" t="str">
        <f t="shared" si="376"/>
        <v>N.D.</v>
      </c>
      <c r="M114" s="11">
        <f>M46/TC_PROM+M51/TC_PROM+M52/TC_PROM</f>
        <v>0</v>
      </c>
      <c r="N114" s="138" t="str">
        <f t="shared" si="377"/>
        <v>N.D.</v>
      </c>
      <c r="O114" s="11">
        <f>O46/TC_PROM+O51/TC_PROM+O52/TC_PROM</f>
        <v>0</v>
      </c>
      <c r="P114" s="138" t="str">
        <f t="shared" si="378"/>
        <v>N.D.</v>
      </c>
      <c r="R114" s="7" t="s">
        <v>9</v>
      </c>
      <c r="S114" s="8"/>
      <c r="T114" s="42"/>
      <c r="U114" s="8"/>
      <c r="V114" s="42"/>
      <c r="W114" s="8">
        <f>(BDER!L471+BDER!L494+BDER!L561+BDER!L606)/1000</f>
        <v>0</v>
      </c>
      <c r="X114" s="42" t="str">
        <f t="shared" si="379"/>
        <v>N.D.</v>
      </c>
      <c r="Y114" s="8">
        <f>(BDER!L516+BDER!L538+BDER!L583+BDER!L628+BDER!L650)/1000</f>
        <v>0</v>
      </c>
      <c r="Z114" s="42" t="str">
        <f t="shared" si="380"/>
        <v>N.D.</v>
      </c>
      <c r="AA114" s="8"/>
      <c r="AB114" s="42"/>
      <c r="AC114" s="8"/>
      <c r="AD114" s="42"/>
      <c r="AE114" s="11">
        <f>+AA114+U114+S114+AC114+W114+Y114</f>
        <v>0</v>
      </c>
      <c r="AF114" s="42" t="str">
        <f t="shared" si="381"/>
        <v>N.D.</v>
      </c>
      <c r="AH114" s="7" t="s">
        <v>9</v>
      </c>
      <c r="AI114" s="8"/>
      <c r="AJ114" s="42"/>
      <c r="AK114" s="8"/>
      <c r="AL114" s="42"/>
      <c r="AM114" s="8">
        <f>(BDER!H471+BDER!H494+BDER!H561+BDER!H606)/1000</f>
        <v>0</v>
      </c>
      <c r="AN114" s="42" t="str">
        <f t="shared" si="382"/>
        <v>N.D.</v>
      </c>
      <c r="AO114" s="8">
        <f>(BDER!H516+BDER!H538+BDER!H583+BDER!H628+BDER!H650)/1000</f>
        <v>0</v>
      </c>
      <c r="AP114" s="42" t="str">
        <f t="shared" si="383"/>
        <v>N.D.</v>
      </c>
      <c r="AQ114" s="8"/>
      <c r="AR114" s="42"/>
      <c r="AS114" s="8"/>
      <c r="AT114" s="42"/>
      <c r="AU114" s="11">
        <f>+AQ114+AK114+AI114+AS114+AM114+AO114</f>
        <v>0</v>
      </c>
      <c r="AV114" s="42" t="str">
        <f t="shared" si="384"/>
        <v>N.D.</v>
      </c>
    </row>
    <row r="115" spans="2:48" x14ac:dyDescent="0.35">
      <c r="B115" s="7" t="s">
        <v>10</v>
      </c>
      <c r="C115" s="11"/>
      <c r="D115" s="138" t="str">
        <f t="shared" si="372"/>
        <v>N.D.</v>
      </c>
      <c r="E115" s="11">
        <f>E47/TC_PROM</f>
        <v>0</v>
      </c>
      <c r="F115" s="138" t="str">
        <f t="shared" si="373"/>
        <v>N.D.</v>
      </c>
      <c r="G115" s="11">
        <f>G47/TC_PROM</f>
        <v>0</v>
      </c>
      <c r="H115" s="138" t="str">
        <f t="shared" si="374"/>
        <v>N.D.</v>
      </c>
      <c r="I115" s="11">
        <f>I47/TC_PROM</f>
        <v>0</v>
      </c>
      <c r="J115" s="138" t="str">
        <f t="shared" si="375"/>
        <v>N.D.</v>
      </c>
      <c r="K115" s="11">
        <f>K47/TC_PROM</f>
        <v>0</v>
      </c>
      <c r="L115" s="138" t="str">
        <f t="shared" si="376"/>
        <v>N.D.</v>
      </c>
      <c r="M115" s="11">
        <f>M47/TC_PROM</f>
        <v>0</v>
      </c>
      <c r="N115" s="138" t="str">
        <f t="shared" si="377"/>
        <v>N.D.</v>
      </c>
      <c r="O115" s="11">
        <f>O47/TC_PROM</f>
        <v>0</v>
      </c>
      <c r="P115" s="138" t="str">
        <f t="shared" si="378"/>
        <v>N.D.</v>
      </c>
      <c r="R115" s="7" t="s">
        <v>10</v>
      </c>
      <c r="S115" s="8"/>
      <c r="T115" s="42"/>
      <c r="U115" s="8"/>
      <c r="V115" s="42"/>
      <c r="W115" s="8">
        <f>(BDER!L472+BDER!L495+BDER!L562+BDER!L607)/1000</f>
        <v>0</v>
      </c>
      <c r="X115" s="42" t="str">
        <f t="shared" si="379"/>
        <v>N.D.</v>
      </c>
      <c r="Y115" s="8">
        <f>(BDER!L517+BDER!L539+BDER!L584+BDER!L629+BDER!L651)/1000</f>
        <v>0</v>
      </c>
      <c r="Z115" s="42" t="str">
        <f t="shared" si="380"/>
        <v>N.D.</v>
      </c>
      <c r="AA115" s="8"/>
      <c r="AB115" s="42"/>
      <c r="AC115" s="8"/>
      <c r="AD115" s="42"/>
      <c r="AE115" s="11">
        <f>+AA115+U115+S115+AC115+W115+Y115</f>
        <v>0</v>
      </c>
      <c r="AF115" s="42" t="str">
        <f t="shared" si="381"/>
        <v>N.D.</v>
      </c>
      <c r="AH115" s="7" t="s">
        <v>10</v>
      </c>
      <c r="AI115" s="8"/>
      <c r="AJ115" s="42"/>
      <c r="AK115" s="8"/>
      <c r="AL115" s="42"/>
      <c r="AM115" s="8">
        <f>(BDER!H472+BDER!H495+BDER!H562+BDER!H607)/1000</f>
        <v>0</v>
      </c>
      <c r="AN115" s="42" t="str">
        <f t="shared" si="382"/>
        <v>N.D.</v>
      </c>
      <c r="AO115" s="8">
        <f>(BDER!H517+BDER!H539+BDER!H584+BDER!H629+BDER!H651)/1000</f>
        <v>0</v>
      </c>
      <c r="AP115" s="42" t="str">
        <f t="shared" si="383"/>
        <v>N.D.</v>
      </c>
      <c r="AQ115" s="8"/>
      <c r="AR115" s="42"/>
      <c r="AS115" s="8"/>
      <c r="AT115" s="42"/>
      <c r="AU115" s="11">
        <f>+AQ115+AK115+AI115+AS115+AM115+AO115</f>
        <v>0</v>
      </c>
      <c r="AV115" s="42" t="str">
        <f t="shared" si="384"/>
        <v>N.D.</v>
      </c>
    </row>
    <row r="116" spans="2:48" x14ac:dyDescent="0.35">
      <c r="B116" s="4" t="s">
        <v>11</v>
      </c>
      <c r="C116" s="14"/>
      <c r="D116" s="139" t="str">
        <f t="shared" si="372"/>
        <v>N.D.</v>
      </c>
      <c r="E116" s="14">
        <f>E48/TC_PROM</f>
        <v>0</v>
      </c>
      <c r="F116" s="139" t="str">
        <f t="shared" si="373"/>
        <v>N.D.</v>
      </c>
      <c r="G116" s="14">
        <f>G48/TC_PROM</f>
        <v>0</v>
      </c>
      <c r="H116" s="139" t="str">
        <f t="shared" si="374"/>
        <v>N.D.</v>
      </c>
      <c r="I116" s="14">
        <f>I48/TC_PROM</f>
        <v>0</v>
      </c>
      <c r="J116" s="139" t="str">
        <f t="shared" si="375"/>
        <v>N.D.</v>
      </c>
      <c r="K116" s="14">
        <f>K48/TC_PROM</f>
        <v>0</v>
      </c>
      <c r="L116" s="139" t="str">
        <f t="shared" si="376"/>
        <v>N.D.</v>
      </c>
      <c r="M116" s="14">
        <f>M48/TC_PROM</f>
        <v>0</v>
      </c>
      <c r="N116" s="139" t="str">
        <f t="shared" si="377"/>
        <v>N.D.</v>
      </c>
      <c r="O116" s="14">
        <f>O48/TC_PROM</f>
        <v>0</v>
      </c>
      <c r="P116" s="139" t="str">
        <f t="shared" si="378"/>
        <v>N.D.</v>
      </c>
      <c r="R116" s="4" t="s">
        <v>11</v>
      </c>
      <c r="S116" s="14"/>
      <c r="T116" s="43"/>
      <c r="U116" s="14"/>
      <c r="V116" s="43"/>
      <c r="W116" s="14">
        <f>+W115+W114+W113</f>
        <v>0</v>
      </c>
      <c r="X116" s="43" t="str">
        <f t="shared" si="379"/>
        <v>N.D.</v>
      </c>
      <c r="Y116" s="14">
        <f>+Y115+Y114+Y113</f>
        <v>0</v>
      </c>
      <c r="Z116" s="43" t="str">
        <f t="shared" si="380"/>
        <v>N.D.</v>
      </c>
      <c r="AA116" s="14"/>
      <c r="AB116" s="43"/>
      <c r="AC116" s="14"/>
      <c r="AD116" s="43"/>
      <c r="AE116" s="14">
        <f>+AA116+U116+S116+AC116+W116+Y116</f>
        <v>0</v>
      </c>
      <c r="AF116" s="43" t="str">
        <f t="shared" si="381"/>
        <v>N.D.</v>
      </c>
      <c r="AH116" s="4" t="s">
        <v>11</v>
      </c>
      <c r="AI116" s="14"/>
      <c r="AJ116" s="43"/>
      <c r="AK116" s="14"/>
      <c r="AL116" s="43"/>
      <c r="AM116" s="14">
        <f>+AM115+AM114+AM113</f>
        <v>0</v>
      </c>
      <c r="AN116" s="43" t="str">
        <f t="shared" si="382"/>
        <v>N.D.</v>
      </c>
      <c r="AO116" s="14">
        <f>+AO115+AO114+AO113</f>
        <v>0</v>
      </c>
      <c r="AP116" s="43" t="str">
        <f t="shared" si="383"/>
        <v>N.D.</v>
      </c>
      <c r="AQ116" s="14"/>
      <c r="AR116" s="43"/>
      <c r="AS116" s="14"/>
      <c r="AT116" s="43"/>
      <c r="AU116" s="14">
        <f>+AQ116+AK116+AI116+AS116+AM116+AO116</f>
        <v>0</v>
      </c>
      <c r="AV116" s="43" t="str">
        <f t="shared" si="384"/>
        <v>N.D.</v>
      </c>
    </row>
    <row r="117" spans="2:48" x14ac:dyDescent="0.35">
      <c r="B117" s="4" t="s">
        <v>12</v>
      </c>
      <c r="C117" s="20"/>
      <c r="D117" s="142" t="str">
        <f t="shared" si="372"/>
        <v>N.D.</v>
      </c>
      <c r="E117" s="20">
        <f>E53/TC_PROM</f>
        <v>0</v>
      </c>
      <c r="F117" s="142" t="str">
        <f t="shared" si="373"/>
        <v>N.D.</v>
      </c>
      <c r="G117" s="20">
        <f>G53/TC_PROM</f>
        <v>0</v>
      </c>
      <c r="H117" s="142" t="str">
        <f t="shared" si="374"/>
        <v>N.D.</v>
      </c>
      <c r="I117" s="20">
        <f>I53/TC_PROM</f>
        <v>0</v>
      </c>
      <c r="J117" s="142" t="str">
        <f t="shared" si="375"/>
        <v>N.D.</v>
      </c>
      <c r="K117" s="20">
        <f>K53/TC_PROM</f>
        <v>0</v>
      </c>
      <c r="L117" s="142" t="str">
        <f t="shared" si="376"/>
        <v>N.D.</v>
      </c>
      <c r="M117" s="20">
        <f>M53/TC_PROM</f>
        <v>0</v>
      </c>
      <c r="N117" s="142" t="str">
        <f t="shared" si="377"/>
        <v>N.D.</v>
      </c>
      <c r="O117" s="20">
        <f>O53/TC_PROM</f>
        <v>0</v>
      </c>
      <c r="P117" s="142" t="str">
        <f t="shared" si="378"/>
        <v>N.D.</v>
      </c>
      <c r="R117" s="4" t="s">
        <v>12</v>
      </c>
      <c r="S117" s="20"/>
      <c r="T117" s="45"/>
      <c r="U117" s="20"/>
      <c r="V117" s="45"/>
      <c r="W117" s="20">
        <f>+W111-W116</f>
        <v>0</v>
      </c>
      <c r="X117" s="45" t="str">
        <f t="shared" si="379"/>
        <v>N.D.</v>
      </c>
      <c r="Y117" s="20">
        <f>+Y111-Y116</f>
        <v>0</v>
      </c>
      <c r="Z117" s="45" t="str">
        <f t="shared" si="380"/>
        <v>N.D.</v>
      </c>
      <c r="AA117" s="20"/>
      <c r="AB117" s="45"/>
      <c r="AC117" s="20"/>
      <c r="AD117" s="45"/>
      <c r="AE117" s="20">
        <f>+AA117+U117+S117+AC117+W117+Y117</f>
        <v>0</v>
      </c>
      <c r="AF117" s="45" t="str">
        <f t="shared" si="381"/>
        <v>N.D.</v>
      </c>
      <c r="AH117" s="4" t="s">
        <v>12</v>
      </c>
      <c r="AI117" s="20"/>
      <c r="AJ117" s="45"/>
      <c r="AK117" s="20"/>
      <c r="AL117" s="45"/>
      <c r="AM117" s="20">
        <f>+AM111-AM116</f>
        <v>0</v>
      </c>
      <c r="AN117" s="45" t="str">
        <f t="shared" si="382"/>
        <v>N.D.</v>
      </c>
      <c r="AO117" s="20">
        <f>+AO111-AO116</f>
        <v>0</v>
      </c>
      <c r="AP117" s="45" t="str">
        <f t="shared" si="383"/>
        <v>N.D.</v>
      </c>
      <c r="AQ117" s="20"/>
      <c r="AR117" s="45"/>
      <c r="AS117" s="20"/>
      <c r="AT117" s="45"/>
      <c r="AU117" s="20">
        <f>+AQ117+AK117+AI117+AS117+AM117+AO117</f>
        <v>0</v>
      </c>
      <c r="AV117" s="45" t="str">
        <f t="shared" si="384"/>
        <v>N.D.</v>
      </c>
    </row>
    <row r="118" spans="2:48" x14ac:dyDescent="0.35">
      <c r="B118" s="1"/>
      <c r="C118" s="30"/>
      <c r="D118" s="140"/>
      <c r="E118" s="30"/>
      <c r="F118" s="140"/>
      <c r="G118" s="30"/>
      <c r="H118" s="140"/>
      <c r="I118" s="30"/>
      <c r="J118" s="140"/>
      <c r="K118" s="30"/>
      <c r="L118" s="140"/>
      <c r="M118" s="30"/>
      <c r="N118" s="140"/>
      <c r="O118" s="30"/>
      <c r="P118" s="140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/>
      <c r="D119" s="141" t="str">
        <f t="shared" ref="D119:D125" si="385">IF(C$109=0,"N.D.",C119/C$109)</f>
        <v>N.D.</v>
      </c>
      <c r="E119" s="8">
        <f t="shared" ref="E119:E125" si="386">E55/TC_PROM</f>
        <v>0</v>
      </c>
      <c r="F119" s="141" t="str">
        <f t="shared" ref="F119:F125" si="387">IF(E$109=0,"N.D.",E119/E$109)</f>
        <v>N.D.</v>
      </c>
      <c r="G119" s="8">
        <f t="shared" ref="G119:G125" si="388">G55/TC_PROM</f>
        <v>0</v>
      </c>
      <c r="H119" s="141" t="str">
        <f t="shared" ref="H119:H125" si="389">IF(G$109=0,"N.D.",G119/G$109)</f>
        <v>N.D.</v>
      </c>
      <c r="I119" s="8">
        <f t="shared" ref="I119:I125" si="390">I55/TC_PROM</f>
        <v>0</v>
      </c>
      <c r="J119" s="141" t="str">
        <f t="shared" ref="J119:J125" si="391">IF(I$109=0,"N.D.",I119/I$109)</f>
        <v>N.D.</v>
      </c>
      <c r="K119" s="8">
        <f t="shared" ref="K119:K125" si="392">K55/TC_PROM</f>
        <v>0</v>
      </c>
      <c r="L119" s="141" t="str">
        <f t="shared" ref="L119:L125" si="393">IF(K$109=0,"N.D.",K119/K$109)</f>
        <v>N.D.</v>
      </c>
      <c r="M119" s="8">
        <f t="shared" ref="M119:M125" si="394">M55/TC_PROM</f>
        <v>0</v>
      </c>
      <c r="N119" s="141" t="str">
        <f t="shared" ref="N119:N125" si="395">IF(M$109=0,"N.D.",M119/M$109)</f>
        <v>N.D.</v>
      </c>
      <c r="O119" s="8">
        <f t="shared" ref="O119:O125" si="396">O55/TC_PROM</f>
        <v>0</v>
      </c>
      <c r="P119" s="141" t="str">
        <f t="shared" ref="P119:P125" si="397">IF(O$109=0,"N.D.",O119/O$109)</f>
        <v>N.D.</v>
      </c>
      <c r="R119" s="7" t="s">
        <v>13</v>
      </c>
      <c r="S119" s="8"/>
      <c r="T119" s="29"/>
      <c r="U119" s="8"/>
      <c r="V119" s="29"/>
      <c r="W119" s="8">
        <f>(BDER!L475+BDER!L498+BDER!L565+BDER!L610)/1000</f>
        <v>0</v>
      </c>
      <c r="X119" s="29" t="str">
        <f t="shared" ref="X119:X125" si="398">IF(W$109=0,"N.D.",W119/W$109)</f>
        <v>N.D.</v>
      </c>
      <c r="Y119" s="8">
        <f>(BDER!L520+BDER!L542+BDER!L587+BDER!L632+BDER!L654)/1000</f>
        <v>0</v>
      </c>
      <c r="Z119" s="29" t="str">
        <f t="shared" ref="Z119:Z125" si="399">IF(Y$109=0,"N.D.",Y119/Y$109)</f>
        <v>N.D.</v>
      </c>
      <c r="AA119" s="8"/>
      <c r="AB119" s="29"/>
      <c r="AC119" s="8"/>
      <c r="AD119" s="29"/>
      <c r="AE119" s="8">
        <f>+AA119+U119+S119+AC119+W119+Y119</f>
        <v>0</v>
      </c>
      <c r="AF119" s="29" t="str">
        <f>IF(AE$41=0,"N.D.",AE119/AE$41)</f>
        <v>N.D.</v>
      </c>
      <c r="AH119" s="7" t="s">
        <v>13</v>
      </c>
      <c r="AI119" s="8"/>
      <c r="AJ119" s="29"/>
      <c r="AK119" s="8"/>
      <c r="AL119" s="29"/>
      <c r="AM119" s="8">
        <f>(BDER!H475+BDER!H498+BDER!H565+BDER!H610)/1000</f>
        <v>0</v>
      </c>
      <c r="AN119" s="29" t="str">
        <f t="shared" ref="AN119:AN125" si="400">IF(AM$109=0,"N.D.",AM119/AM$109)</f>
        <v>N.D.</v>
      </c>
      <c r="AO119" s="8">
        <f>(BDER!H520+BDER!H542+BDER!H587+BDER!H632+BDER!H654)/1000</f>
        <v>0</v>
      </c>
      <c r="AP119" s="29" t="str">
        <f t="shared" ref="AP119:AP125" si="401">IF(AO$109=0,"N.D.",AO119/AO$109)</f>
        <v>N.D.</v>
      </c>
      <c r="AQ119" s="8"/>
      <c r="AR119" s="29"/>
      <c r="AS119" s="8"/>
      <c r="AT119" s="29"/>
      <c r="AU119" s="8">
        <f>+AQ119+AK119+AI119+AS119+AM119+AO119</f>
        <v>0</v>
      </c>
      <c r="AV119" s="29" t="str">
        <f t="shared" ref="AV119:AV125" si="402">IF(AU$41=0,"N.D.",AU119/AU$41)</f>
        <v>N.D.</v>
      </c>
    </row>
    <row r="120" spans="2:48" x14ac:dyDescent="0.35">
      <c r="B120" s="7" t="s">
        <v>14</v>
      </c>
      <c r="C120" s="11"/>
      <c r="D120" s="138" t="str">
        <f t="shared" si="385"/>
        <v>N.D.</v>
      </c>
      <c r="E120" s="11">
        <f t="shared" si="386"/>
        <v>0</v>
      </c>
      <c r="F120" s="138" t="str">
        <f t="shared" si="387"/>
        <v>N.D.</v>
      </c>
      <c r="G120" s="11">
        <f t="shared" si="388"/>
        <v>0</v>
      </c>
      <c r="H120" s="138" t="str">
        <f t="shared" si="389"/>
        <v>N.D.</v>
      </c>
      <c r="I120" s="11">
        <f t="shared" si="390"/>
        <v>0</v>
      </c>
      <c r="J120" s="138" t="str">
        <f t="shared" si="391"/>
        <v>N.D.</v>
      </c>
      <c r="K120" s="11">
        <f t="shared" si="392"/>
        <v>0</v>
      </c>
      <c r="L120" s="138" t="str">
        <f t="shared" si="393"/>
        <v>N.D.</v>
      </c>
      <c r="M120" s="11">
        <f t="shared" si="394"/>
        <v>0</v>
      </c>
      <c r="N120" s="138" t="str">
        <f t="shared" si="395"/>
        <v>N.D.</v>
      </c>
      <c r="O120" s="11">
        <f t="shared" si="396"/>
        <v>0</v>
      </c>
      <c r="P120" s="138" t="str">
        <f t="shared" si="397"/>
        <v>N.D.</v>
      </c>
      <c r="R120" s="7" t="s">
        <v>14</v>
      </c>
      <c r="S120" s="8"/>
      <c r="T120" s="42"/>
      <c r="U120" s="8"/>
      <c r="V120" s="42"/>
      <c r="W120" s="8">
        <f>(BDER!L476+BDER!L499+BDER!L566+BDER!L611)/1000</f>
        <v>0</v>
      </c>
      <c r="X120" s="42" t="str">
        <f t="shared" si="398"/>
        <v>N.D.</v>
      </c>
      <c r="Y120" s="8">
        <f>(BDER!L521+BDER!L543+BDER!L588+BDER!L633+BDER!L655)/1000</f>
        <v>0</v>
      </c>
      <c r="Z120" s="42" t="str">
        <f t="shared" si="399"/>
        <v>N.D.</v>
      </c>
      <c r="AA120" s="8"/>
      <c r="AB120" s="42"/>
      <c r="AC120" s="8"/>
      <c r="AD120" s="42"/>
      <c r="AE120" s="11">
        <f>+AA120+U120+S120+AC120+W120+Y120</f>
        <v>0</v>
      </c>
      <c r="AF120" s="42" t="str">
        <f>IF(AE$41=0,"N.D.",AE120/AE$41)</f>
        <v>N.D.</v>
      </c>
      <c r="AH120" s="7" t="s">
        <v>14</v>
      </c>
      <c r="AI120" s="8"/>
      <c r="AJ120" s="42"/>
      <c r="AK120" s="8"/>
      <c r="AL120" s="42"/>
      <c r="AM120" s="8">
        <f>(BDER!H476+BDER!H499+BDER!H566+BDER!H611)/1000</f>
        <v>0</v>
      </c>
      <c r="AN120" s="42" t="str">
        <f t="shared" si="400"/>
        <v>N.D.</v>
      </c>
      <c r="AO120" s="8">
        <f>(BDER!H521+BDER!H543+BDER!H588+BDER!H633+BDER!H655)/1000</f>
        <v>0</v>
      </c>
      <c r="AP120" s="42" t="str">
        <f t="shared" si="401"/>
        <v>N.D.</v>
      </c>
      <c r="AQ120" s="8"/>
      <c r="AR120" s="42"/>
      <c r="AS120" s="8"/>
      <c r="AT120" s="42"/>
      <c r="AU120" s="11">
        <f>+AQ120+AK120+AI120+AS120+AM120+AO120</f>
        <v>0</v>
      </c>
      <c r="AV120" s="42" t="str">
        <f t="shared" si="402"/>
        <v>N.D.</v>
      </c>
    </row>
    <row r="121" spans="2:48" x14ac:dyDescent="0.35">
      <c r="B121" s="7" t="s">
        <v>15</v>
      </c>
      <c r="C121" s="11"/>
      <c r="D121" s="138" t="str">
        <f t="shared" si="385"/>
        <v>N.D.</v>
      </c>
      <c r="E121" s="11">
        <f t="shared" si="386"/>
        <v>0</v>
      </c>
      <c r="F121" s="138" t="str">
        <f t="shared" si="387"/>
        <v>N.D.</v>
      </c>
      <c r="G121" s="11">
        <f t="shared" si="388"/>
        <v>0</v>
      </c>
      <c r="H121" s="138" t="str">
        <f t="shared" si="389"/>
        <v>N.D.</v>
      </c>
      <c r="I121" s="11">
        <f t="shared" si="390"/>
        <v>0</v>
      </c>
      <c r="J121" s="138" t="str">
        <f t="shared" si="391"/>
        <v>N.D.</v>
      </c>
      <c r="K121" s="11">
        <f t="shared" si="392"/>
        <v>0</v>
      </c>
      <c r="L121" s="138" t="str">
        <f t="shared" si="393"/>
        <v>N.D.</v>
      </c>
      <c r="M121" s="11">
        <f t="shared" si="394"/>
        <v>0</v>
      </c>
      <c r="N121" s="138" t="str">
        <f t="shared" si="395"/>
        <v>N.D.</v>
      </c>
      <c r="O121" s="11">
        <f t="shared" si="396"/>
        <v>1</v>
      </c>
      <c r="P121" s="138" t="str">
        <f t="shared" si="397"/>
        <v>N.D.</v>
      </c>
      <c r="R121" s="7" t="s">
        <v>15</v>
      </c>
      <c r="S121" s="8"/>
      <c r="T121" s="42"/>
      <c r="U121" s="8"/>
      <c r="V121" s="42"/>
      <c r="W121" s="8">
        <f>(BDER!L477+BDER!L500+BDER!L567+BDER!L612)/1000</f>
        <v>0</v>
      </c>
      <c r="X121" s="42" t="str">
        <f t="shared" si="398"/>
        <v>N.D.</v>
      </c>
      <c r="Y121" s="8">
        <f>(BDER!L522+BDER!L544+BDER!L589+BDER!L634+BDER!L656)/1000</f>
        <v>0</v>
      </c>
      <c r="Z121" s="42" t="str">
        <f t="shared" si="399"/>
        <v>N.D.</v>
      </c>
      <c r="AA121" s="8"/>
      <c r="AB121" s="42"/>
      <c r="AC121" s="8"/>
      <c r="AD121" s="42"/>
      <c r="AE121" s="11">
        <f>+AA121+U121+S121+AC121+W121+Y121</f>
        <v>0</v>
      </c>
      <c r="AF121" s="42" t="str">
        <f t="shared" ref="AF121:AF125" si="403">IF(AE$41=0,"N.D.",AE121/AE$41)</f>
        <v>N.D.</v>
      </c>
      <c r="AH121" s="7" t="s">
        <v>15</v>
      </c>
      <c r="AI121" s="8"/>
      <c r="AJ121" s="42"/>
      <c r="AK121" s="8"/>
      <c r="AL121" s="42"/>
      <c r="AM121" s="8">
        <f>(BDER!H477+BDER!H500+BDER!H567+BDER!H612)/1000</f>
        <v>0</v>
      </c>
      <c r="AN121" s="42" t="str">
        <f t="shared" si="400"/>
        <v>N.D.</v>
      </c>
      <c r="AO121" s="8">
        <f>(BDER!H522+BDER!H544+BDER!H589+BDER!H634+BDER!H656)/1000</f>
        <v>0</v>
      </c>
      <c r="AP121" s="42" t="str">
        <f t="shared" si="401"/>
        <v>N.D.</v>
      </c>
      <c r="AQ121" s="8"/>
      <c r="AR121" s="42"/>
      <c r="AS121" s="8"/>
      <c r="AT121" s="42"/>
      <c r="AU121" s="11">
        <f>+AQ121+AK121+AI121+AS121+AM121+AO121</f>
        <v>0</v>
      </c>
      <c r="AV121" s="42" t="str">
        <f t="shared" si="402"/>
        <v>N.D.</v>
      </c>
    </row>
    <row r="122" spans="2:48" x14ac:dyDescent="0.35">
      <c r="B122" s="7" t="s">
        <v>16</v>
      </c>
      <c r="C122" s="11"/>
      <c r="D122" s="138" t="str">
        <f t="shared" si="385"/>
        <v>N.D.</v>
      </c>
      <c r="E122" s="11">
        <f t="shared" si="386"/>
        <v>0</v>
      </c>
      <c r="F122" s="138" t="str">
        <f t="shared" si="387"/>
        <v>N.D.</v>
      </c>
      <c r="G122" s="11">
        <f t="shared" si="388"/>
        <v>0</v>
      </c>
      <c r="H122" s="138" t="str">
        <f t="shared" si="389"/>
        <v>N.D.</v>
      </c>
      <c r="I122" s="11">
        <f t="shared" si="390"/>
        <v>0</v>
      </c>
      <c r="J122" s="138" t="str">
        <f t="shared" si="391"/>
        <v>N.D.</v>
      </c>
      <c r="K122" s="11">
        <f t="shared" si="392"/>
        <v>0</v>
      </c>
      <c r="L122" s="138" t="str">
        <f t="shared" si="393"/>
        <v>N.D.</v>
      </c>
      <c r="M122" s="11">
        <f t="shared" si="394"/>
        <v>0</v>
      </c>
      <c r="N122" s="138" t="str">
        <f t="shared" si="395"/>
        <v>N.D.</v>
      </c>
      <c r="O122" s="11">
        <f t="shared" si="396"/>
        <v>0</v>
      </c>
      <c r="P122" s="138" t="str">
        <f t="shared" si="397"/>
        <v>N.D.</v>
      </c>
      <c r="R122" s="7" t="s">
        <v>16</v>
      </c>
      <c r="S122" s="8"/>
      <c r="T122" s="42"/>
      <c r="U122" s="8"/>
      <c r="V122" s="42"/>
      <c r="W122" s="8">
        <f>(BDER!L478+BDER!L501+BDER!L568+BDER!L613)/1000</f>
        <v>0</v>
      </c>
      <c r="X122" s="42" t="str">
        <f t="shared" si="398"/>
        <v>N.D.</v>
      </c>
      <c r="Y122" s="8">
        <f>(BDER!L523+BDER!L545+BDER!L590+BDER!L635+BDER!L657)/1000</f>
        <v>0</v>
      </c>
      <c r="Z122" s="42" t="str">
        <f t="shared" si="399"/>
        <v>N.D.</v>
      </c>
      <c r="AA122" s="8"/>
      <c r="AB122" s="42"/>
      <c r="AC122" s="8"/>
      <c r="AD122" s="42"/>
      <c r="AE122" s="11">
        <f>+AA122+U122+S122+AC122+W122+Y122</f>
        <v>0</v>
      </c>
      <c r="AF122" s="42" t="str">
        <f t="shared" si="403"/>
        <v>N.D.</v>
      </c>
      <c r="AH122" s="7" t="s">
        <v>16</v>
      </c>
      <c r="AI122" s="8"/>
      <c r="AJ122" s="42"/>
      <c r="AK122" s="8"/>
      <c r="AL122" s="42"/>
      <c r="AM122" s="8">
        <f>(BDER!H478+BDER!H501+BDER!H568+BDER!H613)/1000</f>
        <v>0</v>
      </c>
      <c r="AN122" s="42" t="str">
        <f t="shared" si="400"/>
        <v>N.D.</v>
      </c>
      <c r="AO122" s="8">
        <f>(BDER!H523+BDER!H545+BDER!H590+BDER!H635+BDER!H657)/1000</f>
        <v>0</v>
      </c>
      <c r="AP122" s="42" t="str">
        <f t="shared" si="401"/>
        <v>N.D.</v>
      </c>
      <c r="AQ122" s="8"/>
      <c r="AR122" s="42"/>
      <c r="AS122" s="8"/>
      <c r="AT122" s="42"/>
      <c r="AU122" s="11">
        <f>+AQ122+AK122+AI122+AS122+AM122+AO122</f>
        <v>0</v>
      </c>
      <c r="AV122" s="42" t="str">
        <f t="shared" si="402"/>
        <v>N.D.</v>
      </c>
    </row>
    <row r="123" spans="2:48" x14ac:dyDescent="0.35">
      <c r="B123" s="7"/>
      <c r="C123" s="11"/>
      <c r="D123" s="138" t="str">
        <f t="shared" si="385"/>
        <v>N.D.</v>
      </c>
      <c r="E123" s="11">
        <f t="shared" si="386"/>
        <v>0</v>
      </c>
      <c r="F123" s="138" t="str">
        <f t="shared" si="387"/>
        <v>N.D.</v>
      </c>
      <c r="G123" s="11">
        <f t="shared" si="388"/>
        <v>0</v>
      </c>
      <c r="H123" s="138" t="str">
        <f t="shared" si="389"/>
        <v>N.D.</v>
      </c>
      <c r="I123" s="11">
        <f t="shared" si="390"/>
        <v>0</v>
      </c>
      <c r="J123" s="138" t="str">
        <f t="shared" si="391"/>
        <v>N.D.</v>
      </c>
      <c r="K123" s="11">
        <f t="shared" si="392"/>
        <v>0</v>
      </c>
      <c r="L123" s="138" t="str">
        <f t="shared" si="393"/>
        <v>N.D.</v>
      </c>
      <c r="M123" s="11">
        <f t="shared" si="394"/>
        <v>0</v>
      </c>
      <c r="N123" s="138" t="str">
        <f t="shared" si="395"/>
        <v>N.D.</v>
      </c>
      <c r="O123" s="11">
        <f t="shared" si="396"/>
        <v>0</v>
      </c>
      <c r="P123" s="138" t="str">
        <f t="shared" si="397"/>
        <v>N.D.</v>
      </c>
      <c r="R123" s="7"/>
      <c r="S123" s="8"/>
      <c r="T123" s="42"/>
      <c r="U123" s="8"/>
      <c r="V123" s="42"/>
      <c r="W123" s="8">
        <f>(BDER!L479+BDER!L502+BDER!L569+BDER!L614)/1000</f>
        <v>0</v>
      </c>
      <c r="X123" s="42" t="str">
        <f t="shared" si="398"/>
        <v>N.D.</v>
      </c>
      <c r="Y123" s="8">
        <f>(BDER!L524+BDER!L546+BDER!L591+BDER!L636+BDER!L658)/1000</f>
        <v>0</v>
      </c>
      <c r="Z123" s="42" t="str">
        <f t="shared" si="399"/>
        <v>N.D.</v>
      </c>
      <c r="AA123" s="8"/>
      <c r="AB123" s="42"/>
      <c r="AC123" s="8"/>
      <c r="AD123" s="42"/>
      <c r="AE123" s="11">
        <f>+AA123+U123+S123+AC123+W123+Y123</f>
        <v>0</v>
      </c>
      <c r="AF123" s="42" t="str">
        <f t="shared" si="403"/>
        <v>N.D.</v>
      </c>
      <c r="AH123" s="7"/>
      <c r="AI123" s="8"/>
      <c r="AJ123" s="42"/>
      <c r="AK123" s="8"/>
      <c r="AL123" s="42"/>
      <c r="AM123" s="8">
        <f>(BDER!H479+BDER!H502+BDER!H569+BDER!H614)/1000</f>
        <v>0</v>
      </c>
      <c r="AN123" s="42" t="str">
        <f t="shared" si="400"/>
        <v>N.D.</v>
      </c>
      <c r="AO123" s="8">
        <f>(BDER!H524+BDER!H546+BDER!H591+BDER!H636+BDER!H658)/1000</f>
        <v>0</v>
      </c>
      <c r="AP123" s="42" t="str">
        <f t="shared" si="401"/>
        <v>N.D.</v>
      </c>
      <c r="AQ123" s="8"/>
      <c r="AR123" s="42"/>
      <c r="AS123" s="8"/>
      <c r="AT123" s="42"/>
      <c r="AU123" s="11">
        <f>+AQ123+AK123+AI123+AS123+AM123+AO123</f>
        <v>0</v>
      </c>
      <c r="AV123" s="42" t="str">
        <f t="shared" si="402"/>
        <v>N.D.</v>
      </c>
    </row>
    <row r="124" spans="2:48" x14ac:dyDescent="0.35">
      <c r="B124" s="4" t="s">
        <v>17</v>
      </c>
      <c r="C124" s="14"/>
      <c r="D124" s="139" t="str">
        <f t="shared" si="385"/>
        <v>N.D.</v>
      </c>
      <c r="E124" s="14">
        <f t="shared" si="386"/>
        <v>0</v>
      </c>
      <c r="F124" s="139" t="str">
        <f t="shared" si="387"/>
        <v>N.D.</v>
      </c>
      <c r="G124" s="14">
        <f t="shared" si="388"/>
        <v>0</v>
      </c>
      <c r="H124" s="139" t="str">
        <f t="shared" si="389"/>
        <v>N.D.</v>
      </c>
      <c r="I124" s="14">
        <f t="shared" si="390"/>
        <v>0</v>
      </c>
      <c r="J124" s="139" t="str">
        <f t="shared" si="391"/>
        <v>N.D.</v>
      </c>
      <c r="K124" s="14">
        <f t="shared" si="392"/>
        <v>0</v>
      </c>
      <c r="L124" s="139" t="str">
        <f t="shared" si="393"/>
        <v>N.D.</v>
      </c>
      <c r="M124" s="14">
        <f t="shared" si="394"/>
        <v>0</v>
      </c>
      <c r="N124" s="139" t="str">
        <f t="shared" si="395"/>
        <v>N.D.</v>
      </c>
      <c r="O124" s="14">
        <f t="shared" si="396"/>
        <v>1</v>
      </c>
      <c r="P124" s="139" t="str">
        <f t="shared" si="397"/>
        <v>N.D.</v>
      </c>
      <c r="R124" s="4" t="s">
        <v>17</v>
      </c>
      <c r="S124" s="14"/>
      <c r="T124" s="43"/>
      <c r="U124" s="14"/>
      <c r="V124" s="43"/>
      <c r="W124" s="14">
        <f>W119+W120+W121-W122-W123</f>
        <v>0</v>
      </c>
      <c r="X124" s="43" t="str">
        <f t="shared" si="398"/>
        <v>N.D.</v>
      </c>
      <c r="Y124" s="14">
        <f>Y119+Y120+Y121-Y122-Y123</f>
        <v>0</v>
      </c>
      <c r="Z124" s="43" t="str">
        <f t="shared" si="399"/>
        <v>N.D.</v>
      </c>
      <c r="AA124" s="14"/>
      <c r="AB124" s="43"/>
      <c r="AC124" s="14"/>
      <c r="AD124" s="43"/>
      <c r="AE124" s="14">
        <f>AE119+AE120+AE121-AE122</f>
        <v>0</v>
      </c>
      <c r="AF124" s="43" t="str">
        <f t="shared" si="403"/>
        <v>N.D.</v>
      </c>
      <c r="AH124" s="4" t="s">
        <v>17</v>
      </c>
      <c r="AI124" s="14"/>
      <c r="AJ124" s="43"/>
      <c r="AK124" s="14"/>
      <c r="AL124" s="43"/>
      <c r="AM124" s="14">
        <f>AM119+AM120+AM121-AM122-AM123</f>
        <v>0</v>
      </c>
      <c r="AN124" s="43" t="str">
        <f t="shared" si="400"/>
        <v>N.D.</v>
      </c>
      <c r="AO124" s="14">
        <f>AO119+AO120+AO121-AO122-AO123</f>
        <v>0</v>
      </c>
      <c r="AP124" s="43" t="str">
        <f t="shared" si="401"/>
        <v>N.D.</v>
      </c>
      <c r="AQ124" s="14"/>
      <c r="AR124" s="43"/>
      <c r="AS124" s="14"/>
      <c r="AT124" s="43"/>
      <c r="AU124" s="14">
        <f>AU119+AU120+AU121-AU122</f>
        <v>0</v>
      </c>
      <c r="AV124" s="43" t="str">
        <f t="shared" si="402"/>
        <v>N.D.</v>
      </c>
    </row>
    <row r="125" spans="2:48" x14ac:dyDescent="0.35">
      <c r="B125" s="4" t="s">
        <v>18</v>
      </c>
      <c r="C125" s="14"/>
      <c r="D125" s="139" t="str">
        <f t="shared" si="385"/>
        <v>N.D.</v>
      </c>
      <c r="E125" s="14">
        <f t="shared" si="386"/>
        <v>0</v>
      </c>
      <c r="F125" s="139" t="str">
        <f t="shared" si="387"/>
        <v>N.D.</v>
      </c>
      <c r="G125" s="14">
        <f t="shared" si="388"/>
        <v>0</v>
      </c>
      <c r="H125" s="139" t="str">
        <f t="shared" si="389"/>
        <v>N.D.</v>
      </c>
      <c r="I125" s="14">
        <f t="shared" si="390"/>
        <v>0</v>
      </c>
      <c r="J125" s="139" t="str">
        <f t="shared" si="391"/>
        <v>N.D.</v>
      </c>
      <c r="K125" s="14">
        <f t="shared" si="392"/>
        <v>0</v>
      </c>
      <c r="L125" s="139" t="str">
        <f t="shared" si="393"/>
        <v>N.D.</v>
      </c>
      <c r="M125" s="14">
        <f t="shared" si="394"/>
        <v>0</v>
      </c>
      <c r="N125" s="139" t="str">
        <f t="shared" si="395"/>
        <v>N.D.</v>
      </c>
      <c r="O125" s="14">
        <f t="shared" si="396"/>
        <v>-1</v>
      </c>
      <c r="P125" s="139" t="str">
        <f t="shared" si="397"/>
        <v>N.D.</v>
      </c>
      <c r="R125" s="4" t="s">
        <v>18</v>
      </c>
      <c r="S125" s="14"/>
      <c r="T125" s="43"/>
      <c r="U125" s="14"/>
      <c r="V125" s="43"/>
      <c r="W125" s="14">
        <f>+W117-W124</f>
        <v>0</v>
      </c>
      <c r="X125" s="43" t="str">
        <f t="shared" si="398"/>
        <v>N.D.</v>
      </c>
      <c r="Y125" s="14">
        <f>+Y117-Y124</f>
        <v>0</v>
      </c>
      <c r="Z125" s="43" t="str">
        <f t="shared" si="399"/>
        <v>N.D.</v>
      </c>
      <c r="AA125" s="14"/>
      <c r="AB125" s="43"/>
      <c r="AC125" s="14"/>
      <c r="AD125" s="43"/>
      <c r="AE125" s="14">
        <f>+AE117-AE124</f>
        <v>0</v>
      </c>
      <c r="AF125" s="43" t="str">
        <f t="shared" si="403"/>
        <v>N.D.</v>
      </c>
      <c r="AH125" s="4" t="s">
        <v>18</v>
      </c>
      <c r="AI125" s="14"/>
      <c r="AJ125" s="43"/>
      <c r="AK125" s="14"/>
      <c r="AL125" s="43"/>
      <c r="AM125" s="14">
        <f>+AM117-AM124</f>
        <v>0</v>
      </c>
      <c r="AN125" s="43" t="str">
        <f t="shared" si="400"/>
        <v>N.D.</v>
      </c>
      <c r="AO125" s="14">
        <f>+AO117-AO124</f>
        <v>0</v>
      </c>
      <c r="AP125" s="43" t="str">
        <f t="shared" si="401"/>
        <v>N.D.</v>
      </c>
      <c r="AQ125" s="14"/>
      <c r="AR125" s="43"/>
      <c r="AS125" s="14"/>
      <c r="AT125" s="43"/>
      <c r="AU125" s="14">
        <f>+AU117-AU124</f>
        <v>0</v>
      </c>
      <c r="AV125" s="43" t="str">
        <f t="shared" si="402"/>
        <v>N.D.</v>
      </c>
    </row>
    <row r="126" spans="2:48" x14ac:dyDescent="0.35">
      <c r="B126" s="1"/>
      <c r="C126" s="30"/>
      <c r="D126" s="140"/>
      <c r="E126" s="30"/>
      <c r="F126" s="140"/>
      <c r="G126" s="30"/>
      <c r="H126" s="140"/>
      <c r="I126" s="30"/>
      <c r="J126" s="140"/>
      <c r="K126" s="30"/>
      <c r="L126" s="140"/>
      <c r="M126" s="30"/>
      <c r="N126" s="140"/>
      <c r="O126" s="30"/>
      <c r="P126" s="140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/>
      <c r="D127" s="141" t="str">
        <f t="shared" ref="D127:D134" si="404">IF(C$109=0,"N.D.",C127/C$109)</f>
        <v>N.D.</v>
      </c>
      <c r="E127" s="8">
        <f t="shared" ref="E127:E135" si="405">E63/TC_PROM</f>
        <v>0</v>
      </c>
      <c r="F127" s="141" t="str">
        <f t="shared" ref="F127:F135" si="406">IF(E$109=0,"N.D.",E127/E$109)</f>
        <v>N.D.</v>
      </c>
      <c r="G127" s="8">
        <f t="shared" ref="G127:G135" si="407">G63/TC_PROM</f>
        <v>0</v>
      </c>
      <c r="H127" s="141" t="str">
        <f t="shared" ref="H127:H135" si="408">IF(G$109=0,"N.D.",G127/G$109)</f>
        <v>N.D.</v>
      </c>
      <c r="I127" s="8">
        <f t="shared" ref="I127:I135" si="409">I63/TC_PROM</f>
        <v>0</v>
      </c>
      <c r="J127" s="141" t="str">
        <f t="shared" ref="J127:J135" si="410">IF(I$109=0,"N.D.",I127/I$109)</f>
        <v>N.D.</v>
      </c>
      <c r="K127" s="8">
        <f t="shared" ref="K127:K135" si="411">K63/TC_PROM</f>
        <v>0</v>
      </c>
      <c r="L127" s="141" t="str">
        <f t="shared" ref="L127:L135" si="412">IF(K$109=0,"N.D.",K127/K$109)</f>
        <v>N.D.</v>
      </c>
      <c r="M127" s="8">
        <f t="shared" ref="M127:M135" si="413">M63/TC_PROM</f>
        <v>0</v>
      </c>
      <c r="N127" s="141" t="str">
        <f t="shared" ref="N127:N135" si="414">IF(M$109=0,"N.D.",M127/M$109)</f>
        <v>N.D.</v>
      </c>
      <c r="O127" s="8">
        <f t="shared" ref="O127:O135" si="415">O63/TC_PROM</f>
        <v>0</v>
      </c>
      <c r="P127" s="141" t="str">
        <f t="shared" ref="P127:P135" si="416">IF(O$109=0,"N.D.",O127/O$109)</f>
        <v>N.D.</v>
      </c>
      <c r="R127" s="7" t="s">
        <v>35</v>
      </c>
      <c r="S127" s="8"/>
      <c r="T127" s="29"/>
      <c r="U127" s="8"/>
      <c r="V127" s="29"/>
      <c r="W127" s="8">
        <f>(BDER!L482+BDER!L505+BDER!L572+BDER!L617)/1000</f>
        <v>0</v>
      </c>
      <c r="X127" s="29" t="str">
        <f t="shared" ref="X127:X130" si="417">IF(W$109=0,"N.D.",W127/W$109)</f>
        <v>N.D.</v>
      </c>
      <c r="Y127" s="8">
        <f>(BDER!L527+BDER!L549+BDER!L594+BDER!L639+BDER!L661)/1000</f>
        <v>0</v>
      </c>
      <c r="Z127" s="29" t="str">
        <f t="shared" ref="Z127:Z130" si="418">IF(Y$109=0,"N.D.",Y127/Y$109)</f>
        <v>N.D.</v>
      </c>
      <c r="AA127" s="8"/>
      <c r="AB127" s="29"/>
      <c r="AC127" s="8"/>
      <c r="AD127" s="29"/>
      <c r="AE127" s="8">
        <f>+AA127+U127+S127+AC127+W127+Y127</f>
        <v>0</v>
      </c>
      <c r="AF127" s="29" t="str">
        <f t="shared" ref="AF127:AF130" si="419">IF(AE$41=0,"N.D.",AE127/AE$41)</f>
        <v>N.D.</v>
      </c>
      <c r="AH127" s="7" t="s">
        <v>35</v>
      </c>
      <c r="AI127" s="8"/>
      <c r="AJ127" s="29"/>
      <c r="AK127" s="8"/>
      <c r="AL127" s="29"/>
      <c r="AM127" s="8">
        <f>(BDER!H482+BDER!H505+BDER!H572+BDER!H617)/1000</f>
        <v>0</v>
      </c>
      <c r="AN127" s="29" t="str">
        <f t="shared" ref="AN127:AN130" si="420">IF(AM$109=0,"N.D.",AM127/AM$109)</f>
        <v>N.D.</v>
      </c>
      <c r="AO127" s="8">
        <f>(BDER!H527+BDER!H549+BDER!H594+BDER!H639+BDER!H661)/1000</f>
        <v>0</v>
      </c>
      <c r="AP127" s="29" t="str">
        <f t="shared" ref="AP127:AP130" si="421">IF(AO$109=0,"N.D.",AO127/AO$109)</f>
        <v>N.D.</v>
      </c>
      <c r="AQ127" s="8"/>
      <c r="AR127" s="29"/>
      <c r="AS127" s="8"/>
      <c r="AT127" s="29"/>
      <c r="AU127" s="8">
        <f>+AQ127+AK127+AI127+AS127+AM127+AO127</f>
        <v>0</v>
      </c>
      <c r="AV127" s="29" t="str">
        <f t="shared" ref="AV127:AV130" si="422">IF(AU$41=0,"N.D.",AU127/AU$41)</f>
        <v>N.D.</v>
      </c>
    </row>
    <row r="128" spans="2:48" x14ac:dyDescent="0.35">
      <c r="B128" s="7" t="s">
        <v>43</v>
      </c>
      <c r="C128" s="11"/>
      <c r="D128" s="138" t="str">
        <f t="shared" si="404"/>
        <v>N.D.</v>
      </c>
      <c r="E128" s="11">
        <f t="shared" si="405"/>
        <v>0</v>
      </c>
      <c r="F128" s="138" t="str">
        <f t="shared" si="406"/>
        <v>N.D.</v>
      </c>
      <c r="G128" s="11">
        <f t="shared" si="407"/>
        <v>0</v>
      </c>
      <c r="H128" s="138" t="str">
        <f t="shared" si="408"/>
        <v>N.D.</v>
      </c>
      <c r="I128" s="11">
        <f t="shared" si="409"/>
        <v>0</v>
      </c>
      <c r="J128" s="138" t="str">
        <f t="shared" si="410"/>
        <v>N.D.</v>
      </c>
      <c r="K128" s="11">
        <f t="shared" si="411"/>
        <v>0</v>
      </c>
      <c r="L128" s="138" t="str">
        <f t="shared" si="412"/>
        <v>N.D.</v>
      </c>
      <c r="M128" s="11">
        <f t="shared" si="413"/>
        <v>0</v>
      </c>
      <c r="N128" s="138" t="str">
        <f t="shared" si="414"/>
        <v>N.D.</v>
      </c>
      <c r="O128" s="11">
        <f t="shared" si="415"/>
        <v>0</v>
      </c>
      <c r="P128" s="138" t="str">
        <f t="shared" si="416"/>
        <v>N.D.</v>
      </c>
      <c r="R128" s="7" t="s">
        <v>43</v>
      </c>
      <c r="S128" s="8"/>
      <c r="T128" s="42"/>
      <c r="U128" s="8"/>
      <c r="V128" s="42"/>
      <c r="W128" s="8">
        <f>(BDER!L483+BDER!L506+BDER!L573+BDER!L618)/1000</f>
        <v>0</v>
      </c>
      <c r="X128" s="42" t="str">
        <f t="shared" si="417"/>
        <v>N.D.</v>
      </c>
      <c r="Y128" s="8">
        <f>(BDER!L528+BDER!L550+BDER!L595+BDER!L640+BDER!L662)/1000</f>
        <v>0</v>
      </c>
      <c r="Z128" s="42" t="str">
        <f t="shared" si="418"/>
        <v>N.D.</v>
      </c>
      <c r="AA128" s="8"/>
      <c r="AB128" s="42"/>
      <c r="AC128" s="8"/>
      <c r="AD128" s="42"/>
      <c r="AE128" s="11">
        <f>+AA128+U128+S128+AC128+W128+Y128</f>
        <v>0</v>
      </c>
      <c r="AF128" s="42" t="str">
        <f t="shared" si="419"/>
        <v>N.D.</v>
      </c>
      <c r="AH128" s="7" t="s">
        <v>43</v>
      </c>
      <c r="AI128" s="8"/>
      <c r="AJ128" s="42"/>
      <c r="AK128" s="8"/>
      <c r="AL128" s="42"/>
      <c r="AM128" s="8">
        <f>(BDER!H483+BDER!H506+BDER!H573+BDER!H618)/1000</f>
        <v>0</v>
      </c>
      <c r="AN128" s="42" t="str">
        <f t="shared" si="420"/>
        <v>N.D.</v>
      </c>
      <c r="AO128" s="8">
        <f>(BDER!H528+BDER!H550+BDER!H595+BDER!H640+BDER!H662)/1000</f>
        <v>0</v>
      </c>
      <c r="AP128" s="42" t="str">
        <f t="shared" si="421"/>
        <v>N.D.</v>
      </c>
      <c r="AQ128" s="8"/>
      <c r="AR128" s="42"/>
      <c r="AS128" s="8"/>
      <c r="AT128" s="42"/>
      <c r="AU128" s="11">
        <f>+AQ128+AK128+AI128+AS128+AM128+AO128</f>
        <v>0</v>
      </c>
      <c r="AV128" s="42" t="str">
        <f t="shared" si="422"/>
        <v>N.D.</v>
      </c>
    </row>
    <row r="129" spans="2:48" x14ac:dyDescent="0.35">
      <c r="B129" s="4" t="s">
        <v>21</v>
      </c>
      <c r="C129" s="14"/>
      <c r="D129" s="139" t="str">
        <f t="shared" si="404"/>
        <v>N.D.</v>
      </c>
      <c r="E129" s="14">
        <f t="shared" si="405"/>
        <v>0</v>
      </c>
      <c r="F129" s="139" t="str">
        <f t="shared" si="406"/>
        <v>N.D.</v>
      </c>
      <c r="G129" s="14">
        <f t="shared" si="407"/>
        <v>0</v>
      </c>
      <c r="H129" s="139" t="str">
        <f t="shared" si="408"/>
        <v>N.D.</v>
      </c>
      <c r="I129" s="14">
        <f t="shared" si="409"/>
        <v>0</v>
      </c>
      <c r="J129" s="139" t="str">
        <f t="shared" si="410"/>
        <v>N.D.</v>
      </c>
      <c r="K129" s="14">
        <f t="shared" si="411"/>
        <v>0</v>
      </c>
      <c r="L129" s="139" t="str">
        <f t="shared" si="412"/>
        <v>N.D.</v>
      </c>
      <c r="M129" s="14">
        <f t="shared" si="413"/>
        <v>0</v>
      </c>
      <c r="N129" s="139" t="str">
        <f t="shared" si="414"/>
        <v>N.D.</v>
      </c>
      <c r="O129" s="14">
        <f t="shared" si="415"/>
        <v>-1</v>
      </c>
      <c r="P129" s="139" t="str">
        <f t="shared" si="416"/>
        <v>N.D.</v>
      </c>
      <c r="R129" s="4" t="s">
        <v>21</v>
      </c>
      <c r="S129" s="14"/>
      <c r="T129" s="43"/>
      <c r="U129" s="14"/>
      <c r="V129" s="43"/>
      <c r="W129" s="14">
        <f>+W125-W127-W128</f>
        <v>0</v>
      </c>
      <c r="X129" s="43" t="str">
        <f t="shared" si="417"/>
        <v>N.D.</v>
      </c>
      <c r="Y129" s="14">
        <f>+Y125-Y127-Y128</f>
        <v>0</v>
      </c>
      <c r="Z129" s="43" t="str">
        <f t="shared" si="418"/>
        <v>N.D.</v>
      </c>
      <c r="AA129" s="14"/>
      <c r="AB129" s="43"/>
      <c r="AC129" s="14"/>
      <c r="AD129" s="43"/>
      <c r="AE129" s="14">
        <f>+AE125-AE127-AE128</f>
        <v>0</v>
      </c>
      <c r="AF129" s="43" t="str">
        <f t="shared" si="419"/>
        <v>N.D.</v>
      </c>
      <c r="AH129" s="4" t="s">
        <v>21</v>
      </c>
      <c r="AI129" s="14"/>
      <c r="AJ129" s="43"/>
      <c r="AK129" s="14"/>
      <c r="AL129" s="43"/>
      <c r="AM129" s="14">
        <f>+AM125-AM127-AM128</f>
        <v>0</v>
      </c>
      <c r="AN129" s="43" t="str">
        <f t="shared" si="420"/>
        <v>N.D.</v>
      </c>
      <c r="AO129" s="14">
        <f>+AO125-AO127-AO128</f>
        <v>0</v>
      </c>
      <c r="AP129" s="43" t="str">
        <f t="shared" si="421"/>
        <v>N.D.</v>
      </c>
      <c r="AQ129" s="14"/>
      <c r="AR129" s="43"/>
      <c r="AS129" s="14"/>
      <c r="AT129" s="43"/>
      <c r="AU129" s="14">
        <f>+AU125-AU127-AU128</f>
        <v>0</v>
      </c>
      <c r="AV129" s="43" t="str">
        <f t="shared" si="422"/>
        <v>N.D.</v>
      </c>
    </row>
    <row r="130" spans="2:48" x14ac:dyDescent="0.35">
      <c r="B130" s="4" t="s">
        <v>22</v>
      </c>
      <c r="C130" s="20"/>
      <c r="D130" s="142" t="str">
        <f t="shared" si="404"/>
        <v>N.D.</v>
      </c>
      <c r="E130" s="20">
        <f t="shared" si="405"/>
        <v>0</v>
      </c>
      <c r="F130" s="142" t="str">
        <f t="shared" si="406"/>
        <v>N.D.</v>
      </c>
      <c r="G130" s="20">
        <f t="shared" si="407"/>
        <v>0</v>
      </c>
      <c r="H130" s="142" t="str">
        <f t="shared" si="408"/>
        <v>N.D.</v>
      </c>
      <c r="I130" s="20">
        <f t="shared" si="409"/>
        <v>0</v>
      </c>
      <c r="J130" s="142" t="str">
        <f t="shared" si="410"/>
        <v>N.D.</v>
      </c>
      <c r="K130" s="20">
        <f t="shared" si="411"/>
        <v>0</v>
      </c>
      <c r="L130" s="142" t="str">
        <f t="shared" si="412"/>
        <v>N.D.</v>
      </c>
      <c r="M130" s="20">
        <f t="shared" si="413"/>
        <v>0</v>
      </c>
      <c r="N130" s="142" t="str">
        <f t="shared" si="414"/>
        <v>N.D.</v>
      </c>
      <c r="O130" s="20">
        <f t="shared" si="415"/>
        <v>0</v>
      </c>
      <c r="P130" s="142" t="str">
        <f t="shared" si="416"/>
        <v>N.D.</v>
      </c>
      <c r="R130" s="4" t="s">
        <v>22</v>
      </c>
      <c r="S130" s="20"/>
      <c r="T130" s="45"/>
      <c r="U130" s="20"/>
      <c r="V130" s="45"/>
      <c r="W130" s="20">
        <f>+W117+W115</f>
        <v>0</v>
      </c>
      <c r="X130" s="45" t="str">
        <f t="shared" si="417"/>
        <v>N.D.</v>
      </c>
      <c r="Y130" s="20">
        <f>+Y117+Y115</f>
        <v>0</v>
      </c>
      <c r="Z130" s="45" t="str">
        <f t="shared" si="418"/>
        <v>N.D.</v>
      </c>
      <c r="AA130" s="20"/>
      <c r="AB130" s="45"/>
      <c r="AC130" s="20"/>
      <c r="AD130" s="45"/>
      <c r="AE130" s="20">
        <f>+AE117+AE115</f>
        <v>0</v>
      </c>
      <c r="AF130" s="45" t="str">
        <f t="shared" si="419"/>
        <v>N.D.</v>
      </c>
      <c r="AH130" s="4" t="s">
        <v>22</v>
      </c>
      <c r="AI130" s="20"/>
      <c r="AJ130" s="45"/>
      <c r="AK130" s="20"/>
      <c r="AL130" s="45"/>
      <c r="AM130" s="20">
        <f>+AM117+AM115</f>
        <v>0</v>
      </c>
      <c r="AN130" s="45" t="str">
        <f t="shared" si="420"/>
        <v>N.D.</v>
      </c>
      <c r="AO130" s="20">
        <f>+AO117+AO115</f>
        <v>0</v>
      </c>
      <c r="AP130" s="45" t="str">
        <f t="shared" si="421"/>
        <v>N.D.</v>
      </c>
      <c r="AQ130" s="20"/>
      <c r="AR130" s="45"/>
      <c r="AS130" s="20"/>
      <c r="AT130" s="45"/>
      <c r="AU130" s="20">
        <f>+AU117+AU115</f>
        <v>0</v>
      </c>
      <c r="AV130" s="45" t="str">
        <f t="shared" si="422"/>
        <v>N.D.</v>
      </c>
    </row>
    <row r="131" spans="2:48" x14ac:dyDescent="0.35">
      <c r="B131" s="4" t="s">
        <v>36</v>
      </c>
      <c r="C131" s="20"/>
      <c r="D131" s="142" t="str">
        <f t="shared" si="404"/>
        <v>N.D.</v>
      </c>
      <c r="E131" s="20">
        <f t="shared" si="405"/>
        <v>0</v>
      </c>
      <c r="F131" s="142" t="str">
        <f t="shared" si="406"/>
        <v>N.D.</v>
      </c>
      <c r="G131" s="20">
        <f t="shared" si="407"/>
        <v>0</v>
      </c>
      <c r="H131" s="142" t="str">
        <f t="shared" si="408"/>
        <v>N.D.</v>
      </c>
      <c r="I131" s="20">
        <f t="shared" si="409"/>
        <v>0</v>
      </c>
      <c r="J131" s="142" t="str">
        <f t="shared" si="410"/>
        <v>N.D.</v>
      </c>
      <c r="K131" s="20">
        <f t="shared" si="411"/>
        <v>0</v>
      </c>
      <c r="L131" s="142" t="str">
        <f t="shared" si="412"/>
        <v>N.D.</v>
      </c>
      <c r="M131" s="20">
        <f t="shared" si="413"/>
        <v>0</v>
      </c>
      <c r="N131" s="142" t="str">
        <f t="shared" si="414"/>
        <v>N.D.</v>
      </c>
      <c r="O131" s="20">
        <f t="shared" si="415"/>
        <v>-1</v>
      </c>
      <c r="P131" s="142" t="str">
        <f t="shared" si="416"/>
        <v>N.D.</v>
      </c>
    </row>
    <row r="132" spans="2:48" x14ac:dyDescent="0.35">
      <c r="B132" s="7" t="s">
        <v>37</v>
      </c>
      <c r="C132" s="20"/>
      <c r="D132" s="142" t="str">
        <f t="shared" si="404"/>
        <v>N.D.</v>
      </c>
      <c r="E132" s="20">
        <f t="shared" si="405"/>
        <v>0</v>
      </c>
      <c r="F132" s="142" t="str">
        <f t="shared" si="406"/>
        <v>N.D.</v>
      </c>
      <c r="G132" s="20">
        <f t="shared" si="407"/>
        <v>0</v>
      </c>
      <c r="H132" s="142" t="str">
        <f t="shared" si="408"/>
        <v>N.D.</v>
      </c>
      <c r="I132" s="20">
        <f t="shared" si="409"/>
        <v>0</v>
      </c>
      <c r="J132" s="142" t="str">
        <f t="shared" si="410"/>
        <v>N.D.</v>
      </c>
      <c r="K132" s="20">
        <f t="shared" si="411"/>
        <v>0</v>
      </c>
      <c r="L132" s="142" t="str">
        <f t="shared" si="412"/>
        <v>N.D.</v>
      </c>
      <c r="M132" s="20">
        <f t="shared" si="413"/>
        <v>0</v>
      </c>
      <c r="N132" s="142" t="str">
        <f t="shared" si="414"/>
        <v>N.D.</v>
      </c>
      <c r="O132" s="20">
        <f t="shared" si="415"/>
        <v>0</v>
      </c>
      <c r="P132" s="142" t="str">
        <f t="shared" si="416"/>
        <v>N.D.</v>
      </c>
    </row>
    <row r="133" spans="2:48" x14ac:dyDescent="0.35">
      <c r="B133" s="4" t="s">
        <v>38</v>
      </c>
      <c r="C133" s="20"/>
      <c r="D133" s="142" t="str">
        <f t="shared" si="404"/>
        <v>N.D.</v>
      </c>
      <c r="E133" s="20">
        <f t="shared" si="405"/>
        <v>0</v>
      </c>
      <c r="F133" s="142" t="str">
        <f t="shared" si="406"/>
        <v>N.D.</v>
      </c>
      <c r="G133" s="20">
        <f t="shared" si="407"/>
        <v>0</v>
      </c>
      <c r="H133" s="142" t="str">
        <f t="shared" si="408"/>
        <v>N.D.</v>
      </c>
      <c r="I133" s="20">
        <f t="shared" si="409"/>
        <v>0</v>
      </c>
      <c r="J133" s="142" t="str">
        <f t="shared" si="410"/>
        <v>N.D.</v>
      </c>
      <c r="K133" s="20">
        <f t="shared" si="411"/>
        <v>0</v>
      </c>
      <c r="L133" s="142" t="str">
        <f t="shared" si="412"/>
        <v>N.D.</v>
      </c>
      <c r="M133" s="20">
        <f t="shared" si="413"/>
        <v>0</v>
      </c>
      <c r="N133" s="142" t="str">
        <f t="shared" si="414"/>
        <v>N.D.</v>
      </c>
      <c r="O133" s="20">
        <f t="shared" si="415"/>
        <v>-1</v>
      </c>
      <c r="P133" s="142" t="str">
        <f t="shared" si="416"/>
        <v>N.D.</v>
      </c>
    </row>
    <row r="134" spans="2:48" x14ac:dyDescent="0.35">
      <c r="B134" s="7" t="s">
        <v>39</v>
      </c>
      <c r="C134" s="20"/>
      <c r="D134" s="142" t="str">
        <f t="shared" si="404"/>
        <v>N.D.</v>
      </c>
      <c r="E134" s="20">
        <f t="shared" si="405"/>
        <v>0</v>
      </c>
      <c r="F134" s="142" t="str">
        <f t="shared" si="406"/>
        <v>N.D.</v>
      </c>
      <c r="G134" s="20">
        <f t="shared" si="407"/>
        <v>0</v>
      </c>
      <c r="H134" s="142" t="str">
        <f t="shared" si="408"/>
        <v>N.D.</v>
      </c>
      <c r="I134" s="20">
        <f t="shared" si="409"/>
        <v>0</v>
      </c>
      <c r="J134" s="142" t="str">
        <f t="shared" si="410"/>
        <v>N.D.</v>
      </c>
      <c r="K134" s="20">
        <f t="shared" si="411"/>
        <v>0</v>
      </c>
      <c r="L134" s="142" t="str">
        <f t="shared" si="412"/>
        <v>N.D.</v>
      </c>
      <c r="M134" s="20">
        <f t="shared" si="413"/>
        <v>0</v>
      </c>
      <c r="N134" s="142" t="str">
        <f t="shared" si="414"/>
        <v>N.D.</v>
      </c>
      <c r="O134" s="20">
        <f t="shared" si="415"/>
        <v>0</v>
      </c>
      <c r="P134" s="142" t="str">
        <f t="shared" si="416"/>
        <v>N.D.</v>
      </c>
    </row>
    <row r="135" spans="2:48" x14ac:dyDescent="0.35">
      <c r="B135" s="4" t="s">
        <v>40</v>
      </c>
      <c r="C135" s="20"/>
      <c r="D135" s="142" t="str">
        <f>IF(C$109=0,"N.D.",C135/C$109)</f>
        <v>N.D.</v>
      </c>
      <c r="E135" s="20">
        <f t="shared" si="405"/>
        <v>0</v>
      </c>
      <c r="F135" s="142" t="str">
        <f t="shared" si="406"/>
        <v>N.D.</v>
      </c>
      <c r="G135" s="20">
        <f t="shared" si="407"/>
        <v>0</v>
      </c>
      <c r="H135" s="142" t="str">
        <f t="shared" si="408"/>
        <v>N.D.</v>
      </c>
      <c r="I135" s="20">
        <f t="shared" si="409"/>
        <v>0</v>
      </c>
      <c r="J135" s="142" t="str">
        <f t="shared" si="410"/>
        <v>N.D.</v>
      </c>
      <c r="K135" s="20">
        <f t="shared" si="411"/>
        <v>0</v>
      </c>
      <c r="L135" s="142" t="str">
        <f t="shared" si="412"/>
        <v>N.D.</v>
      </c>
      <c r="M135" s="20">
        <f t="shared" si="413"/>
        <v>0</v>
      </c>
      <c r="N135" s="142" t="str">
        <f t="shared" si="414"/>
        <v>N.D.</v>
      </c>
      <c r="O135" s="20">
        <f t="shared" si="415"/>
        <v>-1</v>
      </c>
      <c r="P135" s="142" t="str">
        <f t="shared" si="416"/>
        <v>N.D.</v>
      </c>
    </row>
    <row r="136" spans="2:48" x14ac:dyDescent="0.35">
      <c r="B136" s="7"/>
      <c r="C136" s="143"/>
      <c r="D136" s="144"/>
      <c r="E136" s="143"/>
      <c r="F136" s="144"/>
      <c r="G136" s="143"/>
      <c r="H136" s="144"/>
      <c r="I136" s="143"/>
      <c r="J136" s="144"/>
      <c r="K136" s="143"/>
      <c r="L136" s="144"/>
      <c r="M136" s="143"/>
      <c r="N136" s="144"/>
      <c r="O136" s="143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G53"/>
  <sheetViews>
    <sheetView showGridLines="0" zoomScale="70" zoomScaleNormal="70" workbookViewId="0">
      <selection activeCell="AR32" sqref="AR32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08984375" customWidth="1"/>
    <col min="7" max="7" width="13.08984375" customWidth="1"/>
    <col min="8" max="8" width="8.6328125" customWidth="1"/>
    <col min="10" max="10" width="8.6328125" customWidth="1"/>
    <col min="11" max="11" width="12.26953125" customWidth="1"/>
    <col min="12" max="12" width="8.632812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36328125" customWidth="1"/>
    <col min="20" max="20" width="8.81640625" customWidth="1"/>
    <col min="22" max="22" width="9" customWidth="1"/>
    <col min="24" max="24" width="8.6328125" customWidth="1"/>
    <col min="26" max="26" width="8.6328125" customWidth="1"/>
    <col min="28" max="28" width="8.453125" customWidth="1"/>
    <col min="29" max="29" width="10.7265625" style="253" customWidth="1"/>
    <col min="30" max="30" width="17.90625" bestFit="1" customWidth="1"/>
    <col min="31" max="32" width="11.1796875" bestFit="1" customWidth="1"/>
    <col min="33" max="33" width="8.81640625" customWidth="1"/>
    <col min="35" max="35" width="8.90625" customWidth="1"/>
    <col min="37" max="37" width="9" customWidth="1"/>
    <col min="39" max="39" width="8.36328125" customWidth="1"/>
    <col min="41" max="41" width="9.08984375" customWidth="1"/>
    <col min="43" max="43" width="8.7265625" customWidth="1"/>
    <col min="45" max="45" width="8.453125" customWidth="1"/>
    <col min="46" max="46" width="11.453125" customWidth="1"/>
    <col min="47" max="47" width="8.54296875" customWidth="1"/>
    <col min="49" max="49" width="11.54296875" customWidth="1"/>
    <col min="50" max="50" width="17.90625" bestFit="1" customWidth="1"/>
    <col min="51" max="51" width="12.1796875" bestFit="1" customWidth="1"/>
    <col min="52" max="52" width="9.36328125" customWidth="1"/>
    <col min="53" max="53" width="7.90625" bestFit="1" customWidth="1"/>
    <col min="54" max="54" width="9.08984375" customWidth="1"/>
    <col min="55" max="55" width="10.08984375" customWidth="1"/>
    <col min="56" max="56" width="9" customWidth="1"/>
    <col min="57" max="57" width="12.1796875" customWidth="1"/>
    <col min="59" max="59" width="16.90625" customWidth="1"/>
    <col min="61" max="61" width="9.1796875" customWidth="1"/>
    <col min="63" max="63" width="8.81640625" customWidth="1"/>
    <col min="65" max="65" width="8.7265625" customWidth="1"/>
    <col min="67" max="67" width="8.6328125" customWidth="1"/>
    <col min="69" max="69" width="8.81640625" customWidth="1"/>
    <col min="70" max="70" width="10.26953125" customWidth="1"/>
    <col min="71" max="71" width="8.81640625" customWidth="1"/>
    <col min="73" max="73" width="14.26953125" customWidth="1"/>
    <col min="75" max="75" width="8.90625" customWidth="1"/>
    <col min="76" max="76" width="9.1796875" customWidth="1"/>
    <col min="77" max="77" width="8.90625" customWidth="1"/>
    <col min="78" max="78" width="9.36328125" customWidth="1"/>
    <col min="79" max="79" width="9" customWidth="1"/>
    <col min="80" max="80" width="9.36328125" customWidth="1"/>
    <col min="81" max="81" width="8.08984375" bestFit="1" customWidth="1"/>
    <col min="82" max="82" width="9.7265625" customWidth="1"/>
    <col min="83" max="83" width="9.08984375" customWidth="1"/>
    <col min="85" max="85" width="8.7265625" customWidth="1"/>
  </cols>
  <sheetData>
    <row r="2" spans="1:85" x14ac:dyDescent="0.35">
      <c r="A2" t="s">
        <v>193</v>
      </c>
      <c r="B2" t="s">
        <v>136</v>
      </c>
      <c r="AC2" s="253" t="s">
        <v>335</v>
      </c>
      <c r="AE2" t="s">
        <v>151</v>
      </c>
    </row>
    <row r="3" spans="1:85" x14ac:dyDescent="0.35">
      <c r="B3" s="26"/>
      <c r="C3" s="2" t="s">
        <v>137</v>
      </c>
      <c r="D3" s="2"/>
      <c r="E3" s="2" t="s">
        <v>138</v>
      </c>
      <c r="F3" s="2"/>
      <c r="G3" s="2" t="s">
        <v>139</v>
      </c>
      <c r="H3" s="2"/>
      <c r="I3" s="2" t="s">
        <v>140</v>
      </c>
      <c r="J3" s="2"/>
      <c r="K3" s="2" t="s">
        <v>141</v>
      </c>
      <c r="L3" s="2"/>
      <c r="N3" t="s">
        <v>143</v>
      </c>
      <c r="P3" s="2"/>
      <c r="R3" s="2"/>
      <c r="T3" s="2"/>
      <c r="V3" s="2"/>
      <c r="X3" s="2"/>
      <c r="Z3" s="2"/>
      <c r="AB3" s="2"/>
      <c r="AC3" s="278"/>
      <c r="AE3" s="26"/>
      <c r="AF3" s="2" t="s">
        <v>153</v>
      </c>
      <c r="AG3" s="2"/>
      <c r="AH3" s="2" t="s">
        <v>154</v>
      </c>
      <c r="AI3" s="2"/>
      <c r="AJ3" s="2" t="s">
        <v>155</v>
      </c>
      <c r="AK3" s="2"/>
      <c r="AL3" s="2" t="s">
        <v>156</v>
      </c>
      <c r="AM3" s="2"/>
      <c r="AN3" s="2" t="s">
        <v>157</v>
      </c>
      <c r="AO3" s="2"/>
      <c r="AP3" s="2" t="s">
        <v>158</v>
      </c>
      <c r="AQ3" s="2"/>
      <c r="AR3" s="2" t="s">
        <v>159</v>
      </c>
      <c r="AS3" s="2"/>
      <c r="AT3" s="2" t="s">
        <v>141</v>
      </c>
      <c r="AU3" s="2"/>
      <c r="AX3" t="s">
        <v>160</v>
      </c>
      <c r="AY3" s="2"/>
      <c r="BA3" s="2"/>
      <c r="BC3" s="2"/>
      <c r="BD3" s="2"/>
      <c r="BE3" s="2"/>
      <c r="BG3" t="s">
        <v>185</v>
      </c>
      <c r="BI3" s="2"/>
      <c r="BK3" s="2"/>
      <c r="BM3" s="2"/>
      <c r="BO3" s="2"/>
      <c r="BQ3" s="2"/>
      <c r="BS3" s="2"/>
      <c r="BU3" t="s">
        <v>186</v>
      </c>
      <c r="BW3" s="2"/>
      <c r="BY3" s="2"/>
      <c r="CA3" s="2"/>
      <c r="CC3" s="2"/>
      <c r="CE3" s="2"/>
      <c r="CG3" s="2"/>
    </row>
    <row r="4" spans="1:85" x14ac:dyDescent="0.35">
      <c r="B4" s="7" t="s">
        <v>142</v>
      </c>
      <c r="C4" s="194">
        <f>ajustes!B2</f>
        <v>0</v>
      </c>
      <c r="D4" s="203"/>
      <c r="E4" s="8">
        <f>+ajustes!C2</f>
        <v>0</v>
      </c>
      <c r="F4" s="203"/>
      <c r="G4" s="8">
        <f>+ajustes!D2</f>
        <v>0</v>
      </c>
      <c r="H4" s="203"/>
      <c r="I4" s="8">
        <f>+ajustes!E2</f>
        <v>0</v>
      </c>
      <c r="J4" s="203"/>
      <c r="K4" s="8">
        <f>SUM(C4,E4,G4,I4)</f>
        <v>0</v>
      </c>
      <c r="L4" s="203"/>
      <c r="N4" s="26"/>
      <c r="O4" s="2" t="s">
        <v>145</v>
      </c>
      <c r="P4" s="30"/>
      <c r="Q4" s="2" t="s">
        <v>146</v>
      </c>
      <c r="R4" s="30"/>
      <c r="S4" s="2" t="s">
        <v>147</v>
      </c>
      <c r="T4" s="30"/>
      <c r="U4" s="2" t="s">
        <v>148</v>
      </c>
      <c r="V4" s="30"/>
      <c r="W4" s="2" t="s">
        <v>149</v>
      </c>
      <c r="X4" s="30"/>
      <c r="Y4" s="2" t="s">
        <v>150</v>
      </c>
      <c r="Z4" s="30"/>
      <c r="AA4" s="2" t="s">
        <v>141</v>
      </c>
      <c r="AB4" s="30"/>
      <c r="AC4" s="275"/>
      <c r="AE4" s="7" t="s">
        <v>152</v>
      </c>
      <c r="AF4" s="203">
        <f>ajustes!L2</f>
        <v>0</v>
      </c>
      <c r="AG4" s="203"/>
      <c r="AH4" s="203">
        <f>ajustes!M2</f>
        <v>0</v>
      </c>
      <c r="AI4" s="203"/>
      <c r="AJ4" s="203">
        <f>ajustes!N2</f>
        <v>0</v>
      </c>
      <c r="AK4" s="203"/>
      <c r="AL4" s="203">
        <f>ajustes!O2</f>
        <v>0</v>
      </c>
      <c r="AM4" s="203"/>
      <c r="AN4" s="203">
        <f>ajustes!P2</f>
        <v>0</v>
      </c>
      <c r="AO4" s="203"/>
      <c r="AP4" s="203">
        <f>ajustes!Q2</f>
        <v>0</v>
      </c>
      <c r="AQ4" s="203"/>
      <c r="AR4" s="203">
        <f>ajustes!R2</f>
        <v>0</v>
      </c>
      <c r="AS4" s="203"/>
      <c r="AT4" s="203">
        <f>SUM(AF4,AH4,AJ4,AL4,AN4,AP4,AR4)</f>
        <v>0</v>
      </c>
      <c r="AU4" s="203"/>
      <c r="AX4" s="26"/>
      <c r="AY4" s="2" t="s">
        <v>161</v>
      </c>
      <c r="AZ4" s="30"/>
      <c r="BA4" s="2" t="s">
        <v>162</v>
      </c>
      <c r="BB4" s="30"/>
      <c r="BC4" s="2" t="s">
        <v>141</v>
      </c>
      <c r="BD4" s="30"/>
      <c r="BE4" s="30"/>
      <c r="BG4" s="26"/>
      <c r="BH4" s="2" t="s">
        <v>181</v>
      </c>
      <c r="BI4" s="30"/>
      <c r="BJ4" s="2" t="s">
        <v>182</v>
      </c>
      <c r="BK4" s="30"/>
      <c r="BL4" s="2" t="s">
        <v>183</v>
      </c>
      <c r="BM4" s="30"/>
      <c r="BN4" s="2" t="s">
        <v>184</v>
      </c>
      <c r="BO4" s="30"/>
      <c r="BP4" s="2" t="s">
        <v>141</v>
      </c>
      <c r="BQ4" s="30"/>
      <c r="BU4" s="26"/>
      <c r="BV4" s="2" t="s">
        <v>187</v>
      </c>
      <c r="BW4" s="30"/>
      <c r="BX4" s="2" t="s">
        <v>188</v>
      </c>
      <c r="BY4" s="30"/>
      <c r="BZ4" s="2" t="s">
        <v>189</v>
      </c>
      <c r="CA4" s="30"/>
      <c r="CB4" s="2" t="s">
        <v>190</v>
      </c>
      <c r="CC4" s="30"/>
      <c r="CD4" s="2" t="s">
        <v>191</v>
      </c>
      <c r="CE4" s="30"/>
      <c r="CF4" s="2" t="s">
        <v>141</v>
      </c>
      <c r="CG4" s="30"/>
    </row>
    <row r="5" spans="1:85" x14ac:dyDescent="0.35">
      <c r="B5" s="7" t="s">
        <v>5</v>
      </c>
      <c r="C5" s="194">
        <f>(BDER!$C158+BDER!C169)/1000 + ajustes!B3</f>
        <v>0</v>
      </c>
      <c r="D5" s="219" t="str">
        <f t="shared" ref="D5:F7" si="0">IF(C$5=0,"N.D.",C5/C$5)</f>
        <v>N.D.</v>
      </c>
      <c r="E5" s="8">
        <f>BDER!$C136/1000+ajustes!C3</f>
        <v>0</v>
      </c>
      <c r="F5" s="219" t="str">
        <f t="shared" si="0"/>
        <v>N.D.</v>
      </c>
      <c r="G5" s="195">
        <f>BDER!$C202/1000+ajustes!D3</f>
        <v>0</v>
      </c>
      <c r="H5" s="219" t="str">
        <f t="shared" ref="H5" si="1">IF(G$5=0,"N.D.",G5/G$5)</f>
        <v>N.D.</v>
      </c>
      <c r="I5" s="8">
        <f>BDER!$C180/1000+ajustes!E3</f>
        <v>0</v>
      </c>
      <c r="J5" s="219" t="str">
        <f t="shared" ref="J5:L5" si="2">IF(I$5=0,"N.D.",I5/I$5)</f>
        <v>N.D.</v>
      </c>
      <c r="K5" s="204">
        <f>SUM(C5,E5,G5,I5)</f>
        <v>0</v>
      </c>
      <c r="L5" s="219" t="str">
        <f t="shared" si="2"/>
        <v>N.D.</v>
      </c>
      <c r="N5" s="7" t="s">
        <v>5</v>
      </c>
      <c r="O5" s="194">
        <f>BDER!$C$4/1000+ajustes!F3</f>
        <v>0</v>
      </c>
      <c r="P5" s="220" t="str">
        <f t="shared" ref="P5:R5" si="3">IF(O$5=0,"N.D.",O5/O$5)</f>
        <v>N.D.</v>
      </c>
      <c r="Q5" s="8">
        <f>BDER!$C$26/1000+ajustes!G3</f>
        <v>0</v>
      </c>
      <c r="R5" s="220" t="str">
        <f t="shared" si="3"/>
        <v>N.D.</v>
      </c>
      <c r="S5" s="195">
        <f>BDER!$C$48/1000+ajustes!H3</f>
        <v>0</v>
      </c>
      <c r="T5" s="220" t="str">
        <f t="shared" ref="T5:V5" si="4">IF(S$5=0,"N.D.",S5/S$5)</f>
        <v>N.D.</v>
      </c>
      <c r="U5" s="8">
        <f>BDER!$C$70/1000+ajustes!I3</f>
        <v>0</v>
      </c>
      <c r="V5" s="220" t="str">
        <f t="shared" si="4"/>
        <v>N.D.</v>
      </c>
      <c r="W5" s="195">
        <f>BDER!$C$92/1000+ajustes!J3</f>
        <v>0</v>
      </c>
      <c r="X5" s="220" t="str">
        <f t="shared" ref="X5:Z5" si="5">IF(W$5=0,"N.D.",W5/W$5)</f>
        <v>N.D.</v>
      </c>
      <c r="Y5" s="194">
        <f>BDER!$C$114/1000+ajustes!K3</f>
        <v>0</v>
      </c>
      <c r="Z5" s="220" t="str">
        <f t="shared" si="5"/>
        <v>N.D.</v>
      </c>
      <c r="AA5" s="8">
        <f>SUM(O5,Q5,S5,U5,W5,Y5)-AC5</f>
        <v>0</v>
      </c>
      <c r="AB5" s="220" t="str">
        <f t="shared" ref="AB5" si="6">IF(AA$5=0,"N.D.",AA5/AA$5)</f>
        <v>N.D.</v>
      </c>
      <c r="AC5" s="276">
        <f>(ELIM!C2+ELIM!C4+ELIM!C6+ELIM!C8+ELIM!C10)/1000</f>
        <v>0</v>
      </c>
      <c r="AE5" s="7" t="s">
        <v>5</v>
      </c>
      <c r="AF5" s="11">
        <f>BDER!$C288/1000+ajustes!L3+ajustes!L15</f>
        <v>0</v>
      </c>
      <c r="AG5" s="219" t="str">
        <f>IF(AF$5=0,"N.D.",AF5/AF$5)</f>
        <v>N.D.</v>
      </c>
      <c r="AH5" s="11">
        <f>BDER!$C310/1000+ajustes!M3+ajustes!M15</f>
        <v>0</v>
      </c>
      <c r="AI5" s="219" t="str">
        <f>IF(AH$5=0,"N.D.",AH5/AH$5)</f>
        <v>N.D.</v>
      </c>
      <c r="AJ5" s="11">
        <f>BDER!$C354/1000+ajustes!N3+ajustes!N15</f>
        <v>0</v>
      </c>
      <c r="AK5" s="219" t="str">
        <f>IF(AJ$5=0,"N.D.",AJ5/AJ$5)</f>
        <v>N.D.</v>
      </c>
      <c r="AL5" s="11">
        <f>BDER!$C332/2000+ajustes!O3+ajustes!O15</f>
        <v>0</v>
      </c>
      <c r="AM5" s="219" t="str">
        <f>IF(AL$5=0,"N.D.",AL5/AL$5)</f>
        <v>N.D.</v>
      </c>
      <c r="AN5" s="11">
        <f>ajustes!P3</f>
        <v>0</v>
      </c>
      <c r="AO5" s="219" t="str">
        <f>IF(AN$5=0,"N.D.",AN5/AN$5)</f>
        <v>N.D.</v>
      </c>
      <c r="AP5" s="11">
        <f>BDER!$C400/1000+ajustes!Q3+ajustes!Q15</f>
        <v>0</v>
      </c>
      <c r="AQ5" s="219" t="str">
        <f>IF(AP$5=0,"N.D.",AP5/AP$5)</f>
        <v>N.D.</v>
      </c>
      <c r="AR5" s="11">
        <f>BDER!$C376/1000+ajustes!R3</f>
        <v>0</v>
      </c>
      <c r="AS5" s="219" t="str">
        <f>IF(AR$5=0,"N.D.",AR5/AR$5)</f>
        <v>N.D.</v>
      </c>
      <c r="AT5" s="11">
        <f>SUM(AF5,AH5,AJ5,AL5,AN5,AP5,AR5)</f>
        <v>0</v>
      </c>
      <c r="AU5" s="219" t="str">
        <f>IF(AT$5=0,"N.D.",AT5/AT$5)</f>
        <v>N.D.</v>
      </c>
      <c r="AX5" s="7" t="s">
        <v>5</v>
      </c>
      <c r="AY5" s="8">
        <f>BDER!$C444/1000+ajustes!S3</f>
        <v>0</v>
      </c>
      <c r="AZ5" s="220" t="str">
        <f>IF(AY$5=0,"N.D.",AY5/AY$5)</f>
        <v>N.D.</v>
      </c>
      <c r="BA5" s="195">
        <f>BDER!$C422/1000+ajustes!T3</f>
        <v>0</v>
      </c>
      <c r="BB5" s="220" t="str">
        <f>IF(BA$5=0,"N.D.",BA5/BA$5)</f>
        <v>N.D.</v>
      </c>
      <c r="BC5" s="8">
        <f>SUM(AY5,BA5)</f>
        <v>0</v>
      </c>
      <c r="BD5" s="220" t="str">
        <f>IF(BC$5=0,"N.D.",BC5/BC$5)</f>
        <v>N.D.</v>
      </c>
      <c r="BE5" s="187"/>
      <c r="BG5" s="7" t="s">
        <v>163</v>
      </c>
      <c r="BH5" s="194">
        <f>BDER!$C466/1000+ajustes!V3</f>
        <v>0</v>
      </c>
      <c r="BI5" s="220" t="str">
        <f>IF(BH$5=0,"N.D.",BH5/BH$5)</f>
        <v>N.D.</v>
      </c>
      <c r="BJ5" s="8">
        <f>BDER!$C489/1000+ajustes!W3</f>
        <v>0</v>
      </c>
      <c r="BK5" s="220" t="str">
        <f>IF(BJ$5=0,"N.D.",BJ5/BJ$5)</f>
        <v>N.D.</v>
      </c>
      <c r="BL5" s="195">
        <f>BDER!$C556/1000+ajustes!X3</f>
        <v>0</v>
      </c>
      <c r="BM5" s="220" t="str">
        <f>IF(BL$5=0,"N.D.",BL5/BL$5)</f>
        <v>N.D.</v>
      </c>
      <c r="BN5" s="8">
        <f>BDER!$C601/1000+ajustes!Y3</f>
        <v>0</v>
      </c>
      <c r="BO5" s="220" t="str">
        <f>IF(BN$5=0,"N.D.",BN5/BN$5)</f>
        <v>N.D.</v>
      </c>
      <c r="BP5" s="204">
        <f>SUM(BH5,BJ5,BL5,BN5)</f>
        <v>0</v>
      </c>
      <c r="BQ5" s="220" t="str">
        <f>IF(BP$5=0,"N.D.",BP5/BP$5)</f>
        <v>N.D.</v>
      </c>
      <c r="BU5" s="7" t="s">
        <v>163</v>
      </c>
      <c r="BV5" s="194">
        <f>BDER!$C512/1000+ajustes!Z3</f>
        <v>0</v>
      </c>
      <c r="BW5" s="220" t="str">
        <f t="shared" ref="BW5:BY5" si="7">IF(BV$5=0,"N.D.",BV5/BV$5)</f>
        <v>N.D.</v>
      </c>
      <c r="BX5" s="8">
        <f>BDER!$C579/1000+ajustes!AA3</f>
        <v>0</v>
      </c>
      <c r="BY5" s="220" t="str">
        <f t="shared" si="7"/>
        <v>N.D.</v>
      </c>
      <c r="BZ5" s="195">
        <f>BDER!$C624/1000+ajustes!AB3</f>
        <v>0</v>
      </c>
      <c r="CA5" s="220" t="str">
        <f t="shared" ref="CA5:CC5" si="8">IF(BZ$5=0,"N.D.",BZ5/BZ$5)</f>
        <v>N.D.</v>
      </c>
      <c r="CB5" s="8">
        <f>BDER!$C534/1000+ajustes!AC3</f>
        <v>0</v>
      </c>
      <c r="CC5" s="220" t="str">
        <f t="shared" si="8"/>
        <v>N.D.</v>
      </c>
      <c r="CD5" s="204">
        <f>BDER!$C646/1000+ajustes!AD3</f>
        <v>0</v>
      </c>
      <c r="CE5" s="220" t="str">
        <f t="shared" ref="CE5:CG5" si="9">IF(CD$5=0,"N.D.",CD5/CD$5)</f>
        <v>N.D.</v>
      </c>
      <c r="CF5" s="204">
        <f>SUM(BV5,BX5,BZ5,CB5,CD5)</f>
        <v>0</v>
      </c>
      <c r="CG5" s="220" t="str">
        <f t="shared" si="9"/>
        <v>N.D.</v>
      </c>
    </row>
    <row r="6" spans="1:85" x14ac:dyDescent="0.35">
      <c r="B6" s="7" t="s">
        <v>6</v>
      </c>
      <c r="C6" s="196">
        <f>BDER!$C159/1000 +ajustes!B4</f>
        <v>0</v>
      </c>
      <c r="D6" s="219" t="str">
        <f t="shared" si="0"/>
        <v>N.D.</v>
      </c>
      <c r="E6" s="34">
        <f>BDER!$C137/1000+ajustes!C4</f>
        <v>0</v>
      </c>
      <c r="F6" s="219" t="str">
        <f t="shared" si="0"/>
        <v>N.D.</v>
      </c>
      <c r="G6" s="197">
        <f>BDER!$C203/1000+ajustes!D4</f>
        <v>0</v>
      </c>
      <c r="H6" s="219" t="str">
        <f t="shared" ref="H6" si="10">IF(G$5=0,"N.D.",G6/G$5)</f>
        <v>N.D.</v>
      </c>
      <c r="I6" s="34">
        <f>BDER!$C181/1000+ajustes!E4</f>
        <v>0</v>
      </c>
      <c r="J6" s="219" t="str">
        <f t="shared" ref="J6:L6" si="11">IF(I$5=0,"N.D.",I6/I$5)</f>
        <v>N.D.</v>
      </c>
      <c r="K6" s="207">
        <f>SUM(C6,E6,G6,I6)</f>
        <v>0</v>
      </c>
      <c r="L6" s="219" t="str">
        <f t="shared" si="11"/>
        <v>N.D.</v>
      </c>
      <c r="N6" s="7" t="s">
        <v>6</v>
      </c>
      <c r="O6" s="196">
        <f>BDER!$C$5/1000+ajustes!F4</f>
        <v>0</v>
      </c>
      <c r="P6" s="219" t="str">
        <f t="shared" ref="P6:R6" si="12">IF(O$5=0,"N.D.",O6/O$5)</f>
        <v>N.D.</v>
      </c>
      <c r="Q6" s="34">
        <f>BDER!$C$27/1000+ajustes!G4</f>
        <v>0</v>
      </c>
      <c r="R6" s="219" t="str">
        <f t="shared" si="12"/>
        <v>N.D.</v>
      </c>
      <c r="S6" s="197">
        <f>BDER!$C$49/1000+ajustes!H4</f>
        <v>0</v>
      </c>
      <c r="T6" s="219" t="str">
        <f t="shared" ref="T6:V6" si="13">IF(S$5=0,"N.D.",S6/S$5)</f>
        <v>N.D.</v>
      </c>
      <c r="U6" s="34">
        <f>BDER!$C$71/1000+ajustes!I4</f>
        <v>0</v>
      </c>
      <c r="V6" s="219" t="str">
        <f t="shared" si="13"/>
        <v>N.D.</v>
      </c>
      <c r="W6" s="197">
        <f>BDER!$C$93/1000+ajustes!J4</f>
        <v>0</v>
      </c>
      <c r="X6" s="219" t="str">
        <f t="shared" ref="X6:Z6" si="14">IF(W$5=0,"N.D.",W6/W$5)</f>
        <v>N.D.</v>
      </c>
      <c r="Y6" s="196">
        <f>BDER!$C$115/1000+ajustes!K4</f>
        <v>0</v>
      </c>
      <c r="Z6" s="219" t="str">
        <f t="shared" si="14"/>
        <v>N.D.</v>
      </c>
      <c r="AA6" s="34">
        <f>SUM(O6,Q6,S6,U6,W6,Y6)-AC6</f>
        <v>0</v>
      </c>
      <c r="AB6" s="219" t="str">
        <f t="shared" ref="AB6" si="15">IF(AA$5=0,"N.D.",AA6/AA$5)</f>
        <v>N.D.</v>
      </c>
      <c r="AC6" s="276">
        <f>ELIM!$C$4/1000</f>
        <v>0</v>
      </c>
      <c r="AE6" s="7" t="s">
        <v>6</v>
      </c>
      <c r="AF6" s="34">
        <f>BDER!$C291/1000+ajustes!L4</f>
        <v>0</v>
      </c>
      <c r="AG6" s="219" t="str">
        <f t="shared" ref="AG6:AI7" si="16">IF(AF$5=0,"N.D.",AF6/AF$5)</f>
        <v>N.D.</v>
      </c>
      <c r="AH6" s="34">
        <f>BDER!$C313/1000+ajustes!M4</f>
        <v>0</v>
      </c>
      <c r="AI6" s="219" t="str">
        <f t="shared" si="16"/>
        <v>N.D.</v>
      </c>
      <c r="AJ6" s="34">
        <f>BDER!$C357/1000+ajustes!N4</f>
        <v>0</v>
      </c>
      <c r="AK6" s="219" t="str">
        <f t="shared" ref="AK6:AM6" si="17">IF(AJ$5=0,"N.D.",AJ6/AJ$5)</f>
        <v>N.D.</v>
      </c>
      <c r="AL6" s="34">
        <f>BDER!$C335/2000+ajustes!O4</f>
        <v>0</v>
      </c>
      <c r="AM6" s="219" t="str">
        <f t="shared" si="17"/>
        <v>N.D.</v>
      </c>
      <c r="AN6" s="34">
        <f>ajustes!P4</f>
        <v>0</v>
      </c>
      <c r="AO6" s="219" t="str">
        <f t="shared" ref="AO6:AQ6" si="18">IF(AN$5=0,"N.D.",AN6/AN$5)</f>
        <v>N.D.</v>
      </c>
      <c r="AP6" s="34">
        <f>BDER!$C401/1000+ajustes!Q4</f>
        <v>0</v>
      </c>
      <c r="AQ6" s="219" t="str">
        <f t="shared" si="18"/>
        <v>N.D.</v>
      </c>
      <c r="AR6" s="34">
        <f>BDER!$C379/1000+ajustes!R4</f>
        <v>0</v>
      </c>
      <c r="AS6" s="219" t="str">
        <f t="shared" ref="AS6:AU6" si="19">IF(AR$5=0,"N.D.",AR6/AR$5)</f>
        <v>N.D.</v>
      </c>
      <c r="AT6" s="34">
        <f>SUM(AF6,AH6,AJ6,AL6,AN6,AP6,AR6)</f>
        <v>0</v>
      </c>
      <c r="AU6" s="219" t="str">
        <f t="shared" si="19"/>
        <v>N.D.</v>
      </c>
      <c r="AX6" s="7" t="s">
        <v>6</v>
      </c>
      <c r="AY6" s="34">
        <f>BDER!$C445/1000+ajustes!S4</f>
        <v>0</v>
      </c>
      <c r="AZ6" s="219" t="str">
        <f>IF(AY$5=0,"N.D.",AY6/AY$5)</f>
        <v>N.D.</v>
      </c>
      <c r="BA6" s="197">
        <f>BDER!$C423/1000+ajustes!T4</f>
        <v>0</v>
      </c>
      <c r="BB6" s="219" t="str">
        <f>IF(BA$5=0,"N.D.",BA6/BA$5)</f>
        <v>N.D.</v>
      </c>
      <c r="BC6" s="34">
        <f>SUM(AY6,BA6)</f>
        <v>0</v>
      </c>
      <c r="BD6" s="219" t="str">
        <f>IF(BC$5=0,"N.D.",BC6/BC$5)</f>
        <v>N.D.</v>
      </c>
      <c r="BE6" s="187"/>
      <c r="BG6" s="7" t="s">
        <v>164</v>
      </c>
      <c r="BH6" s="196">
        <f>BDER!$C467/1000+ajustes!V4</f>
        <v>0</v>
      </c>
      <c r="BI6" s="219" t="str">
        <f>IF(BH$5=0,"N.D.",BH6/BH$5)</f>
        <v>N.D.</v>
      </c>
      <c r="BJ6" s="34">
        <f>BDER!$C490/1000+ajustes!W4</f>
        <v>0</v>
      </c>
      <c r="BK6" s="219" t="str">
        <f>IF(BJ$5=0,"N.D.",BJ6/BJ$5)</f>
        <v>N.D.</v>
      </c>
      <c r="BL6" s="197">
        <f>BDER!$C557/1000+ajustes!X4</f>
        <v>0</v>
      </c>
      <c r="BM6" s="219" t="str">
        <f>IF(BL$5=0,"N.D.",BL6/BL$5)</f>
        <v>N.D.</v>
      </c>
      <c r="BN6" s="34">
        <f>BDER!$C602/1000+ajustes!Y4</f>
        <v>0</v>
      </c>
      <c r="BO6" s="219" t="str">
        <f>IF(BN$5=0,"N.D.",BN6/BN$5)</f>
        <v>N.D.</v>
      </c>
      <c r="BP6" s="207">
        <f>SUM(BH6,BJ6,BL6,BN6)</f>
        <v>0</v>
      </c>
      <c r="BQ6" s="219" t="str">
        <f>IF(BP$5=0,"N.D.",BP6/BP$5)</f>
        <v>N.D.</v>
      </c>
      <c r="BU6" s="7" t="s">
        <v>164</v>
      </c>
      <c r="BV6" s="196">
        <f>BDER!$C513/1000+ajustes!Z4</f>
        <v>0</v>
      </c>
      <c r="BW6" s="219" t="str">
        <f t="shared" ref="BW6:BY6" si="20">IF(BV$5=0,"N.D.",BV6/BV$5)</f>
        <v>N.D.</v>
      </c>
      <c r="BX6" s="34">
        <f>BDER!$C580/1000+ajustes!AA4</f>
        <v>0</v>
      </c>
      <c r="BY6" s="219" t="str">
        <f t="shared" si="20"/>
        <v>N.D.</v>
      </c>
      <c r="BZ6" s="197">
        <f>BDER!$C625/1000+ajustes!AB4</f>
        <v>0</v>
      </c>
      <c r="CA6" s="219" t="str">
        <f t="shared" ref="CA6:CC6" si="21">IF(BZ$5=0,"N.D.",BZ6/BZ$5)</f>
        <v>N.D.</v>
      </c>
      <c r="CB6" s="34">
        <f>BDER!$C535/1000+ajustes!AC4</f>
        <v>0</v>
      </c>
      <c r="CC6" s="219" t="str">
        <f t="shared" si="21"/>
        <v>N.D.</v>
      </c>
      <c r="CD6" s="207">
        <f>BDER!$C647/1000+ajustes!AD4</f>
        <v>0</v>
      </c>
      <c r="CE6" s="219" t="str">
        <f t="shared" ref="CE6:CG6" si="22">IF(CD$5=0,"N.D.",CD6/CD$5)</f>
        <v>N.D.</v>
      </c>
      <c r="CF6" s="207">
        <f>SUM(BV6,BX6,BZ6,CB6,CD6)</f>
        <v>0</v>
      </c>
      <c r="CG6" s="219" t="str">
        <f t="shared" si="22"/>
        <v>N.D.</v>
      </c>
    </row>
    <row r="7" spans="1:85" x14ac:dyDescent="0.35">
      <c r="B7" s="4" t="s">
        <v>7</v>
      </c>
      <c r="C7" s="191">
        <f>C5-C6</f>
        <v>0</v>
      </c>
      <c r="D7" s="22" t="str">
        <f t="shared" si="0"/>
        <v>N.D.</v>
      </c>
      <c r="E7" s="211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1">
        <f>I5-I6</f>
        <v>0</v>
      </c>
      <c r="J7" s="22" t="str">
        <f t="shared" ref="J7" si="24">IF(I$5=0,"N.D.",I7/I$5)</f>
        <v>N.D.</v>
      </c>
      <c r="K7" s="20">
        <f>K5-K6</f>
        <v>0</v>
      </c>
      <c r="L7" s="22" t="str">
        <f>IF(K$5=0,"N.D.",K7/K$5)</f>
        <v>N.D.</v>
      </c>
      <c r="N7" s="4" t="s">
        <v>7</v>
      </c>
      <c r="O7" s="216">
        <f>O5-O6</f>
        <v>0</v>
      </c>
      <c r="P7" s="22" t="str">
        <f>IF(O$5=0,"N.D.",O7/O$5)</f>
        <v>N.D.</v>
      </c>
      <c r="Q7" s="208">
        <f>Q5-Q6</f>
        <v>0</v>
      </c>
      <c r="R7" s="22" t="str">
        <f>IF(Q$5=0,"N.D.",Q7/Q$5)</f>
        <v>N.D.</v>
      </c>
      <c r="S7" s="202">
        <f>S5-S6</f>
        <v>0</v>
      </c>
      <c r="T7" s="22" t="str">
        <f>IF(S$5=0,"N.D.",S7/S$5)</f>
        <v>N.D.</v>
      </c>
      <c r="U7" s="208">
        <f>U5-U6</f>
        <v>0</v>
      </c>
      <c r="V7" s="22" t="str">
        <f>IF(U$5=0,"N.D.",U7/U$5)</f>
        <v>N.D.</v>
      </c>
      <c r="W7" s="202">
        <f>W5-W6</f>
        <v>0</v>
      </c>
      <c r="X7" s="22" t="str">
        <f>IF(W$5=0,"N.D.",W7/W$5)</f>
        <v>N.D.</v>
      </c>
      <c r="Y7" s="208">
        <f>Y5-Y6</f>
        <v>0</v>
      </c>
      <c r="Z7" s="22" t="str">
        <f>IF(Y$5=0,"N.D.",Y7/Y$5)</f>
        <v>N.D.</v>
      </c>
      <c r="AA7" s="213">
        <f>AA5-AA6</f>
        <v>0</v>
      </c>
      <c r="AB7" s="22" t="str">
        <f>IF(AA$5=0,"N.D.",AA7/AA$5)</f>
        <v>N.D.</v>
      </c>
      <c r="AC7" s="276"/>
      <c r="AE7" s="4" t="s">
        <v>7</v>
      </c>
      <c r="AF7" s="20">
        <f>AF5-AF6</f>
        <v>0</v>
      </c>
      <c r="AG7" s="22" t="str">
        <f t="shared" si="16"/>
        <v>N.D.</v>
      </c>
      <c r="AH7" s="20">
        <f>AH5-AH6</f>
        <v>0</v>
      </c>
      <c r="AI7" s="22" t="str">
        <f t="shared" si="16"/>
        <v>N.D.</v>
      </c>
      <c r="AJ7" s="20">
        <f>AJ5-AJ6</f>
        <v>0</v>
      </c>
      <c r="AK7" s="22" t="str">
        <f t="shared" ref="AK7:AM7" si="25">IF(AJ$5=0,"N.D.",AJ7/AJ$5)</f>
        <v>N.D.</v>
      </c>
      <c r="AL7" s="20">
        <f>AL5-AL6</f>
        <v>0</v>
      </c>
      <c r="AM7" s="22" t="str">
        <f t="shared" si="25"/>
        <v>N.D.</v>
      </c>
      <c r="AN7" s="20">
        <f>AN5-AN6</f>
        <v>0</v>
      </c>
      <c r="AO7" s="22" t="str">
        <f t="shared" ref="AO7:AQ7" si="26">IF(AN$5=0,"N.D.",AN7/AN$5)</f>
        <v>N.D.</v>
      </c>
      <c r="AP7" s="20">
        <f>AP5-AP6</f>
        <v>0</v>
      </c>
      <c r="AQ7" s="22" t="str">
        <f t="shared" si="26"/>
        <v>N.D.</v>
      </c>
      <c r="AR7" s="20">
        <f>AR5-AR6</f>
        <v>0</v>
      </c>
      <c r="AS7" s="22" t="str">
        <f t="shared" ref="AS7:AU7" si="27">IF(AR$5=0,"N.D.",AR7/AR$5)</f>
        <v>N.D.</v>
      </c>
      <c r="AT7" s="20">
        <f>AT5-AT6</f>
        <v>0</v>
      </c>
      <c r="AU7" s="22" t="str">
        <f t="shared" si="27"/>
        <v>N.D.</v>
      </c>
      <c r="AX7" s="4" t="s">
        <v>7</v>
      </c>
      <c r="AY7" s="20">
        <f>AY5-AY6</f>
        <v>0</v>
      </c>
      <c r="AZ7" s="22" t="str">
        <f>IF(AY$5=0,"N.D.",AY7/AY$5)</f>
        <v>N.D.</v>
      </c>
      <c r="BA7" s="20">
        <f>BA5-BA6</f>
        <v>0</v>
      </c>
      <c r="BB7" s="22" t="str">
        <f>IF(BA$5=0,"N.D.",BA7/BA$5)</f>
        <v>N.D.</v>
      </c>
      <c r="BC7" s="20">
        <f>BC5-BC6</f>
        <v>0</v>
      </c>
      <c r="BD7" s="22" t="str">
        <f>IF(BC$5=0,"N.D.",BC7/BC$5)</f>
        <v>N.D.</v>
      </c>
      <c r="BE7" s="221"/>
      <c r="BG7" s="4" t="s">
        <v>165</v>
      </c>
      <c r="BH7" s="20">
        <f>BH5-BH6</f>
        <v>0</v>
      </c>
      <c r="BI7" s="22" t="str">
        <f>IF(BH$5=0,"N.D.",BH7/BH$5)</f>
        <v>N.D.</v>
      </c>
      <c r="BJ7" s="20">
        <f>BJ5-BJ6</f>
        <v>0</v>
      </c>
      <c r="BK7" s="22" t="str">
        <f>IF(BJ$5=0,"N.D.",BJ7/BJ$5)</f>
        <v>N.D.</v>
      </c>
      <c r="BL7" s="20">
        <f>BL5-BL6</f>
        <v>0</v>
      </c>
      <c r="BM7" s="22" t="str">
        <f>IF(BL$5=0,"N.D.",BL7/BL$5)</f>
        <v>N.D.</v>
      </c>
      <c r="BN7" s="20">
        <f>BN5-BN6</f>
        <v>0</v>
      </c>
      <c r="BO7" s="22" t="str">
        <f>IF(BN$5=0,"N.D.",BN7/BN$5)</f>
        <v>N.D.</v>
      </c>
      <c r="BP7" s="14">
        <f>BP5-BP6</f>
        <v>0</v>
      </c>
      <c r="BQ7" s="22" t="str">
        <f>IF(BP$5=0,"N.D.",BP7/BP$5)</f>
        <v>N.D.</v>
      </c>
      <c r="BU7" s="4" t="s">
        <v>165</v>
      </c>
      <c r="BV7" s="20">
        <f>BV5-BV6</f>
        <v>0</v>
      </c>
      <c r="BW7" s="22" t="str">
        <f>IF(BV$5=0,"N.D.",BV7/BV$5)</f>
        <v>N.D.</v>
      </c>
      <c r="BX7" s="20">
        <f>BX5-BX6</f>
        <v>0</v>
      </c>
      <c r="BY7" s="22" t="str">
        <f>IF(BX$5=0,"N.D.",BX7/BX$5)</f>
        <v>N.D.</v>
      </c>
      <c r="BZ7" s="20">
        <f>BZ5-BZ6</f>
        <v>0</v>
      </c>
      <c r="CA7" s="22" t="str">
        <f>IF(BZ$5=0,"N.D.",BZ7/BZ$5)</f>
        <v>N.D.</v>
      </c>
      <c r="CB7" s="20">
        <f>CB5-CB6</f>
        <v>0</v>
      </c>
      <c r="CC7" s="22" t="str">
        <f>IF(CB$5=0,"N.D.",CB7/CB$5)</f>
        <v>N.D.</v>
      </c>
      <c r="CD7" s="20">
        <f>CD5-CD6</f>
        <v>0</v>
      </c>
      <c r="CE7" s="22" t="str">
        <f>IF(CD$5=0,"N.D.",CD7/CD$5)</f>
        <v>N.D.</v>
      </c>
      <c r="CF7" s="20">
        <f>CF5-CF6</f>
        <v>0</v>
      </c>
      <c r="CG7" s="22" t="str">
        <f>IF(CF$5=0,"N.D.",CF7/CF$5)</f>
        <v>N.D.</v>
      </c>
    </row>
    <row r="8" spans="1:85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7"/>
      <c r="P8" s="30"/>
      <c r="Q8" s="217"/>
      <c r="R8" s="30"/>
      <c r="S8" s="217"/>
      <c r="T8" s="30"/>
      <c r="U8" s="217"/>
      <c r="V8" s="30"/>
      <c r="W8" s="217"/>
      <c r="X8" s="30"/>
      <c r="Y8" s="217"/>
      <c r="Z8" s="30"/>
      <c r="AA8" s="217"/>
      <c r="AB8" s="30"/>
      <c r="AC8" s="276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X8" s="1"/>
      <c r="AY8" s="30"/>
      <c r="AZ8" s="30"/>
      <c r="BA8" s="30"/>
      <c r="BB8" s="30"/>
      <c r="BC8" s="30"/>
      <c r="BD8" s="30"/>
      <c r="BE8" s="30"/>
      <c r="BG8" s="1"/>
      <c r="BH8" s="30"/>
      <c r="BI8" s="30"/>
      <c r="BJ8" s="30"/>
      <c r="BK8" s="30"/>
      <c r="BL8" s="30"/>
      <c r="BM8" s="30"/>
      <c r="BN8" s="30"/>
      <c r="BO8" s="30"/>
      <c r="BP8" s="30"/>
      <c r="BQ8" s="30"/>
      <c r="BU8" s="1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</row>
    <row r="9" spans="1:85" x14ac:dyDescent="0.35">
      <c r="B9" s="7" t="s">
        <v>8</v>
      </c>
      <c r="C9" s="194">
        <f>BDER!$C161/1000+ajustes!B5</f>
        <v>0</v>
      </c>
      <c r="D9" s="220" t="str">
        <f t="shared" ref="D9:F13" si="28">IF(C$5=0,"N.D.",C9/C$5)</f>
        <v>N.D.</v>
      </c>
      <c r="E9" s="8">
        <f>BDER!$C139/1000+ajustes!C5</f>
        <v>0</v>
      </c>
      <c r="F9" s="220" t="str">
        <f t="shared" si="28"/>
        <v>N.D.</v>
      </c>
      <c r="G9" s="195">
        <f>BDER!$C205/1000+ajustes!D5</f>
        <v>0</v>
      </c>
      <c r="H9" s="220" t="str">
        <f t="shared" ref="H9" si="29">IF(G$5=0,"N.D.",G9/G$5)</f>
        <v>N.D.</v>
      </c>
      <c r="I9" s="8">
        <f>BDER!$C183/1000+ajustes!E5</f>
        <v>0</v>
      </c>
      <c r="J9" s="220" t="str">
        <f t="shared" ref="J9:L9" si="30">IF(I$5=0,"N.D.",I9/I$5)</f>
        <v>N.D.</v>
      </c>
      <c r="K9" s="204">
        <f>SUM(C9,E9,G9,I9)</f>
        <v>0</v>
      </c>
      <c r="L9" s="220" t="str">
        <f t="shared" si="30"/>
        <v>N.D.</v>
      </c>
      <c r="N9" s="7" t="s">
        <v>8</v>
      </c>
      <c r="O9" s="198">
        <f>BDER!$C7/1000+ajustes!F5</f>
        <v>0</v>
      </c>
      <c r="P9" s="220" t="str">
        <f t="shared" ref="P9:R9" si="31">IF(O$5=0,"N.D.",O9/O$5)</f>
        <v>N.D.</v>
      </c>
      <c r="Q9" s="11">
        <f>BDER!$C29/1000+ajustes!G5</f>
        <v>0</v>
      </c>
      <c r="R9" s="220" t="str">
        <f t="shared" si="31"/>
        <v>N.D.</v>
      </c>
      <c r="S9" s="30">
        <f>BDER!$C51/1000+ajustes!H5</f>
        <v>0</v>
      </c>
      <c r="T9" s="220" t="str">
        <f t="shared" ref="T9:V9" si="32">IF(S$5=0,"N.D.",S9/S$5)</f>
        <v>N.D.</v>
      </c>
      <c r="U9" s="11">
        <f>BDER!$C73/1000+ajustes!I5</f>
        <v>0</v>
      </c>
      <c r="V9" s="220" t="str">
        <f t="shared" si="32"/>
        <v>N.D.</v>
      </c>
      <c r="W9" s="30">
        <f>BDER!$C95/1000+ajustes!J5</f>
        <v>0</v>
      </c>
      <c r="X9" s="220" t="str">
        <f t="shared" ref="X9:Z9" si="33">IF(W$5=0,"N.D.",W9/W$5)</f>
        <v>N.D.</v>
      </c>
      <c r="Y9" s="11">
        <f>BDER!$C117/1000+ajustes!K5</f>
        <v>0</v>
      </c>
      <c r="Z9" s="220" t="str">
        <f t="shared" si="33"/>
        <v>N.D.</v>
      </c>
      <c r="AA9" s="206">
        <f>SUM(O9,Q9,S9,U9,W9,Y9)-AC9</f>
        <v>0</v>
      </c>
      <c r="AB9" s="220" t="str">
        <f t="shared" ref="AB9" si="34">IF(AA$5=0,"N.D.",AA9/AA$5)</f>
        <v>N.D.</v>
      </c>
      <c r="AC9" s="276">
        <f>(ELIM!C2+ELIM!C8+ELIM!C10)/1000</f>
        <v>0</v>
      </c>
      <c r="AE9" s="7" t="s">
        <v>8</v>
      </c>
      <c r="AF9" s="8">
        <f>BDER!$C293/1000+ajustes!L5</f>
        <v>0</v>
      </c>
      <c r="AG9" s="220" t="str">
        <f t="shared" ref="AG9:AI9" si="35">IF(AF$5=0,"N.D.",AF9/AF$5)</f>
        <v>N.D.</v>
      </c>
      <c r="AH9" s="8">
        <f>BDER!$C315/1000+ajustes!M5</f>
        <v>0</v>
      </c>
      <c r="AI9" s="220" t="str">
        <f t="shared" si="35"/>
        <v>N.D.</v>
      </c>
      <c r="AJ9" s="8">
        <f>BDER!$C359/1000+ajustes!N5</f>
        <v>0</v>
      </c>
      <c r="AK9" s="220" t="str">
        <f t="shared" ref="AK9:AM9" si="36">IF(AJ$5=0,"N.D.",AJ9/AJ$5)</f>
        <v>N.D.</v>
      </c>
      <c r="AL9" s="8">
        <f>BDER!$C337/2000+ajustes!O5</f>
        <v>0</v>
      </c>
      <c r="AM9" s="220" t="str">
        <f t="shared" si="36"/>
        <v>N.D.</v>
      </c>
      <c r="AN9" s="8">
        <f>ajustes!P5</f>
        <v>0</v>
      </c>
      <c r="AO9" s="220" t="str">
        <f t="shared" ref="AO9:AQ9" si="37">IF(AN$5=0,"N.D.",AN9/AN$5)</f>
        <v>N.D.</v>
      </c>
      <c r="AP9" s="8">
        <f>BDER!$C403/1000+ajustes!Q5</f>
        <v>0</v>
      </c>
      <c r="AQ9" s="220" t="str">
        <f t="shared" si="37"/>
        <v>N.D.</v>
      </c>
      <c r="AR9" s="8">
        <f>BDER!$C381/1000+ajustes!R5</f>
        <v>0</v>
      </c>
      <c r="AS9" s="220" t="str">
        <f t="shared" ref="AS9:AU9" si="38">IF(AR$5=0,"N.D.",AR9/AR$5)</f>
        <v>N.D.</v>
      </c>
      <c r="AT9" s="8">
        <f>SUM(AF9,AH9,AJ9,AL9,AN9,AP9,AR9)</f>
        <v>0</v>
      </c>
      <c r="AU9" s="220" t="str">
        <f t="shared" si="38"/>
        <v>N.D.</v>
      </c>
      <c r="AX9" s="7" t="s">
        <v>8</v>
      </c>
      <c r="AY9" s="8">
        <f>BDER!$C447/1000+ajustes!S5</f>
        <v>0</v>
      </c>
      <c r="AZ9" s="220" t="str">
        <f>IF(AY$5=0,"N.D.",AY9/AY$5)</f>
        <v>N.D.</v>
      </c>
      <c r="BA9" s="204">
        <f>BDER!$C425/1000+ajustes!T5</f>
        <v>0</v>
      </c>
      <c r="BB9" s="220" t="str">
        <f>IF(BA$5=0,"N.D.",BA9/BA$5)</f>
        <v>N.D.</v>
      </c>
      <c r="BC9" s="204">
        <f>SUM(AY9,BA9)</f>
        <v>0</v>
      </c>
      <c r="BD9" s="220" t="str">
        <f>IF(BC$5=0,"N.D.",BC9/BC$5)</f>
        <v>N.D.</v>
      </c>
      <c r="BE9" s="187"/>
      <c r="BG9" s="7" t="s">
        <v>166</v>
      </c>
      <c r="BH9" s="194">
        <f>BDER!$C470/1000+ajustes!V5</f>
        <v>0</v>
      </c>
      <c r="BI9" s="220" t="str">
        <f>IF(BH$5=0,"N.D.",BH9/BH$5)</f>
        <v>N.D.</v>
      </c>
      <c r="BJ9" s="8">
        <f>BDER!$C493/1000+ajustes!W5</f>
        <v>0</v>
      </c>
      <c r="BK9" s="220" t="str">
        <f>IF(BJ$5=0,"N.D.",BJ9/BJ$5)</f>
        <v>N.D.</v>
      </c>
      <c r="BL9" s="195">
        <f>BDER!$C560/1000+ajustes!X5</f>
        <v>0</v>
      </c>
      <c r="BM9" s="220" t="str">
        <f>IF(BL$5=0,"N.D.",BL9/BL$5)</f>
        <v>N.D.</v>
      </c>
      <c r="BN9" s="8">
        <f>BDER!$C605/1000+ajustes!Y5</f>
        <v>0</v>
      </c>
      <c r="BO9" s="220" t="str">
        <f>IF(BN$5=0,"N.D.",BN9/BN$5)</f>
        <v>N.D.</v>
      </c>
      <c r="BP9" s="204">
        <f>SUM(BH9,BJ9,BL9,BN9)</f>
        <v>0</v>
      </c>
      <c r="BQ9" s="220" t="str">
        <f>IF(BP$5=0,"N.D.",BP9/BP$5)</f>
        <v>N.D.</v>
      </c>
      <c r="BU9" s="7" t="s">
        <v>166</v>
      </c>
      <c r="BV9" s="194">
        <f>BDER!$C515/1000+ajustes!Z5</f>
        <v>0</v>
      </c>
      <c r="BW9" s="220" t="str">
        <f t="shared" ref="BW9:BY9" si="39">IF(BV$5=0,"N.D.",BV9/BV$5)</f>
        <v>N.D.</v>
      </c>
      <c r="BX9" s="8">
        <f>BDER!$C582/1000+ajustes!AA5</f>
        <v>0</v>
      </c>
      <c r="BY9" s="220" t="str">
        <f t="shared" si="39"/>
        <v>N.D.</v>
      </c>
      <c r="BZ9" s="195">
        <f>BDER!$C627/1000+ajustes!AB5</f>
        <v>0</v>
      </c>
      <c r="CA9" s="220" t="str">
        <f t="shared" ref="CA9:CC9" si="40">IF(BZ$5=0,"N.D.",BZ9/BZ$5)</f>
        <v>N.D.</v>
      </c>
      <c r="CB9" s="8">
        <f>BDER!$C537/1000+ajustes!AC5</f>
        <v>0</v>
      </c>
      <c r="CC9" s="220" t="str">
        <f t="shared" si="40"/>
        <v>N.D.</v>
      </c>
      <c r="CD9" s="204">
        <f>BDER!$C649/1000+ajustes!AD5</f>
        <v>0</v>
      </c>
      <c r="CE9" s="220" t="str">
        <f t="shared" ref="CE9:CG9" si="41">IF(CD$5=0,"N.D.",CD9/CD$5)</f>
        <v>N.D.</v>
      </c>
      <c r="CF9" s="204">
        <f>SUM(BV9,BX9,BZ9,CB9,CD9)</f>
        <v>0</v>
      </c>
      <c r="CG9" s="220" t="str">
        <f t="shared" si="41"/>
        <v>N.D.</v>
      </c>
    </row>
    <row r="10" spans="1:85" x14ac:dyDescent="0.35">
      <c r="B10" s="7" t="s">
        <v>9</v>
      </c>
      <c r="C10" s="198">
        <f>BDER!$C162/1000+ajustes!B6</f>
        <v>0</v>
      </c>
      <c r="D10" s="219" t="str">
        <f t="shared" si="28"/>
        <v>N.D.</v>
      </c>
      <c r="E10" s="11">
        <f>BDER!$C140/1000+ajustes!C6</f>
        <v>0</v>
      </c>
      <c r="F10" s="219" t="str">
        <f t="shared" si="28"/>
        <v>N.D.</v>
      </c>
      <c r="G10" s="30">
        <f>BDER!$C206/1000+ajustes!D6</f>
        <v>0</v>
      </c>
      <c r="H10" s="219" t="str">
        <f t="shared" ref="H10" si="42">IF(G$5=0,"N.D.",G10/G$5)</f>
        <v>N.D.</v>
      </c>
      <c r="I10" s="11">
        <f>BDER!$C184/1000+ajustes!E6</f>
        <v>0</v>
      </c>
      <c r="J10" s="219" t="str">
        <f t="shared" ref="J10:L10" si="43">IF(I$5=0,"N.D.",I10/I$5)</f>
        <v>N.D.</v>
      </c>
      <c r="K10" s="206">
        <f>SUM(C10,E10,G10,I10)</f>
        <v>0</v>
      </c>
      <c r="L10" s="219" t="str">
        <f t="shared" si="43"/>
        <v>N.D.</v>
      </c>
      <c r="N10" s="7" t="s">
        <v>9</v>
      </c>
      <c r="O10" s="198">
        <f>BDER!$C8/1000+ajustes!F6</f>
        <v>0</v>
      </c>
      <c r="P10" s="219" t="str">
        <f t="shared" ref="P10:R10" si="44">IF(O$5=0,"N.D.",O10/O$5)</f>
        <v>N.D.</v>
      </c>
      <c r="Q10" s="11">
        <f>BDER!$C30/1000+ajustes!G6</f>
        <v>0</v>
      </c>
      <c r="R10" s="219" t="str">
        <f t="shared" si="44"/>
        <v>N.D.</v>
      </c>
      <c r="S10" s="30">
        <f>BDER!$C52/1000+ajustes!H6</f>
        <v>0</v>
      </c>
      <c r="T10" s="219" t="str">
        <f t="shared" ref="T10:V10" si="45">IF(S$5=0,"N.D.",S10/S$5)</f>
        <v>N.D.</v>
      </c>
      <c r="U10" s="11">
        <f>BDER!$C74/1000+ajustes!I6</f>
        <v>0</v>
      </c>
      <c r="V10" s="219" t="str">
        <f t="shared" si="45"/>
        <v>N.D.</v>
      </c>
      <c r="W10" s="30">
        <f>BDER!$C96/1000+ajustes!J6</f>
        <v>0</v>
      </c>
      <c r="X10" s="219" t="str">
        <f t="shared" ref="X10:Z10" si="46">IF(W$5=0,"N.D.",W10/W$5)</f>
        <v>N.D.</v>
      </c>
      <c r="Y10" s="11">
        <f>BDER!$C118/1000+ajustes!K6</f>
        <v>0</v>
      </c>
      <c r="Z10" s="219" t="str">
        <f t="shared" si="46"/>
        <v>N.D.</v>
      </c>
      <c r="AA10" s="206">
        <f>SUM(O10,Q10,S10,U10,W10,Y10)-AC10</f>
        <v>0</v>
      </c>
      <c r="AB10" s="219" t="str">
        <f t="shared" ref="AB10" si="47">IF(AA$5=0,"N.D.",AA10/AA$5)</f>
        <v>N.D.</v>
      </c>
      <c r="AC10" s="276">
        <f>ELIM!C6/1000</f>
        <v>0</v>
      </c>
      <c r="AE10" s="7" t="s">
        <v>9</v>
      </c>
      <c r="AF10" s="11">
        <f>BDER!$C294/1000+BDER!C289/1000+ajustes!L6</f>
        <v>0</v>
      </c>
      <c r="AG10" s="219" t="str">
        <f t="shared" ref="AG10:AI10" si="48">IF(AF$5=0,"N.D.",AF10/AF$5)</f>
        <v>N.D.</v>
      </c>
      <c r="AH10" s="11">
        <f>BDER!$C316/1000-BDER!C311/1000+ajustes!M6</f>
        <v>0</v>
      </c>
      <c r="AI10" s="219" t="str">
        <f t="shared" si="48"/>
        <v>N.D.</v>
      </c>
      <c r="AJ10" s="11">
        <f>BDER!$C360/1000-BDER!C355/1000+ajustes!N6</f>
        <v>0</v>
      </c>
      <c r="AK10" s="219" t="str">
        <f t="shared" ref="AK10:AM10" si="49">IF(AJ$5=0,"N.D.",AJ10/AJ$5)</f>
        <v>N.D.</v>
      </c>
      <c r="AL10" s="11">
        <f>BDER!$C338/2000+BDER!C333/2000+ajustes!O6</f>
        <v>0</v>
      </c>
      <c r="AM10" s="219" t="str">
        <f t="shared" si="49"/>
        <v>N.D.</v>
      </c>
      <c r="AN10" s="11">
        <f>ajustes!P6</f>
        <v>0</v>
      </c>
      <c r="AO10" s="219" t="str">
        <f t="shared" ref="AO10:AQ10" si="50">IF(AN$5=0,"N.D.",AN10/AN$5)</f>
        <v>N.D.</v>
      </c>
      <c r="AP10" s="11">
        <f>BDER!$C404/1000+ajustes!Q6</f>
        <v>0</v>
      </c>
      <c r="AQ10" s="219" t="str">
        <f t="shared" si="50"/>
        <v>N.D.</v>
      </c>
      <c r="AR10" s="11">
        <f>BDER!$C382/1000+BDER!$C377/1000+ajustes!R6</f>
        <v>0</v>
      </c>
      <c r="AS10" s="219" t="str">
        <f t="shared" ref="AS10:AU10" si="51">IF(AR$5=0,"N.D.",AR10/AR$5)</f>
        <v>N.D.</v>
      </c>
      <c r="AT10" s="11">
        <f>SUM(AF10,AH10,AJ10,AL10,AN10,AP10,AR10)</f>
        <v>0</v>
      </c>
      <c r="AU10" s="219" t="str">
        <f t="shared" si="51"/>
        <v>N.D.</v>
      </c>
      <c r="AX10" s="7" t="s">
        <v>9</v>
      </c>
      <c r="AY10" s="11">
        <f>BDER!$C448/1000+ajustes!S6</f>
        <v>0</v>
      </c>
      <c r="AZ10" s="219" t="str">
        <f>IF(AY$5=0,"N.D.",AY10/AY$5)</f>
        <v>N.D.</v>
      </c>
      <c r="BA10" s="206">
        <f>BDER!$C426/1000+ajustes!T6</f>
        <v>0</v>
      </c>
      <c r="BB10" s="219" t="str">
        <f>IF(BA$5=0,"N.D.",BA10/BA$5)</f>
        <v>N.D.</v>
      </c>
      <c r="BC10" s="206">
        <f>SUM(AY10,BA10)</f>
        <v>0</v>
      </c>
      <c r="BD10" s="219" t="str">
        <f>IF(BC$5=0,"N.D.",BC10/BC$5)</f>
        <v>N.D.</v>
      </c>
      <c r="BE10" s="187"/>
      <c r="BG10" s="7" t="s">
        <v>167</v>
      </c>
      <c r="BH10" s="198">
        <f>BDER!$C471/1000+ajustes!V6</f>
        <v>0</v>
      </c>
      <c r="BI10" s="219" t="str">
        <f>IF(BH$5=0,"N.D.",BH10/BH$5)</f>
        <v>N.D.</v>
      </c>
      <c r="BJ10" s="11">
        <f>BDER!$C494/1000+ajustes!W6</f>
        <v>0</v>
      </c>
      <c r="BK10" s="219" t="str">
        <f>IF(BJ$5=0,"N.D.",BJ10/BJ$5)</f>
        <v>N.D.</v>
      </c>
      <c r="BL10" s="30">
        <f>BDER!$C561/1000+ajustes!X6</f>
        <v>0</v>
      </c>
      <c r="BM10" s="219" t="str">
        <f>IF(BL$5=0,"N.D.",BL10/BL$5)</f>
        <v>N.D.</v>
      </c>
      <c r="BN10" s="11">
        <f>BDER!$C606/1000+ajustes!Y6</f>
        <v>0</v>
      </c>
      <c r="BO10" s="219" t="str">
        <f>IF(BN$5=0,"N.D.",BN10/BN$5)</f>
        <v>N.D.</v>
      </c>
      <c r="BP10" s="206">
        <f>SUM(BH10,BJ10,BL10,BN10)</f>
        <v>0</v>
      </c>
      <c r="BQ10" s="219" t="str">
        <f>IF(BP$5=0,"N.D.",BP10/BP$5)</f>
        <v>N.D.</v>
      </c>
      <c r="BU10" s="7" t="s">
        <v>167</v>
      </c>
      <c r="BV10" s="198">
        <f>BDER!$C516/1000+ajustes!Z6</f>
        <v>0</v>
      </c>
      <c r="BW10" s="219" t="str">
        <f t="shared" ref="BW10:BY10" si="52">IF(BV$5=0,"N.D.",BV10/BV$5)</f>
        <v>N.D.</v>
      </c>
      <c r="BX10" s="11">
        <f>BDER!$C583/1000+ajustes!AA6</f>
        <v>0</v>
      </c>
      <c r="BY10" s="219" t="str">
        <f t="shared" si="52"/>
        <v>N.D.</v>
      </c>
      <c r="BZ10" s="30">
        <f>BDER!$C628/1000+ajustes!AB6</f>
        <v>0</v>
      </c>
      <c r="CA10" s="219" t="str">
        <f t="shared" ref="CA10:CC10" si="53">IF(BZ$5=0,"N.D.",BZ10/BZ$5)</f>
        <v>N.D.</v>
      </c>
      <c r="CB10" s="11">
        <f>BDER!$C538/1000+ajustes!AC6</f>
        <v>0</v>
      </c>
      <c r="CC10" s="219" t="str">
        <f t="shared" si="53"/>
        <v>N.D.</v>
      </c>
      <c r="CD10" s="206">
        <f>BDER!$C650/1000+ajustes!AD6</f>
        <v>0</v>
      </c>
      <c r="CE10" s="219" t="str">
        <f t="shared" ref="CE10:CG10" si="54">IF(CD$5=0,"N.D.",CD10/CD$5)</f>
        <v>N.D.</v>
      </c>
      <c r="CF10" s="206">
        <f>SUM(BV10,BX10,BZ10,CB10,CD10)</f>
        <v>0</v>
      </c>
      <c r="CG10" s="219" t="str">
        <f t="shared" si="54"/>
        <v>N.D.</v>
      </c>
    </row>
    <row r="11" spans="1:85" x14ac:dyDescent="0.35">
      <c r="B11" s="7" t="s">
        <v>10</v>
      </c>
      <c r="C11" s="196">
        <f>BDER!$C163/1000+ajustes!B7</f>
        <v>0</v>
      </c>
      <c r="D11" s="219" t="str">
        <f t="shared" si="28"/>
        <v>N.D.</v>
      </c>
      <c r="E11" s="34">
        <f>BDER!$C141/1000+ajustes!C7</f>
        <v>0</v>
      </c>
      <c r="F11" s="219" t="str">
        <f t="shared" si="28"/>
        <v>N.D.</v>
      </c>
      <c r="G11" s="197">
        <f>BDER!$C207/1000+ajustes!D7</f>
        <v>0</v>
      </c>
      <c r="H11" s="219" t="str">
        <f t="shared" ref="H11" si="55">IF(G$5=0,"N.D.",G11/G$5)</f>
        <v>N.D.</v>
      </c>
      <c r="I11" s="34">
        <f>BDER!$C185/1000+ajustes!E7</f>
        <v>0</v>
      </c>
      <c r="J11" s="219" t="str">
        <f t="shared" ref="J11:L11" si="56">IF(I$5=0,"N.D.",I11/I$5)</f>
        <v>N.D.</v>
      </c>
      <c r="K11" s="207">
        <f>SUM(C11,E11,G11,I11)</f>
        <v>0</v>
      </c>
      <c r="L11" s="219" t="str">
        <f t="shared" si="56"/>
        <v>N.D.</v>
      </c>
      <c r="N11" s="7" t="s">
        <v>10</v>
      </c>
      <c r="O11" s="196">
        <f>BDER!$C9/1000+ajustes!F7</f>
        <v>0</v>
      </c>
      <c r="P11" s="219" t="str">
        <f t="shared" ref="P11:R11" si="57">IF(O$5=0,"N.D.",O11/O$5)</f>
        <v>N.D.</v>
      </c>
      <c r="Q11" s="34">
        <f>BDER!$C31/1000+ajustes!G7</f>
        <v>0</v>
      </c>
      <c r="R11" s="219" t="str">
        <f t="shared" si="57"/>
        <v>N.D.</v>
      </c>
      <c r="S11" s="197">
        <f>BDER!$C53/1000+ajustes!H7</f>
        <v>0</v>
      </c>
      <c r="T11" s="219" t="str">
        <f t="shared" ref="T11:V11" si="58">IF(S$5=0,"N.D.",S11/S$5)</f>
        <v>N.D.</v>
      </c>
      <c r="U11" s="34">
        <f>BDER!$C75/1000+ajustes!I7</f>
        <v>0</v>
      </c>
      <c r="V11" s="219" t="str">
        <f t="shared" si="58"/>
        <v>N.D.</v>
      </c>
      <c r="W11" s="197">
        <f>BDER!$C97/1000+ajustes!J7</f>
        <v>0</v>
      </c>
      <c r="X11" s="219" t="str">
        <f t="shared" ref="X11:Z11" si="59">IF(W$5=0,"N.D.",W11/W$5)</f>
        <v>N.D.</v>
      </c>
      <c r="Y11" s="34">
        <f>BDER!$C119/1000+ajustes!K7</f>
        <v>0</v>
      </c>
      <c r="Z11" s="219" t="str">
        <f t="shared" si="59"/>
        <v>N.D.</v>
      </c>
      <c r="AA11" s="207">
        <f>SUM(O11,Q11,S11,U11,W11,Y11)</f>
        <v>0</v>
      </c>
      <c r="AB11" s="219" t="str">
        <f t="shared" ref="AB11" si="60">IF(AA$5=0,"N.D.",AA11/AA$5)</f>
        <v>N.D.</v>
      </c>
      <c r="AC11" s="276"/>
      <c r="AE11" s="7" t="s">
        <v>10</v>
      </c>
      <c r="AF11" s="11">
        <f>BDER!$C295/1000+ajustes!L7</f>
        <v>0</v>
      </c>
      <c r="AG11" s="219" t="str">
        <f t="shared" ref="AG11:AI11" si="61">IF(AF$5=0,"N.D.",AF11/AF$5)</f>
        <v>N.D.</v>
      </c>
      <c r="AH11" s="11">
        <f>BDER!$C317/1000+ajustes!M7</f>
        <v>0</v>
      </c>
      <c r="AI11" s="219" t="str">
        <f t="shared" si="61"/>
        <v>N.D.</v>
      </c>
      <c r="AJ11" s="11">
        <f>BDER!$C361/1000+ajustes!N7</f>
        <v>0</v>
      </c>
      <c r="AK11" s="219" t="str">
        <f t="shared" ref="AK11:AM11" si="62">IF(AJ$5=0,"N.D.",AJ11/AJ$5)</f>
        <v>N.D.</v>
      </c>
      <c r="AL11" s="11">
        <f>BDER!$C339/2000+ajustes!O7</f>
        <v>0</v>
      </c>
      <c r="AM11" s="219" t="str">
        <f t="shared" si="62"/>
        <v>N.D.</v>
      </c>
      <c r="AN11" s="11">
        <f>ajustes!P7</f>
        <v>0</v>
      </c>
      <c r="AO11" s="219" t="str">
        <f t="shared" ref="AO11:AQ11" si="63">IF(AN$5=0,"N.D.",AN11/AN$5)</f>
        <v>N.D.</v>
      </c>
      <c r="AP11" s="11">
        <f>BDER!$C405/1000+ajustes!Q7</f>
        <v>0</v>
      </c>
      <c r="AQ11" s="219" t="str">
        <f t="shared" si="63"/>
        <v>N.D.</v>
      </c>
      <c r="AR11" s="11">
        <f>BDER!$C383/1000+ajustes!R7</f>
        <v>0</v>
      </c>
      <c r="AS11" s="219" t="str">
        <f t="shared" ref="AS11:AU11" si="64">IF(AR$5=0,"N.D.",AR11/AR$5)</f>
        <v>N.D.</v>
      </c>
      <c r="AT11" s="11">
        <f>SUM(AF11,AH11,AJ11,AL11,AN11,AP11,AR11)</f>
        <v>0</v>
      </c>
      <c r="AU11" s="219" t="str">
        <f t="shared" si="64"/>
        <v>N.D.</v>
      </c>
      <c r="AX11" s="7" t="s">
        <v>10</v>
      </c>
      <c r="AY11" s="34">
        <f>BDER!$C449/1000+ajustes!S7</f>
        <v>0</v>
      </c>
      <c r="AZ11" s="219" t="str">
        <f>IF(AY$5=0,"N.D.",AY11/AY$5)</f>
        <v>N.D.</v>
      </c>
      <c r="BA11" s="207">
        <f>BDER!$C427/1000+ajustes!T7</f>
        <v>0</v>
      </c>
      <c r="BB11" s="219" t="str">
        <f>IF(BA$5=0,"N.D.",BA11/BA$5)</f>
        <v>N.D.</v>
      </c>
      <c r="BC11" s="206">
        <f>SUM(AY11,BA11)</f>
        <v>0</v>
      </c>
      <c r="BD11" s="219" t="str">
        <f>IF(BC$5=0,"N.D.",BC11/BC$5)</f>
        <v>N.D.</v>
      </c>
      <c r="BE11" s="187"/>
      <c r="BG11" s="7" t="s">
        <v>168</v>
      </c>
      <c r="BH11" s="196">
        <f>BDER!$C472/1000+ajustes!V7</f>
        <v>0</v>
      </c>
      <c r="BI11" s="219" t="str">
        <f>IF(BH$5=0,"N.D.",BH11/BH$5)</f>
        <v>N.D.</v>
      </c>
      <c r="BJ11" s="34">
        <f>BDER!$C495/1000+ajustes!W7</f>
        <v>0</v>
      </c>
      <c r="BK11" s="219" t="str">
        <f>IF(BJ$5=0,"N.D.",BJ11/BJ$5)</f>
        <v>N.D.</v>
      </c>
      <c r="BL11" s="197">
        <f>BDER!$C562/1000+ajustes!X7</f>
        <v>0</v>
      </c>
      <c r="BM11" s="219" t="str">
        <f>IF(BL$5=0,"N.D.",BL11/BL$5)</f>
        <v>N.D.</v>
      </c>
      <c r="BN11" s="34">
        <f>BDER!$C607/1000+ajustes!Y8</f>
        <v>0</v>
      </c>
      <c r="BO11" s="219" t="str">
        <f>IF(BN$5=0,"N.D.",BN11/BN$5)</f>
        <v>N.D.</v>
      </c>
      <c r="BP11" s="206">
        <f>SUM(BH11,BJ11,BL11,BN11)</f>
        <v>0</v>
      </c>
      <c r="BQ11" s="219" t="str">
        <f>IF(BP$5=0,"N.D.",BP11/BP$5)</f>
        <v>N.D.</v>
      </c>
      <c r="BU11" s="7" t="s">
        <v>168</v>
      </c>
      <c r="BV11" s="196">
        <f>BDER!$C517/1000+ajustes!Z7</f>
        <v>0</v>
      </c>
      <c r="BW11" s="219" t="str">
        <f t="shared" ref="BW11:BY11" si="65">IF(BV$5=0,"N.D.",BV11/BV$5)</f>
        <v>N.D.</v>
      </c>
      <c r="BX11" s="34">
        <f>BDER!$C584/1000+ajustes!AA7</f>
        <v>0</v>
      </c>
      <c r="BY11" s="219" t="str">
        <f t="shared" si="65"/>
        <v>N.D.</v>
      </c>
      <c r="BZ11" s="197">
        <f>BDER!$C629/1000+ajustes!AB7</f>
        <v>0</v>
      </c>
      <c r="CA11" s="219" t="str">
        <f t="shared" ref="CA11:CC11" si="66">IF(BZ$5=0,"N.D.",BZ11/BZ$5)</f>
        <v>N.D.</v>
      </c>
      <c r="CB11" s="34">
        <f>BDER!$C539/1000+ajustes!AC7</f>
        <v>0</v>
      </c>
      <c r="CC11" s="219" t="str">
        <f t="shared" si="66"/>
        <v>N.D.</v>
      </c>
      <c r="CD11" s="207">
        <f>BDER!$C651/1000+ajustes!AD7</f>
        <v>0</v>
      </c>
      <c r="CE11" s="219" t="str">
        <f t="shared" ref="CE11:CG11" si="67">IF(CD$5=0,"N.D.",CD11/CD$5)</f>
        <v>N.D.</v>
      </c>
      <c r="CF11" s="206">
        <f>SUM(BV11,BX11,BZ11,CB11,CD11)</f>
        <v>0</v>
      </c>
      <c r="CG11" s="219" t="str">
        <f t="shared" si="67"/>
        <v>N.D.</v>
      </c>
    </row>
    <row r="12" spans="1:85" x14ac:dyDescent="0.35">
      <c r="B12" s="4" t="s">
        <v>11</v>
      </c>
      <c r="C12" s="212">
        <f>SUM(C9:C11)</f>
        <v>0</v>
      </c>
      <c r="D12" s="22" t="str">
        <f t="shared" si="28"/>
        <v>N.D.</v>
      </c>
      <c r="E12" s="209">
        <f>SUM(E9:E11)</f>
        <v>0</v>
      </c>
      <c r="F12" s="22" t="str">
        <f t="shared" si="28"/>
        <v>N.D.</v>
      </c>
      <c r="G12" s="212">
        <f>SUM(G9:G11)</f>
        <v>0</v>
      </c>
      <c r="H12" s="22" t="str">
        <f t="shared" ref="H12" si="68">IF(G$5=0,"N.D.",G12/G$5)</f>
        <v>N.D.</v>
      </c>
      <c r="I12" s="14">
        <f>SUM(I9:I11)</f>
        <v>0</v>
      </c>
      <c r="J12" s="22" t="str">
        <f t="shared" ref="J12:L12" si="69">IF(I$5=0,"N.D.",I12/I$5)</f>
        <v>N.D.</v>
      </c>
      <c r="K12" s="210">
        <f>SUM(K9:K11)</f>
        <v>0</v>
      </c>
      <c r="L12" s="22" t="str">
        <f t="shared" si="69"/>
        <v>N.D.</v>
      </c>
      <c r="N12" s="4" t="s">
        <v>11</v>
      </c>
      <c r="O12" s="216">
        <f>SUM(O9:O11)</f>
        <v>0</v>
      </c>
      <c r="P12" s="22" t="str">
        <f t="shared" ref="P12:R12" si="70">IF(O$5=0,"N.D.",O12/O$5)</f>
        <v>N.D.</v>
      </c>
      <c r="Q12" s="208">
        <f>SUM(Q9:Q11)</f>
        <v>0</v>
      </c>
      <c r="R12" s="22" t="str">
        <f t="shared" si="70"/>
        <v>N.D.</v>
      </c>
      <c r="S12" s="202">
        <f>SUM(S9:S11)</f>
        <v>0</v>
      </c>
      <c r="T12" s="22" t="str">
        <f t="shared" ref="T12:V12" si="71">IF(S$5=0,"N.D.",S12/S$5)</f>
        <v>N.D.</v>
      </c>
      <c r="U12" s="208">
        <f>SUM(U9:U11)</f>
        <v>0</v>
      </c>
      <c r="V12" s="22" t="str">
        <f t="shared" si="71"/>
        <v>N.D.</v>
      </c>
      <c r="W12" s="202">
        <f>SUM(W9:W11)</f>
        <v>0</v>
      </c>
      <c r="X12" s="22" t="str">
        <f t="shared" ref="X12:Z12" si="72">IF(W$5=0,"N.D.",W12/W$5)</f>
        <v>N.D.</v>
      </c>
      <c r="Y12" s="208">
        <f>SUM(Y9:Y11)</f>
        <v>0</v>
      </c>
      <c r="Z12" s="22" t="str">
        <f t="shared" si="72"/>
        <v>N.D.</v>
      </c>
      <c r="AA12" s="213">
        <f>SUM(AA9:AA11)</f>
        <v>0</v>
      </c>
      <c r="AB12" s="22" t="str">
        <f t="shared" ref="AB12" si="73">IF(AA$5=0,"N.D.",AA12/AA$5)</f>
        <v>N.D.</v>
      </c>
      <c r="AC12" s="276"/>
      <c r="AE12" s="4" t="s">
        <v>11</v>
      </c>
      <c r="AF12" s="14">
        <f>SUM(AF9:AF11)</f>
        <v>0</v>
      </c>
      <c r="AG12" s="22" t="str">
        <f t="shared" ref="AG12:AI12" si="74">IF(AF$5=0,"N.D.",AF12/AF$5)</f>
        <v>N.D.</v>
      </c>
      <c r="AH12" s="14">
        <f>SUM(AH9:AH11)</f>
        <v>0</v>
      </c>
      <c r="AI12" s="22" t="str">
        <f t="shared" si="74"/>
        <v>N.D.</v>
      </c>
      <c r="AJ12" s="14">
        <f>SUM(AJ9:AJ11)</f>
        <v>0</v>
      </c>
      <c r="AK12" s="22" t="str">
        <f t="shared" ref="AK12:AM12" si="75">IF(AJ$5=0,"N.D.",AJ12/AJ$5)</f>
        <v>N.D.</v>
      </c>
      <c r="AL12" s="14">
        <f>SUM(AL9:AL11)</f>
        <v>0</v>
      </c>
      <c r="AM12" s="22" t="str">
        <f t="shared" si="75"/>
        <v>N.D.</v>
      </c>
      <c r="AN12" s="14">
        <f>SUM(AN9:AN11)</f>
        <v>0</v>
      </c>
      <c r="AO12" s="22" t="str">
        <f t="shared" ref="AO12:AQ12" si="76">IF(AN$5=0,"N.D.",AN12/AN$5)</f>
        <v>N.D.</v>
      </c>
      <c r="AP12" s="14">
        <f>SUM(AP9:AP11)</f>
        <v>0</v>
      </c>
      <c r="AQ12" s="22" t="str">
        <f t="shared" si="76"/>
        <v>N.D.</v>
      </c>
      <c r="AR12" s="14">
        <f>SUM(AR9:AR11)</f>
        <v>0</v>
      </c>
      <c r="AS12" s="22" t="str">
        <f t="shared" ref="AS12:AU12" si="77">IF(AR$5=0,"N.D.",AR12/AR$5)</f>
        <v>N.D.</v>
      </c>
      <c r="AT12" s="14">
        <f>SUM(AT9:AT11)</f>
        <v>0</v>
      </c>
      <c r="AU12" s="22" t="str">
        <f t="shared" si="77"/>
        <v>N.D.</v>
      </c>
      <c r="AX12" s="4" t="s">
        <v>11</v>
      </c>
      <c r="AY12" s="208">
        <f>SUM(AY9:AY11)</f>
        <v>0</v>
      </c>
      <c r="AZ12" s="22" t="str">
        <f>IF(AY$5=0,"N.D.",AY12/AY$5)</f>
        <v>N.D.</v>
      </c>
      <c r="BA12" s="208">
        <f>SUM(BA9:BA11)</f>
        <v>0</v>
      </c>
      <c r="BB12" s="22" t="str">
        <f>IF(BA$5=0,"N.D.",BA12/BA$5)</f>
        <v>N.D.</v>
      </c>
      <c r="BC12" s="14">
        <f>SUM(BC9:BC11)</f>
        <v>0</v>
      </c>
      <c r="BD12" s="22" t="str">
        <f>IF(BC$5=0,"N.D.",BC12/BC$5)</f>
        <v>N.D.</v>
      </c>
      <c r="BE12" s="221"/>
      <c r="BG12" s="4" t="s">
        <v>169</v>
      </c>
      <c r="BH12" s="208">
        <f>SUM(BH9:BH11)</f>
        <v>0</v>
      </c>
      <c r="BI12" s="22" t="str">
        <f>IF(BH$5=0,"N.D.",BH12/BH$5)</f>
        <v>N.D.</v>
      </c>
      <c r="BJ12" s="208">
        <f>SUM(BJ9:BJ11)</f>
        <v>0</v>
      </c>
      <c r="BK12" s="22" t="str">
        <f>IF(BJ$5=0,"N.D.",BJ12/BJ$5)</f>
        <v>N.D.</v>
      </c>
      <c r="BL12" s="208">
        <f>SUM(BL9:BL11)</f>
        <v>0</v>
      </c>
      <c r="BM12" s="22" t="str">
        <f>IF(BL$5=0,"N.D.",BL12/BL$5)</f>
        <v>N.D.</v>
      </c>
      <c r="BN12" s="208">
        <f>SUM(BN9:BN11)</f>
        <v>0</v>
      </c>
      <c r="BO12" s="22" t="str">
        <f>IF(BN$5=0,"N.D.",BN12/BN$5)</f>
        <v>N.D.</v>
      </c>
      <c r="BP12" s="14">
        <f>SUM(BP9:BP11)</f>
        <v>0</v>
      </c>
      <c r="BQ12" s="22" t="str">
        <f>IF(BP$5=0,"N.D.",BP12/BP$5)</f>
        <v>N.D.</v>
      </c>
      <c r="BU12" s="4" t="s">
        <v>169</v>
      </c>
      <c r="BV12" s="208">
        <f>SUM(BV9:BV11)</f>
        <v>0</v>
      </c>
      <c r="BW12" s="22" t="str">
        <f t="shared" ref="BW12:BY12" si="78">IF(BV$5=0,"N.D.",BV12/BV$5)</f>
        <v>N.D.</v>
      </c>
      <c r="BX12" s="208">
        <f>SUM(BX9:BX11)</f>
        <v>0</v>
      </c>
      <c r="BY12" s="22" t="str">
        <f t="shared" si="78"/>
        <v>N.D.</v>
      </c>
      <c r="BZ12" s="208">
        <f>SUM(BZ9:BZ11)</f>
        <v>0</v>
      </c>
      <c r="CA12" s="22" t="str">
        <f t="shared" ref="CA12:CC12" si="79">IF(BZ$5=0,"N.D.",BZ12/BZ$5)</f>
        <v>N.D.</v>
      </c>
      <c r="CB12" s="208">
        <f>SUM(CB9:CB11)</f>
        <v>0</v>
      </c>
      <c r="CC12" s="22" t="str">
        <f t="shared" si="79"/>
        <v>N.D.</v>
      </c>
      <c r="CD12" s="208">
        <f>SUM(CD9:CD11)</f>
        <v>0</v>
      </c>
      <c r="CE12" s="22" t="str">
        <f t="shared" ref="CE12:CG12" si="80">IF(CD$5=0,"N.D.",CD12/CD$5)</f>
        <v>N.D.</v>
      </c>
      <c r="CF12" s="14">
        <f>SUM(CF9:CF11)</f>
        <v>0</v>
      </c>
      <c r="CG12" s="22" t="str">
        <f t="shared" si="80"/>
        <v>N.D.</v>
      </c>
    </row>
    <row r="13" spans="1:85" x14ac:dyDescent="0.35">
      <c r="B13" s="4" t="s">
        <v>12</v>
      </c>
      <c r="C13" s="215">
        <f>C7-C12</f>
        <v>0</v>
      </c>
      <c r="D13" s="22" t="str">
        <f t="shared" si="28"/>
        <v>N.D.</v>
      </c>
      <c r="E13" s="31">
        <f>E7-E12</f>
        <v>0</v>
      </c>
      <c r="F13" s="22" t="str">
        <f t="shared" si="28"/>
        <v>N.D.</v>
      </c>
      <c r="G13" s="14">
        <f>G7-G12</f>
        <v>0</v>
      </c>
      <c r="H13" s="22" t="str">
        <f t="shared" ref="H13" si="81">IF(G$5=0,"N.D.",G13/G$5)</f>
        <v>N.D.</v>
      </c>
      <c r="I13" s="31">
        <f>I7-I12</f>
        <v>0</v>
      </c>
      <c r="J13" s="22" t="str">
        <f t="shared" ref="J13:L13" si="82">IF(I$5=0,"N.D.",I13/I$5)</f>
        <v>N.D.</v>
      </c>
      <c r="K13" s="14">
        <f>K7-K12</f>
        <v>0</v>
      </c>
      <c r="L13" s="22" t="str">
        <f t="shared" si="82"/>
        <v>N.D.</v>
      </c>
      <c r="N13" s="4" t="s">
        <v>12</v>
      </c>
      <c r="O13" s="212">
        <f>O7-O12</f>
        <v>0</v>
      </c>
      <c r="P13" s="22" t="str">
        <f t="shared" ref="P13:R13" si="83">IF(O$5=0,"N.D.",O13/O$5)</f>
        <v>N.D.</v>
      </c>
      <c r="Q13" s="200">
        <f>Q7-Q12</f>
        <v>0</v>
      </c>
      <c r="R13" s="22" t="str">
        <f t="shared" si="83"/>
        <v>N.D.</v>
      </c>
      <c r="S13" s="209">
        <f>S7-S12</f>
        <v>0</v>
      </c>
      <c r="T13" s="22" t="str">
        <f t="shared" ref="T13:V13" si="84">IF(S$5=0,"N.D.",S13/S$5)</f>
        <v>N.D.</v>
      </c>
      <c r="U13" s="200">
        <f>U7-U12</f>
        <v>0</v>
      </c>
      <c r="V13" s="22" t="str">
        <f t="shared" si="84"/>
        <v>N.D.</v>
      </c>
      <c r="W13" s="209">
        <f>W7-W12</f>
        <v>0</v>
      </c>
      <c r="X13" s="22" t="str">
        <f t="shared" ref="X13:Z13" si="85">IF(W$5=0,"N.D.",W13/W$5)</f>
        <v>N.D.</v>
      </c>
      <c r="Y13" s="200">
        <f>Y7-Y12</f>
        <v>0</v>
      </c>
      <c r="Z13" s="22" t="str">
        <f t="shared" si="85"/>
        <v>N.D.</v>
      </c>
      <c r="AA13" s="210">
        <f>AA7-AA12</f>
        <v>0</v>
      </c>
      <c r="AB13" s="22" t="str">
        <f t="shared" ref="AB13" si="86">IF(AA$5=0,"N.D.",AA13/AA$5)</f>
        <v>N.D.</v>
      </c>
      <c r="AC13" s="276"/>
      <c r="AE13" s="4" t="s">
        <v>12</v>
      </c>
      <c r="AF13" s="20">
        <f>AF7-AF12</f>
        <v>0</v>
      </c>
      <c r="AG13" s="22" t="str">
        <f t="shared" ref="AG13:AI13" si="87">IF(AF$5=0,"N.D.",AF13/AF$5)</f>
        <v>N.D.</v>
      </c>
      <c r="AH13" s="20">
        <f>AH7-AH12</f>
        <v>0</v>
      </c>
      <c r="AI13" s="22" t="str">
        <f t="shared" si="87"/>
        <v>N.D.</v>
      </c>
      <c r="AJ13" s="20">
        <f>AJ7-AJ12</f>
        <v>0</v>
      </c>
      <c r="AK13" s="22" t="str">
        <f t="shared" ref="AK13:AM13" si="88">IF(AJ$5=0,"N.D.",AJ13/AJ$5)</f>
        <v>N.D.</v>
      </c>
      <c r="AL13" s="20">
        <f>AL7-AL12</f>
        <v>0</v>
      </c>
      <c r="AM13" s="22" t="str">
        <f t="shared" si="88"/>
        <v>N.D.</v>
      </c>
      <c r="AN13" s="20">
        <f>AN7-AN12</f>
        <v>0</v>
      </c>
      <c r="AO13" s="22" t="str">
        <f t="shared" ref="AO13:AQ13" si="89">IF(AN$5=0,"N.D.",AN13/AN$5)</f>
        <v>N.D.</v>
      </c>
      <c r="AP13" s="20">
        <f>AP7-AP12</f>
        <v>0</v>
      </c>
      <c r="AQ13" s="22" t="str">
        <f t="shared" si="89"/>
        <v>N.D.</v>
      </c>
      <c r="AR13" s="20">
        <f>AR7-AR12</f>
        <v>0</v>
      </c>
      <c r="AS13" s="22" t="str">
        <f t="shared" ref="AS13:AU13" si="90">IF(AR$5=0,"N.D.",AR13/AR$5)</f>
        <v>N.D.</v>
      </c>
      <c r="AT13" s="20">
        <f>AT7-AT12</f>
        <v>0</v>
      </c>
      <c r="AU13" s="22" t="str">
        <f t="shared" si="90"/>
        <v>N.D.</v>
      </c>
      <c r="AX13" s="4" t="s">
        <v>12</v>
      </c>
      <c r="AY13" s="14">
        <f>AY7-AY12</f>
        <v>0</v>
      </c>
      <c r="AZ13" s="22" t="str">
        <f>IF(AY$5=0,"N.D.",AY13/AY$5)</f>
        <v>N.D.</v>
      </c>
      <c r="BA13" s="14">
        <f>BA7-BA12</f>
        <v>0</v>
      </c>
      <c r="BB13" s="22" t="str">
        <f>IF(BA$5=0,"N.D.",BA13/BA$5)</f>
        <v>N.D.</v>
      </c>
      <c r="BC13" s="20">
        <f>BC7-BC12</f>
        <v>0</v>
      </c>
      <c r="BD13" s="22" t="str">
        <f>IF(BC$5=0,"N.D.",BC13/BC$5)</f>
        <v>N.D.</v>
      </c>
      <c r="BE13" s="221"/>
      <c r="BG13" s="4" t="s">
        <v>170</v>
      </c>
      <c r="BH13" s="14">
        <f>BH7-BH12</f>
        <v>0</v>
      </c>
      <c r="BI13" s="22" t="str">
        <f>IF(BH$5=0,"N.D.",BH13/BH$5)</f>
        <v>N.D.</v>
      </c>
      <c r="BJ13" s="14">
        <f>BJ7-BJ12</f>
        <v>0</v>
      </c>
      <c r="BK13" s="22" t="str">
        <f>IF(BJ$5=0,"N.D.",BJ13/BJ$5)</f>
        <v>N.D.</v>
      </c>
      <c r="BL13" s="14">
        <f>BL7-BL12</f>
        <v>0</v>
      </c>
      <c r="BM13" s="22" t="str">
        <f>IF(BL$5=0,"N.D.",BL13/BL$5)</f>
        <v>N.D.</v>
      </c>
      <c r="BN13" s="14">
        <f>BN7-BN12</f>
        <v>0</v>
      </c>
      <c r="BO13" s="22" t="str">
        <f>IF(BN$5=0,"N.D.",BN13/BN$5)</f>
        <v>N.D.</v>
      </c>
      <c r="BP13" s="20">
        <f>BP7-BP12</f>
        <v>0</v>
      </c>
      <c r="BQ13" s="22" t="str">
        <f>IF(BP$5=0,"N.D.",BP13/BP$5)</f>
        <v>N.D.</v>
      </c>
      <c r="BU13" s="4" t="s">
        <v>170</v>
      </c>
      <c r="BV13" s="14">
        <f>BV7-BV12</f>
        <v>0</v>
      </c>
      <c r="BW13" s="22" t="str">
        <f t="shared" ref="BW13:BY13" si="91">IF(BV$5=0,"N.D.",BV13/BV$5)</f>
        <v>N.D.</v>
      </c>
      <c r="BX13" s="14">
        <f>BX7-BX12</f>
        <v>0</v>
      </c>
      <c r="BY13" s="22" t="str">
        <f t="shared" si="91"/>
        <v>N.D.</v>
      </c>
      <c r="BZ13" s="14">
        <f>BZ7-BZ12</f>
        <v>0</v>
      </c>
      <c r="CA13" s="22" t="str">
        <f t="shared" ref="CA13:CC13" si="92">IF(BZ$5=0,"N.D.",BZ13/BZ$5)</f>
        <v>N.D.</v>
      </c>
      <c r="CB13" s="14">
        <f>CB7-CB12</f>
        <v>0</v>
      </c>
      <c r="CC13" s="22" t="str">
        <f t="shared" si="92"/>
        <v>N.D.</v>
      </c>
      <c r="CD13" s="14">
        <f>CD7-CD12</f>
        <v>0</v>
      </c>
      <c r="CE13" s="22" t="str">
        <f t="shared" ref="CE13:CG13" si="93">IF(CD$5=0,"N.D.",CD13/CD$5)</f>
        <v>N.D.</v>
      </c>
      <c r="CF13" s="20">
        <f>CF7-CF12</f>
        <v>0</v>
      </c>
      <c r="CG13" s="22" t="str">
        <f t="shared" si="93"/>
        <v>N.D.</v>
      </c>
    </row>
    <row r="14" spans="1:85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7"/>
      <c r="P14" s="30"/>
      <c r="Q14" s="217"/>
      <c r="R14" s="30"/>
      <c r="S14" s="217"/>
      <c r="T14" s="30"/>
      <c r="U14" s="217"/>
      <c r="V14" s="30"/>
      <c r="W14" s="217"/>
      <c r="X14" s="30"/>
      <c r="Y14" s="217"/>
      <c r="Z14" s="30"/>
      <c r="AA14" s="217"/>
      <c r="AB14" s="30"/>
      <c r="AC14" s="276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X14" s="1"/>
      <c r="AY14" s="30"/>
      <c r="AZ14" s="30"/>
      <c r="BA14" s="30"/>
      <c r="BB14" s="30"/>
      <c r="BC14" s="30"/>
      <c r="BD14" s="30"/>
      <c r="BE14" s="30"/>
      <c r="BG14" s="1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U14" s="1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</row>
    <row r="15" spans="1:85" x14ac:dyDescent="0.35">
      <c r="B15" s="7" t="s">
        <v>13</v>
      </c>
      <c r="C15" s="194">
        <f>BDER!$C166/1000+ajustes!B8</f>
        <v>0</v>
      </c>
      <c r="D15" s="220" t="str">
        <f t="shared" ref="D15:F26" si="94">IF(C$5=0,"N.D.",C15/C$5)</f>
        <v>N.D.</v>
      </c>
      <c r="E15" s="8">
        <f>BDER!$C144/1000+ajustes!C8</f>
        <v>0</v>
      </c>
      <c r="F15" s="220" t="str">
        <f t="shared" si="94"/>
        <v>N.D.</v>
      </c>
      <c r="G15" s="195">
        <f>BDER!$C210/1000+ajustes!D8</f>
        <v>0</v>
      </c>
      <c r="H15" s="220" t="str">
        <f t="shared" ref="H15" si="95">IF(G$5=0,"N.D.",G15/G$5)</f>
        <v>N.D.</v>
      </c>
      <c r="I15" s="8">
        <f>BDER!$C188/1000+ajustes!E8</f>
        <v>0</v>
      </c>
      <c r="J15" s="220" t="str">
        <f t="shared" ref="J15:L15" si="96">IF(I$5=0,"N.D.",I15/I$5)</f>
        <v>N.D.</v>
      </c>
      <c r="K15" s="204">
        <f t="shared" ref="K15:K19" si="97">SUM(C15,E15,G15,I15)</f>
        <v>0</v>
      </c>
      <c r="L15" s="220" t="str">
        <f t="shared" si="96"/>
        <v>N.D.</v>
      </c>
      <c r="N15" s="7" t="s">
        <v>13</v>
      </c>
      <c r="O15" s="198">
        <f>BDER!$C$12/1000+ajustes!F8</f>
        <v>0</v>
      </c>
      <c r="P15" s="220" t="str">
        <f t="shared" ref="P15:R15" si="98">IF(O$5=0,"N.D.",O15/O$5)</f>
        <v>N.D.</v>
      </c>
      <c r="Q15" s="11">
        <f>BDER!$C$34/1000+ajustes!G8</f>
        <v>0</v>
      </c>
      <c r="R15" s="220" t="str">
        <f t="shared" si="98"/>
        <v>N.D.</v>
      </c>
      <c r="S15" s="30">
        <f>BDER!$C$56/1000+ajustes!H8</f>
        <v>0</v>
      </c>
      <c r="T15" s="220" t="str">
        <f t="shared" ref="T15:V15" si="99">IF(S$5=0,"N.D.",S15/S$5)</f>
        <v>N.D.</v>
      </c>
      <c r="U15" s="11">
        <f>BDER!$C$78/1000+ajustes!I8</f>
        <v>0</v>
      </c>
      <c r="V15" s="220" t="str">
        <f t="shared" si="99"/>
        <v>N.D.</v>
      </c>
      <c r="W15" s="30">
        <f>BDER!$C$100/1000+ajustes!J8</f>
        <v>0</v>
      </c>
      <c r="X15" s="220" t="str">
        <f t="shared" ref="X15:Z15" si="100">IF(W$5=0,"N.D.",W15/W$5)</f>
        <v>N.D.</v>
      </c>
      <c r="Y15" s="11">
        <f>BDER!$C$122/1000+ajustes!K8</f>
        <v>0</v>
      </c>
      <c r="Z15" s="220" t="str">
        <f t="shared" si="100"/>
        <v>N.D.</v>
      </c>
      <c r="AA15" s="206">
        <f t="shared" ref="AA15:AA19" si="101">SUM(O15,Q15,S15,U15,W15,Y15)</f>
        <v>0</v>
      </c>
      <c r="AB15" s="220" t="str">
        <f t="shared" ref="AB15" si="102">IF(AA$5=0,"N.D.",AA15/AA$5)</f>
        <v>N.D.</v>
      </c>
      <c r="AC15" s="276"/>
      <c r="AE15" s="7" t="s">
        <v>13</v>
      </c>
      <c r="AF15" s="8">
        <f>BDER!$C298/1000+ajustes!L8</f>
        <v>0</v>
      </c>
      <c r="AG15" s="220" t="str">
        <f t="shared" ref="AG15:AI15" si="103">IF(AF$5=0,"N.D.",AF15/AF$5)</f>
        <v>N.D.</v>
      </c>
      <c r="AH15" s="8">
        <f>BDER!$C320/1000+ajustes!M8</f>
        <v>0</v>
      </c>
      <c r="AI15" s="220" t="str">
        <f t="shared" si="103"/>
        <v>N.D.</v>
      </c>
      <c r="AJ15" s="8">
        <f>BDER!$C364/1000+ajustes!N8</f>
        <v>0</v>
      </c>
      <c r="AK15" s="220" t="str">
        <f t="shared" ref="AK15:AM15" si="104">IF(AJ$5=0,"N.D.",AJ15/AJ$5)</f>
        <v>N.D.</v>
      </c>
      <c r="AL15" s="8">
        <f>BDER!$C342/2000+ajustes!O8</f>
        <v>0</v>
      </c>
      <c r="AM15" s="220" t="str">
        <f t="shared" si="104"/>
        <v>N.D.</v>
      </c>
      <c r="AN15" s="8">
        <f>ajustes!P8</f>
        <v>0</v>
      </c>
      <c r="AO15" s="220" t="str">
        <f t="shared" ref="AO15:AQ15" si="105">IF(AN$5=0,"N.D.",AN15/AN$5)</f>
        <v>N.D.</v>
      </c>
      <c r="AP15" s="8">
        <f>BDER!$C408/1000+ajustes!Q8</f>
        <v>0</v>
      </c>
      <c r="AQ15" s="220" t="str">
        <f t="shared" si="105"/>
        <v>N.D.</v>
      </c>
      <c r="AR15" s="8">
        <f>BDER!$C386/1000+ajustes!R8</f>
        <v>0</v>
      </c>
      <c r="AS15" s="220" t="str">
        <f t="shared" ref="AS15:AU15" si="106">IF(AR$5=0,"N.D.",AR15/AR$5)</f>
        <v>N.D.</v>
      </c>
      <c r="AT15" s="8">
        <f t="shared" ref="AT15:AT19" si="107">SUM(AF15,AH15,AJ15,AL15,AN15,AP15,AR15)</f>
        <v>0</v>
      </c>
      <c r="AU15" s="220" t="str">
        <f t="shared" si="106"/>
        <v>N.D.</v>
      </c>
      <c r="AX15" s="7" t="s">
        <v>13</v>
      </c>
      <c r="AY15" s="8">
        <f>BDER!$C452/1000+ajustes!S8</f>
        <v>0</v>
      </c>
      <c r="AZ15" s="220" t="str">
        <f t="shared" ref="AZ15:AZ21" si="108">IF(AY$5=0,"N.D.",AY15/AY$5)</f>
        <v>N.D.</v>
      </c>
      <c r="BA15" s="204">
        <f>BDER!$C430/1000+ajustes!T8</f>
        <v>0</v>
      </c>
      <c r="BB15" s="220" t="str">
        <f t="shared" ref="BB15:BB21" si="109">IF(BA$5=0,"N.D.",BA15/BA$5)</f>
        <v>N.D.</v>
      </c>
      <c r="BC15" s="204">
        <f t="shared" ref="BC15:BC19" si="110">SUM(AY15,BA15)</f>
        <v>0</v>
      </c>
      <c r="BD15" s="220" t="str">
        <f t="shared" ref="BD15:BD21" si="111">IF(BC$5=0,"N.D.",BC15/BC$5)</f>
        <v>N.D.</v>
      </c>
      <c r="BE15" s="187"/>
      <c r="BG15" s="7" t="s">
        <v>171</v>
      </c>
      <c r="BH15" s="194">
        <f>BDER!$C476/1000+ajustes!V9</f>
        <v>0</v>
      </c>
      <c r="BI15" s="220" t="str">
        <f>IF(BH$5=0,"N.D.",BH15/BH$5)</f>
        <v>N.D.</v>
      </c>
      <c r="BJ15" s="8">
        <f>BDER!$C499/1000+ajustes!W9</f>
        <v>0</v>
      </c>
      <c r="BK15" s="220" t="str">
        <f>IF(BJ$5=0,"N.D.",BJ15/BJ$5)</f>
        <v>N.D.</v>
      </c>
      <c r="BL15" s="195">
        <f>BDER!$C566/1000+ajustes!X9</f>
        <v>0</v>
      </c>
      <c r="BM15" s="220" t="str">
        <f>IF(BL$5=0,"N.D.",BL15/BL$5)</f>
        <v>N.D.</v>
      </c>
      <c r="BN15" s="8">
        <f>BDER!$C611/1000+ajustes!Y9</f>
        <v>0</v>
      </c>
      <c r="BO15" s="220" t="str">
        <f>IF(BN$5=0,"N.D.",BN15/BN$5)</f>
        <v>N.D.</v>
      </c>
      <c r="BP15" s="204">
        <f>SUM(BH15,BJ15,BL15,BN15)</f>
        <v>0</v>
      </c>
      <c r="BQ15" s="220" t="str">
        <f>IF(BP$5=0,"N.D.",BP15/BP$5)</f>
        <v>N.D.</v>
      </c>
      <c r="BU15" s="7" t="s">
        <v>171</v>
      </c>
      <c r="BV15" s="194">
        <f>BDER!$C521/1000+ajustes!Z9</f>
        <v>0</v>
      </c>
      <c r="BW15" s="220" t="str">
        <f t="shared" ref="BW15:BY15" si="112">IF(BV$5=0,"N.D.",BV15/BV$5)</f>
        <v>N.D.</v>
      </c>
      <c r="BX15" s="8">
        <f>BDER!$C588/1000+ajustes!AA9</f>
        <v>0</v>
      </c>
      <c r="BY15" s="220" t="str">
        <f t="shared" si="112"/>
        <v>N.D.</v>
      </c>
      <c r="BZ15" s="195">
        <f>BDER!$C633/1000+ajustes!AB9</f>
        <v>0</v>
      </c>
      <c r="CA15" s="220" t="str">
        <f t="shared" ref="CA15:CC15" si="113">IF(BZ$5=0,"N.D.",BZ15/BZ$5)</f>
        <v>N.D.</v>
      </c>
      <c r="CB15" s="8">
        <f>BDER!$C543/1000+ajustes!AC9</f>
        <v>0</v>
      </c>
      <c r="CC15" s="220" t="str">
        <f t="shared" si="113"/>
        <v>N.D.</v>
      </c>
      <c r="CD15" s="204">
        <f>BDER!$C655/1000+ajustes!AD9</f>
        <v>0</v>
      </c>
      <c r="CE15" s="220" t="str">
        <f t="shared" ref="CE15:CG15" si="114">IF(CD$5=0,"N.D.",CD15/CD$5)</f>
        <v>N.D.</v>
      </c>
      <c r="CF15" s="204">
        <f>SUM(BV15,BX15,BZ15,CB15,CD15)</f>
        <v>0</v>
      </c>
      <c r="CG15" s="220" t="str">
        <f t="shared" si="114"/>
        <v>N.D.</v>
      </c>
    </row>
    <row r="16" spans="1:85" x14ac:dyDescent="0.35">
      <c r="B16" s="7" t="s">
        <v>14</v>
      </c>
      <c r="C16" s="198">
        <f>BDER!$C167/1000+ajustes!B9</f>
        <v>0</v>
      </c>
      <c r="D16" s="219" t="str">
        <f t="shared" si="94"/>
        <v>N.D.</v>
      </c>
      <c r="E16" s="11">
        <f>BDER!$C145/1000+ajustes!C9</f>
        <v>0</v>
      </c>
      <c r="F16" s="219" t="str">
        <f t="shared" si="94"/>
        <v>N.D.</v>
      </c>
      <c r="G16" s="30">
        <f>BDER!$C211/1000+ajustes!D9</f>
        <v>0</v>
      </c>
      <c r="H16" s="219" t="str">
        <f t="shared" ref="H16" si="115">IF(G$5=0,"N.D.",G16/G$5)</f>
        <v>N.D.</v>
      </c>
      <c r="I16" s="11">
        <f>BDER!$C189/1000+ajustes!E9</f>
        <v>0</v>
      </c>
      <c r="J16" s="219" t="str">
        <f t="shared" ref="J16:L16" si="116">IF(I$5=0,"N.D.",I16/I$5)</f>
        <v>N.D.</v>
      </c>
      <c r="K16" s="206">
        <f t="shared" si="97"/>
        <v>0</v>
      </c>
      <c r="L16" s="219" t="str">
        <f t="shared" si="116"/>
        <v>N.D.</v>
      </c>
      <c r="N16" s="7" t="s">
        <v>14</v>
      </c>
      <c r="O16" s="198">
        <f>BDER!$C$13/1000+ajustes!F9</f>
        <v>0</v>
      </c>
      <c r="P16" s="219" t="str">
        <f t="shared" ref="P16:R16" si="117">IF(O$5=0,"N.D.",O16/O$5)</f>
        <v>N.D.</v>
      </c>
      <c r="Q16" s="11">
        <f>BDER!$C$35/1000+ajustes!G9</f>
        <v>0</v>
      </c>
      <c r="R16" s="219" t="str">
        <f t="shared" si="117"/>
        <v>N.D.</v>
      </c>
      <c r="S16" s="30">
        <f>BDER!$C$57/1000+ajustes!H9</f>
        <v>0</v>
      </c>
      <c r="T16" s="219" t="str">
        <f t="shared" ref="T16:V16" si="118">IF(S$5=0,"N.D.",S16/S$5)</f>
        <v>N.D.</v>
      </c>
      <c r="U16" s="11">
        <f>BDER!$C$79/1000+ajustes!I9</f>
        <v>0</v>
      </c>
      <c r="V16" s="219" t="str">
        <f t="shared" si="118"/>
        <v>N.D.</v>
      </c>
      <c r="W16" s="30">
        <f>BDER!$C$101/1000+ajustes!J9</f>
        <v>0</v>
      </c>
      <c r="X16" s="219" t="str">
        <f t="shared" ref="X16:Z16" si="119">IF(W$5=0,"N.D.",W16/W$5)</f>
        <v>N.D.</v>
      </c>
      <c r="Y16" s="11">
        <f>BDER!$C$123/1000+ajustes!K9</f>
        <v>0</v>
      </c>
      <c r="Z16" s="219" t="str">
        <f t="shared" si="119"/>
        <v>N.D.</v>
      </c>
      <c r="AA16" s="206">
        <f t="shared" si="101"/>
        <v>0</v>
      </c>
      <c r="AB16" s="219" t="str">
        <f t="shared" ref="AB16" si="120">IF(AA$5=0,"N.D.",AA16/AA$5)</f>
        <v>N.D.</v>
      </c>
      <c r="AC16" s="276"/>
      <c r="AE16" s="7" t="s">
        <v>14</v>
      </c>
      <c r="AF16" s="11">
        <f>BDER!$C299/1000+ajustes!L9</f>
        <v>0</v>
      </c>
      <c r="AG16" s="219" t="str">
        <f t="shared" ref="AG16:AI16" si="121">IF(AF$5=0,"N.D.",AF16/AF$5)</f>
        <v>N.D.</v>
      </c>
      <c r="AH16" s="11">
        <f>BDER!$C321/1000+ajustes!M9</f>
        <v>0</v>
      </c>
      <c r="AI16" s="219" t="str">
        <f t="shared" si="121"/>
        <v>N.D.</v>
      </c>
      <c r="AJ16" s="11">
        <f>BDER!$C365/1000+ajustes!N9</f>
        <v>0</v>
      </c>
      <c r="AK16" s="219" t="str">
        <f t="shared" ref="AK16:AM16" si="122">IF(AJ$5=0,"N.D.",AJ16/AJ$5)</f>
        <v>N.D.</v>
      </c>
      <c r="AL16" s="11">
        <f>BDER!$C343/2000+ajustes!O9</f>
        <v>0</v>
      </c>
      <c r="AM16" s="219" t="str">
        <f t="shared" si="122"/>
        <v>N.D.</v>
      </c>
      <c r="AN16" s="11">
        <f>ajustes!P9</f>
        <v>0</v>
      </c>
      <c r="AO16" s="219" t="str">
        <f t="shared" ref="AO16:AQ16" si="123">IF(AN$5=0,"N.D.",AN16/AN$5)</f>
        <v>N.D.</v>
      </c>
      <c r="AP16" s="11">
        <f>BDER!$C409/1000+ajustes!Q9</f>
        <v>0</v>
      </c>
      <c r="AQ16" s="219" t="str">
        <f t="shared" si="123"/>
        <v>N.D.</v>
      </c>
      <c r="AR16" s="11">
        <f>BDER!$C387/1000+ajustes!R9</f>
        <v>0</v>
      </c>
      <c r="AS16" s="219" t="str">
        <f t="shared" ref="AS16:AU16" si="124">IF(AR$5=0,"N.D.",AR16/AR$5)</f>
        <v>N.D.</v>
      </c>
      <c r="AT16" s="11">
        <f t="shared" si="107"/>
        <v>0</v>
      </c>
      <c r="AU16" s="219" t="str">
        <f t="shared" si="124"/>
        <v>N.D.</v>
      </c>
      <c r="AX16" s="7" t="s">
        <v>14</v>
      </c>
      <c r="AY16" s="11">
        <f>BDER!$C453/1000+ajustes!S9</f>
        <v>0</v>
      </c>
      <c r="AZ16" s="219" t="str">
        <f t="shared" si="108"/>
        <v>N.D.</v>
      </c>
      <c r="BA16" s="206">
        <f>BDER!$C431/1000+ajustes!T9</f>
        <v>0</v>
      </c>
      <c r="BB16" s="219" t="str">
        <f t="shared" si="109"/>
        <v>N.D.</v>
      </c>
      <c r="BC16" s="206">
        <f t="shared" si="110"/>
        <v>0</v>
      </c>
      <c r="BD16" s="219" t="str">
        <f t="shared" si="111"/>
        <v>N.D.</v>
      </c>
      <c r="BE16" s="187"/>
      <c r="BG16" s="7" t="s">
        <v>172</v>
      </c>
      <c r="BH16" s="198">
        <f>BDER!$C477/1000+ajustes!V10</f>
        <v>0</v>
      </c>
      <c r="BI16" s="219" t="str">
        <f>IF(BH$5=0,"N.D.",BH16/BH$5)</f>
        <v>N.D.</v>
      </c>
      <c r="BJ16" s="11">
        <f>BDER!$C500/1000+ajustes!W10</f>
        <v>0</v>
      </c>
      <c r="BK16" s="219" t="str">
        <f>IF(BJ$5=0,"N.D.",BJ16/BJ$5)</f>
        <v>N.D.</v>
      </c>
      <c r="BL16" s="30">
        <f>BDER!$C567/1000+ajustes!X10</f>
        <v>0</v>
      </c>
      <c r="BM16" s="219" t="str">
        <f>IF(BL$5=0,"N.D.",BL16/BL$5)</f>
        <v>N.D.</v>
      </c>
      <c r="BN16" s="11">
        <f>BDER!$C612/1000+ajustes!Y10</f>
        <v>0</v>
      </c>
      <c r="BO16" s="219" t="str">
        <f>IF(BN$5=0,"N.D.",BN16/BN$5)</f>
        <v>N.D.</v>
      </c>
      <c r="BP16" s="206">
        <f>SUM(BH16,BJ16,BL16,BN16)</f>
        <v>0</v>
      </c>
      <c r="BQ16" s="219" t="str">
        <f>IF(BP$5=0,"N.D.",BP16/BP$5)</f>
        <v>N.D.</v>
      </c>
      <c r="BU16" s="7" t="s">
        <v>172</v>
      </c>
      <c r="BV16" s="198">
        <f>BDER!$C522/1000+ajustes!Z10</f>
        <v>0</v>
      </c>
      <c r="BW16" s="219" t="str">
        <f t="shared" ref="BW16:BY16" si="125">IF(BV$5=0,"N.D.",BV16/BV$5)</f>
        <v>N.D.</v>
      </c>
      <c r="BX16" s="11">
        <f>BDER!$C589/1000+ajustes!AA10</f>
        <v>0</v>
      </c>
      <c r="BY16" s="219" t="str">
        <f t="shared" si="125"/>
        <v>N.D.</v>
      </c>
      <c r="BZ16" s="30">
        <f>BDER!$C634/1000+ajustes!AB10</f>
        <v>0</v>
      </c>
      <c r="CA16" s="219" t="str">
        <f t="shared" ref="CA16:CC16" si="126">IF(BZ$5=0,"N.D.",BZ16/BZ$5)</f>
        <v>N.D.</v>
      </c>
      <c r="CB16" s="11">
        <f>BDER!$C544/1000+ajustes!AC10</f>
        <v>0</v>
      </c>
      <c r="CC16" s="219" t="str">
        <f t="shared" si="126"/>
        <v>N.D.</v>
      </c>
      <c r="CD16" s="206">
        <f>BDER!$C656/1000+ajustes!AD10</f>
        <v>0</v>
      </c>
      <c r="CE16" s="219" t="str">
        <f t="shared" ref="CE16:CG16" si="127">IF(CD$5=0,"N.D.",CD16/CD$5)</f>
        <v>N.D.</v>
      </c>
      <c r="CF16" s="206">
        <f>SUM(BV16,BX16,BZ16,CB16,CD16)</f>
        <v>0</v>
      </c>
      <c r="CG16" s="219" t="str">
        <f t="shared" si="127"/>
        <v>N.D.</v>
      </c>
    </row>
    <row r="17" spans="1:85" x14ac:dyDescent="0.35">
      <c r="B17" s="7" t="s">
        <v>15</v>
      </c>
      <c r="C17" s="198">
        <f>BDER!$C168/1000+ajustes!B10</f>
        <v>0</v>
      </c>
      <c r="D17" s="219" t="str">
        <f t="shared" si="94"/>
        <v>N.D.</v>
      </c>
      <c r="E17" s="11">
        <f>BDER!$C146/1000+ajustes!C10</f>
        <v>0</v>
      </c>
      <c r="F17" s="219" t="str">
        <f t="shared" si="94"/>
        <v>N.D.</v>
      </c>
      <c r="G17" s="30">
        <f>BDER!$C212/1000+ajustes!D10</f>
        <v>0</v>
      </c>
      <c r="H17" s="219" t="str">
        <f t="shared" ref="H17" si="128">IF(G$5=0,"N.D.",G17/G$5)</f>
        <v>N.D.</v>
      </c>
      <c r="I17" s="11">
        <f>BDER!$C190/1000+ajustes!E10</f>
        <v>0</v>
      </c>
      <c r="J17" s="219" t="str">
        <f t="shared" ref="J17:L17" si="129">IF(I$5=0,"N.D.",I17/I$5)</f>
        <v>N.D.</v>
      </c>
      <c r="K17" s="206">
        <f t="shared" si="97"/>
        <v>0</v>
      </c>
      <c r="L17" s="219" t="str">
        <f t="shared" si="129"/>
        <v>N.D.</v>
      </c>
      <c r="N17" s="7" t="s">
        <v>15</v>
      </c>
      <c r="O17" s="198">
        <f>BDER!$C$14/1000+ajustes!F10</f>
        <v>0</v>
      </c>
      <c r="P17" s="219" t="str">
        <f t="shared" ref="P17:R17" si="130">IF(O$5=0,"N.D.",O17/O$5)</f>
        <v>N.D.</v>
      </c>
      <c r="Q17" s="11">
        <f>BDER!$C$36/1000+ajustes!G10</f>
        <v>0</v>
      </c>
      <c r="R17" s="219" t="str">
        <f t="shared" si="130"/>
        <v>N.D.</v>
      </c>
      <c r="S17" s="30">
        <f>BDER!$C$58/1000+ajustes!H10</f>
        <v>0</v>
      </c>
      <c r="T17" s="219" t="str">
        <f t="shared" ref="T17:V17" si="131">IF(S$5=0,"N.D.",S17/S$5)</f>
        <v>N.D.</v>
      </c>
      <c r="U17" s="11">
        <f>BDER!$C$80/1000+ajustes!I10</f>
        <v>0</v>
      </c>
      <c r="V17" s="219" t="str">
        <f t="shared" si="131"/>
        <v>N.D.</v>
      </c>
      <c r="W17" s="30">
        <f>BDER!$C$102/1000+ajustes!J10</f>
        <v>0</v>
      </c>
      <c r="X17" s="219" t="str">
        <f t="shared" ref="X17:Z17" si="132">IF(W$5=0,"N.D.",W17/W$5)</f>
        <v>N.D.</v>
      </c>
      <c r="Y17" s="11">
        <f>BDER!$C$124/1000+ajustes!K10</f>
        <v>0</v>
      </c>
      <c r="Z17" s="219" t="str">
        <f t="shared" si="132"/>
        <v>N.D.</v>
      </c>
      <c r="AA17" s="206">
        <f t="shared" si="101"/>
        <v>0</v>
      </c>
      <c r="AB17" s="219" t="str">
        <f t="shared" ref="AB17" si="133">IF(AA$5=0,"N.D.",AA17/AA$5)</f>
        <v>N.D.</v>
      </c>
      <c r="AC17" s="276"/>
      <c r="AE17" s="7" t="s">
        <v>15</v>
      </c>
      <c r="AF17" s="11">
        <f>BDER!$C300/1000+ajustes!L10</f>
        <v>0</v>
      </c>
      <c r="AG17" s="219" t="str">
        <f t="shared" ref="AG17:AI17" si="134">IF(AF$5=0,"N.D.",AF17/AF$5)</f>
        <v>N.D.</v>
      </c>
      <c r="AH17" s="11">
        <f>BDER!$C322/1000+ajustes!M10</f>
        <v>0</v>
      </c>
      <c r="AI17" s="219" t="str">
        <f t="shared" si="134"/>
        <v>N.D.</v>
      </c>
      <c r="AJ17" s="11">
        <f>BDER!$C366/1000+ajustes!N10</f>
        <v>0</v>
      </c>
      <c r="AK17" s="219" t="str">
        <f t="shared" ref="AK17:AM17" si="135">IF(AJ$5=0,"N.D.",AJ17/AJ$5)</f>
        <v>N.D.</v>
      </c>
      <c r="AL17" s="11">
        <f>BDER!$C344/2000+ajustes!O10</f>
        <v>0</v>
      </c>
      <c r="AM17" s="219" t="str">
        <f t="shared" si="135"/>
        <v>N.D.</v>
      </c>
      <c r="AN17" s="11">
        <f>ajustes!P10</f>
        <v>0</v>
      </c>
      <c r="AO17" s="219" t="str">
        <f t="shared" ref="AO17:AQ17" si="136">IF(AN$5=0,"N.D.",AN17/AN$5)</f>
        <v>N.D.</v>
      </c>
      <c r="AP17" s="11">
        <f>BDER!$C410/1000+ajustes!Q10</f>
        <v>0</v>
      </c>
      <c r="AQ17" s="219" t="str">
        <f t="shared" si="136"/>
        <v>N.D.</v>
      </c>
      <c r="AR17" s="11">
        <f>BDER!$C388/1000+ajustes!R10</f>
        <v>0</v>
      </c>
      <c r="AS17" s="219" t="str">
        <f t="shared" ref="AS17:AU17" si="137">IF(AR$5=0,"N.D.",AR17/AR$5)</f>
        <v>N.D.</v>
      </c>
      <c r="AT17" s="11">
        <f t="shared" si="107"/>
        <v>0</v>
      </c>
      <c r="AU17" s="219" t="str">
        <f t="shared" si="137"/>
        <v>N.D.</v>
      </c>
      <c r="AX17" s="7" t="s">
        <v>15</v>
      </c>
      <c r="AY17" s="11">
        <f>BDER!$C454/1000+ajustes!S10</f>
        <v>0</v>
      </c>
      <c r="AZ17" s="219" t="str">
        <f t="shared" si="108"/>
        <v>N.D.</v>
      </c>
      <c r="BA17" s="206">
        <f>BDER!$C432/1000+ajustes!T10</f>
        <v>0</v>
      </c>
      <c r="BB17" s="219" t="str">
        <f t="shared" si="109"/>
        <v>N.D.</v>
      </c>
      <c r="BC17" s="206">
        <f t="shared" si="110"/>
        <v>0</v>
      </c>
      <c r="BD17" s="219" t="str">
        <f t="shared" si="111"/>
        <v>N.D.</v>
      </c>
      <c r="BE17" s="187"/>
      <c r="BG17" s="7" t="s">
        <v>173</v>
      </c>
      <c r="BH17" s="196">
        <f>BDER!$C478/1000+ajustes!V11</f>
        <v>0</v>
      </c>
      <c r="BI17" s="219" t="str">
        <f>IF(BH$5=0,"N.D.",BH17/BH$5)</f>
        <v>N.D.</v>
      </c>
      <c r="BJ17" s="34">
        <f>BDER!$C501/1000+ajustes!W11</f>
        <v>0</v>
      </c>
      <c r="BK17" s="219" t="str">
        <f>IF(BJ$5=0,"N.D.",BJ17/BJ$5)</f>
        <v>N.D.</v>
      </c>
      <c r="BL17" s="197">
        <f>BDER!$C568/1000+ajustes!X11</f>
        <v>0</v>
      </c>
      <c r="BM17" s="219" t="str">
        <f>IF(BL$5=0,"N.D.",BL17/BL$5)</f>
        <v>N.D.</v>
      </c>
      <c r="BN17" s="34">
        <f>BDER!$C613/1000+ajustes!Y11</f>
        <v>0</v>
      </c>
      <c r="BO17" s="219" t="str">
        <f>IF(BN$5=0,"N.D.",BN17/BN$5)</f>
        <v>N.D.</v>
      </c>
      <c r="BP17" s="206">
        <f>SUM(BH17,BJ17,BL17,BN17)</f>
        <v>0</v>
      </c>
      <c r="BQ17" s="219" t="str">
        <f>IF(BP$5=0,"N.D.",BP17/BP$5)</f>
        <v>N.D.</v>
      </c>
      <c r="BU17" s="7" t="s">
        <v>173</v>
      </c>
      <c r="BV17" s="196">
        <f>BDER!$C523/1000+ajustes!Z11</f>
        <v>0</v>
      </c>
      <c r="BW17" s="219" t="str">
        <f t="shared" ref="BW17:BY17" si="138">IF(BV$5=0,"N.D.",BV17/BV$5)</f>
        <v>N.D.</v>
      </c>
      <c r="BX17" s="34">
        <f>BDER!$C590/1000+ajustes!AA11</f>
        <v>0</v>
      </c>
      <c r="BY17" s="219" t="str">
        <f t="shared" si="138"/>
        <v>N.D.</v>
      </c>
      <c r="BZ17" s="197">
        <f>BDER!$C635/1000+ajustes!AB11</f>
        <v>0</v>
      </c>
      <c r="CA17" s="219" t="str">
        <f t="shared" ref="CA17:CC17" si="139">IF(BZ$5=0,"N.D.",BZ17/BZ$5)</f>
        <v>N.D.</v>
      </c>
      <c r="CB17" s="34">
        <f>BDER!$C545/1000+ajustes!AC11</f>
        <v>0</v>
      </c>
      <c r="CC17" s="219" t="str">
        <f t="shared" si="139"/>
        <v>N.D.</v>
      </c>
      <c r="CD17" s="207">
        <f>BDER!$C657/1000+ajustes!AD11</f>
        <v>0</v>
      </c>
      <c r="CE17" s="219" t="str">
        <f t="shared" ref="CE17:CG17" si="140">IF(CD$5=0,"N.D.",CD17/CD$5)</f>
        <v>N.D.</v>
      </c>
      <c r="CF17" s="206">
        <f>SUM(BV17,BX17,BZ17,CB17,CD17)</f>
        <v>0</v>
      </c>
      <c r="CG17" s="219" t="str">
        <f t="shared" si="140"/>
        <v>N.D.</v>
      </c>
    </row>
    <row r="18" spans="1:85" x14ac:dyDescent="0.35">
      <c r="B18" s="7" t="s">
        <v>16</v>
      </c>
      <c r="C18" s="198">
        <f>BDER!$C169/1000-BDER!$C169/1000+ajustes!B11</f>
        <v>0</v>
      </c>
      <c r="D18" s="219" t="str">
        <f t="shared" si="94"/>
        <v>N.D.</v>
      </c>
      <c r="E18" s="11">
        <f>BDER!$C147/1000+ajustes!C11</f>
        <v>0</v>
      </c>
      <c r="F18" s="219" t="str">
        <f t="shared" si="94"/>
        <v>N.D.</v>
      </c>
      <c r="G18" s="30">
        <f>BDER!$C213/1000+ajustes!D11</f>
        <v>0</v>
      </c>
      <c r="H18" s="219" t="str">
        <f t="shared" ref="H18" si="141">IF(G$5=0,"N.D.",G18/G$5)</f>
        <v>N.D.</v>
      </c>
      <c r="I18" s="11">
        <f>BDER!$C191/1000+ajustes!E11</f>
        <v>0</v>
      </c>
      <c r="J18" s="219" t="str">
        <f t="shared" ref="J18:L18" si="142">IF(I$5=0,"N.D.",I18/I$5)</f>
        <v>N.D.</v>
      </c>
      <c r="K18" s="206">
        <f t="shared" si="97"/>
        <v>0</v>
      </c>
      <c r="L18" s="219" t="str">
        <f t="shared" si="142"/>
        <v>N.D.</v>
      </c>
      <c r="N18" s="7" t="s">
        <v>16</v>
      </c>
      <c r="O18" s="198">
        <f>BDER!$C$15/1000+ajustes!F11</f>
        <v>0</v>
      </c>
      <c r="P18" s="219" t="str">
        <f t="shared" ref="P18:R18" si="143">IF(O$5=0,"N.D.",O18/O$5)</f>
        <v>N.D.</v>
      </c>
      <c r="Q18" s="11">
        <f>BDER!$C$37/1000+ajustes!G11</f>
        <v>0</v>
      </c>
      <c r="R18" s="219" t="str">
        <f t="shared" si="143"/>
        <v>N.D.</v>
      </c>
      <c r="S18" s="30">
        <f>BDER!$C$59/1000+ajustes!H11</f>
        <v>0</v>
      </c>
      <c r="T18" s="219" t="str">
        <f t="shared" ref="T18:V18" si="144">IF(S$5=0,"N.D.",S18/S$5)</f>
        <v>N.D.</v>
      </c>
      <c r="U18" s="11">
        <f>BDER!$C$81/1000+ajustes!I11</f>
        <v>0</v>
      </c>
      <c r="V18" s="219" t="str">
        <f t="shared" si="144"/>
        <v>N.D.</v>
      </c>
      <c r="W18" s="30">
        <f>BDER!$C$103/1000+ajustes!J11</f>
        <v>0</v>
      </c>
      <c r="X18" s="219" t="str">
        <f t="shared" ref="X18:Z18" si="145">IF(W$5=0,"N.D.",W18/W$5)</f>
        <v>N.D.</v>
      </c>
      <c r="Y18" s="11">
        <f>BDER!$C$125/1000+ajustes!K11</f>
        <v>0</v>
      </c>
      <c r="Z18" s="219" t="str">
        <f t="shared" si="145"/>
        <v>N.D.</v>
      </c>
      <c r="AA18" s="206">
        <f t="shared" si="101"/>
        <v>0</v>
      </c>
      <c r="AB18" s="219" t="str">
        <f t="shared" ref="AB18" si="146">IF(AA$5=0,"N.D.",AA18/AA$5)</f>
        <v>N.D.</v>
      </c>
      <c r="AC18" s="276"/>
      <c r="AE18" s="7" t="s">
        <v>16</v>
      </c>
      <c r="AF18" s="11">
        <f>BDER!$C301/1000+ajustes!L11</f>
        <v>0</v>
      </c>
      <c r="AG18" s="219" t="str">
        <f t="shared" ref="AG18:AI18" si="147">IF(AF$5=0,"N.D.",AF18/AF$5)</f>
        <v>N.D.</v>
      </c>
      <c r="AH18" s="11">
        <f>BDER!$C323/1000+ajustes!M11</f>
        <v>0</v>
      </c>
      <c r="AI18" s="219" t="str">
        <f t="shared" si="147"/>
        <v>N.D.</v>
      </c>
      <c r="AJ18" s="11">
        <f>BDER!$C367/1000+ajustes!N11</f>
        <v>0</v>
      </c>
      <c r="AK18" s="219" t="str">
        <f t="shared" ref="AK18:AM18" si="148">IF(AJ$5=0,"N.D.",AJ18/AJ$5)</f>
        <v>N.D.</v>
      </c>
      <c r="AL18" s="11">
        <f>BDER!$C345/2000+ajustes!O11</f>
        <v>0</v>
      </c>
      <c r="AM18" s="219" t="str">
        <f t="shared" si="148"/>
        <v>N.D.</v>
      </c>
      <c r="AN18" s="11">
        <f>ajustes!P11</f>
        <v>0</v>
      </c>
      <c r="AO18" s="219" t="str">
        <f t="shared" ref="AO18:AQ18" si="149">IF(AN$5=0,"N.D.",AN18/AN$5)</f>
        <v>N.D.</v>
      </c>
      <c r="AP18" s="11">
        <f>BDER!$C411/1000+ajustes!Q11</f>
        <v>0</v>
      </c>
      <c r="AQ18" s="219" t="str">
        <f t="shared" si="149"/>
        <v>N.D.</v>
      </c>
      <c r="AR18" s="11">
        <f>BDER!$C389/1000+ajustes!R11</f>
        <v>0</v>
      </c>
      <c r="AS18" s="219" t="str">
        <f t="shared" ref="AS18:AU18" si="150">IF(AR$5=0,"N.D.",AR18/AR$5)</f>
        <v>N.D.</v>
      </c>
      <c r="AT18" s="11">
        <f t="shared" si="107"/>
        <v>0</v>
      </c>
      <c r="AU18" s="219" t="str">
        <f t="shared" si="150"/>
        <v>N.D.</v>
      </c>
      <c r="AX18" s="7" t="s">
        <v>16</v>
      </c>
      <c r="AY18" s="11">
        <f>BDER!$C455/1000+ajustes!S11</f>
        <v>0</v>
      </c>
      <c r="AZ18" s="219" t="str">
        <f t="shared" si="108"/>
        <v>N.D.</v>
      </c>
      <c r="BA18" s="206">
        <f>BDER!$C433/1000+ajustes!T11</f>
        <v>0</v>
      </c>
      <c r="BB18" s="219" t="str">
        <f t="shared" si="109"/>
        <v>N.D.</v>
      </c>
      <c r="BC18" s="206">
        <f t="shared" si="110"/>
        <v>0</v>
      </c>
      <c r="BD18" s="219" t="str">
        <f t="shared" si="111"/>
        <v>N.D.</v>
      </c>
      <c r="BE18" s="187"/>
      <c r="BG18" s="7" t="s">
        <v>174</v>
      </c>
      <c r="BH18" s="208">
        <f>BH15+BH16</f>
        <v>0</v>
      </c>
      <c r="BI18" s="22" t="str">
        <f>IF(BH$5=0,"N.D.",BH18/BH$5)</f>
        <v>N.D.</v>
      </c>
      <c r="BJ18" s="208">
        <f>BJ15+BJ16</f>
        <v>0</v>
      </c>
      <c r="BK18" s="22" t="str">
        <f>IF(BJ$5=0,"N.D.",BJ18/BJ$5)</f>
        <v>N.D.</v>
      </c>
      <c r="BL18" s="208">
        <f>BL15+BL16</f>
        <v>0</v>
      </c>
      <c r="BM18" s="22" t="str">
        <f>IF(BL$5=0,"N.D.",BL18/BL$5)</f>
        <v>N.D.</v>
      </c>
      <c r="BN18" s="208">
        <f>BN15+BN16</f>
        <v>0</v>
      </c>
      <c r="BO18" s="22" t="str">
        <f>IF(BN$5=0,"N.D.",BN18/BN$5)</f>
        <v>N.D.</v>
      </c>
      <c r="BP18" s="14">
        <f>BP15+BP16</f>
        <v>0</v>
      </c>
      <c r="BQ18" s="22" t="str">
        <f>IF(BP$5=0,"N.D.",BP18/BP$5)</f>
        <v>N.D.</v>
      </c>
      <c r="BU18" s="7" t="s">
        <v>174</v>
      </c>
      <c r="BV18" s="208">
        <f>BV15+BV16</f>
        <v>0</v>
      </c>
      <c r="BW18" s="22" t="str">
        <f t="shared" ref="BW18:BY18" si="151">IF(BV$5=0,"N.D.",BV18/BV$5)</f>
        <v>N.D.</v>
      </c>
      <c r="BX18" s="208">
        <f>BX15+BX16</f>
        <v>0</v>
      </c>
      <c r="BY18" s="22" t="str">
        <f t="shared" si="151"/>
        <v>N.D.</v>
      </c>
      <c r="BZ18" s="208">
        <f>BZ15+BZ16</f>
        <v>0</v>
      </c>
      <c r="CA18" s="22" t="str">
        <f t="shared" ref="CA18:CC18" si="152">IF(BZ$5=0,"N.D.",BZ18/BZ$5)</f>
        <v>N.D.</v>
      </c>
      <c r="CB18" s="208">
        <f>CB15+CB16</f>
        <v>0</v>
      </c>
      <c r="CC18" s="22" t="str">
        <f t="shared" si="152"/>
        <v>N.D.</v>
      </c>
      <c r="CD18" s="208">
        <f>CD15+CD16</f>
        <v>0</v>
      </c>
      <c r="CE18" s="22" t="str">
        <f t="shared" ref="CE18:CG18" si="153">IF(CD$5=0,"N.D.",CD18/CD$5)</f>
        <v>N.D.</v>
      </c>
      <c r="CF18" s="14">
        <f>CF15+CF16</f>
        <v>0</v>
      </c>
      <c r="CG18" s="22" t="str">
        <f t="shared" si="153"/>
        <v>N.D.</v>
      </c>
    </row>
    <row r="19" spans="1:85" x14ac:dyDescent="0.35">
      <c r="B19" s="7" t="s">
        <v>144</v>
      </c>
      <c r="C19" s="196">
        <f>BDER!$C170/1000+ajustes!B12</f>
        <v>0</v>
      </c>
      <c r="D19" s="219" t="str">
        <f t="shared" si="94"/>
        <v>N.D.</v>
      </c>
      <c r="E19" s="34">
        <f>BDER!$C148/1000+ajustes!C12</f>
        <v>0</v>
      </c>
      <c r="F19" s="219" t="str">
        <f t="shared" si="94"/>
        <v>N.D.</v>
      </c>
      <c r="G19" s="197">
        <f>BDER!$C214/1000+ajustes!D12</f>
        <v>0</v>
      </c>
      <c r="H19" s="219" t="str">
        <f t="shared" ref="H19" si="154">IF(G$5=0,"N.D.",G19/G$5)</f>
        <v>N.D.</v>
      </c>
      <c r="I19" s="34">
        <f>BDER!$C192/1000+ajustes!E12</f>
        <v>0</v>
      </c>
      <c r="J19" s="219" t="str">
        <f t="shared" ref="J19:L19" si="155">IF(I$5=0,"N.D.",I19/I$5)</f>
        <v>N.D.</v>
      </c>
      <c r="K19" s="207">
        <f t="shared" si="97"/>
        <v>0</v>
      </c>
      <c r="L19" s="219" t="str">
        <f t="shared" si="155"/>
        <v>N.D.</v>
      </c>
      <c r="N19" s="7" t="s">
        <v>144</v>
      </c>
      <c r="O19" s="196">
        <f>BDER!$C16/1000+ajustes!F12</f>
        <v>0</v>
      </c>
      <c r="P19" s="219" t="str">
        <f t="shared" ref="P19:R19" si="156">IF(O$5=0,"N.D.",O19/O$5)</f>
        <v>N.D.</v>
      </c>
      <c r="Q19" s="34">
        <f>BDER!$C38/1000+ajustes!G12</f>
        <v>0</v>
      </c>
      <c r="R19" s="219" t="str">
        <f t="shared" si="156"/>
        <v>N.D.</v>
      </c>
      <c r="S19" s="197">
        <f>BDER!$C60/1000+ajustes!H12</f>
        <v>0</v>
      </c>
      <c r="T19" s="219" t="str">
        <f t="shared" ref="T19:V19" si="157">IF(S$5=0,"N.D.",S19/S$5)</f>
        <v>N.D.</v>
      </c>
      <c r="U19" s="34">
        <f>BDER!$C82/1000+ajustes!I12</f>
        <v>0</v>
      </c>
      <c r="V19" s="219" t="str">
        <f t="shared" si="157"/>
        <v>N.D.</v>
      </c>
      <c r="W19" s="197">
        <f>BDER!$C104/1000+ajustes!J12</f>
        <v>0</v>
      </c>
      <c r="X19" s="219" t="str">
        <f t="shared" ref="X19:Z19" si="158">IF(W$5=0,"N.D.",W19/W$5)</f>
        <v>N.D.</v>
      </c>
      <c r="Y19" s="34">
        <f>BDER!$C126/1000+ajustes!K12</f>
        <v>0</v>
      </c>
      <c r="Z19" s="219" t="str">
        <f t="shared" si="158"/>
        <v>N.D.</v>
      </c>
      <c r="AA19" s="207">
        <f t="shared" si="101"/>
        <v>0</v>
      </c>
      <c r="AB19" s="219" t="str">
        <f t="shared" ref="AB19" si="159">IF(AA$5=0,"N.D.",AA19/AA$5)</f>
        <v>N.D.</v>
      </c>
      <c r="AC19" s="276"/>
      <c r="AE19" s="7" t="s">
        <v>144</v>
      </c>
      <c r="AF19" s="11">
        <f>BDER!$C302/1000+ajustes!L12</f>
        <v>0</v>
      </c>
      <c r="AG19" s="219" t="str">
        <f t="shared" ref="AG19:AI19" si="160">IF(AF$5=0,"N.D.",AF19/AF$5)</f>
        <v>N.D.</v>
      </c>
      <c r="AH19" s="11">
        <f>BDER!$C324/1000+ajustes!M12</f>
        <v>0</v>
      </c>
      <c r="AI19" s="219" t="str">
        <f t="shared" si="160"/>
        <v>N.D.</v>
      </c>
      <c r="AJ19" s="11">
        <f>BDER!$C368/1000+ajustes!N12</f>
        <v>0</v>
      </c>
      <c r="AK19" s="219" t="str">
        <f t="shared" ref="AK19:AM19" si="161">IF(AJ$5=0,"N.D.",AJ19/AJ$5)</f>
        <v>N.D.</v>
      </c>
      <c r="AL19" s="11">
        <f>BDER!$C346/2000+ajustes!O12</f>
        <v>0</v>
      </c>
      <c r="AM19" s="219" t="str">
        <f t="shared" si="161"/>
        <v>N.D.</v>
      </c>
      <c r="AN19" s="11">
        <f>ajustes!P12</f>
        <v>0</v>
      </c>
      <c r="AO19" s="219" t="str">
        <f t="shared" ref="AO19:AQ19" si="162">IF(AN$5=0,"N.D.",AN19/AN$5)</f>
        <v>N.D.</v>
      </c>
      <c r="AP19" s="11">
        <f>BDER!$C412/1000+ajustes!Q12</f>
        <v>0</v>
      </c>
      <c r="AQ19" s="219" t="str">
        <f t="shared" si="162"/>
        <v>N.D.</v>
      </c>
      <c r="AR19" s="11">
        <f>BDER!$C390/1000+ajustes!R12</f>
        <v>0</v>
      </c>
      <c r="AS19" s="219" t="str">
        <f t="shared" ref="AS19:AU19" si="163">IF(AR$5=0,"N.D.",AR19/AR$5)</f>
        <v>N.D.</v>
      </c>
      <c r="AT19" s="11">
        <f t="shared" si="107"/>
        <v>0</v>
      </c>
      <c r="AU19" s="219" t="str">
        <f t="shared" si="163"/>
        <v>N.D.</v>
      </c>
      <c r="AX19" s="7" t="s">
        <v>144</v>
      </c>
      <c r="AY19" s="34">
        <f>BDER!$C456/1000+ajustes!S12</f>
        <v>0</v>
      </c>
      <c r="AZ19" s="219" t="str">
        <f t="shared" si="108"/>
        <v>N.D.</v>
      </c>
      <c r="BA19" s="207">
        <f>BDER!$C434/1000+ajustes!T12</f>
        <v>0</v>
      </c>
      <c r="BB19" s="219" t="str">
        <f t="shared" si="109"/>
        <v>N.D.</v>
      </c>
      <c r="BC19" s="206">
        <f t="shared" si="110"/>
        <v>0</v>
      </c>
      <c r="BD19" s="219" t="str">
        <f t="shared" si="111"/>
        <v>N.D.</v>
      </c>
      <c r="BE19" s="187"/>
      <c r="BG19" s="7" t="s">
        <v>175</v>
      </c>
      <c r="BH19" s="14">
        <f>BH13-BH18</f>
        <v>0</v>
      </c>
      <c r="BI19" s="22" t="str">
        <f>IF(BH$5=0,"N.D.",BH19/BH$5)</f>
        <v>N.D.</v>
      </c>
      <c r="BJ19" s="14">
        <f>BJ13-BJ18</f>
        <v>0</v>
      </c>
      <c r="BK19" s="22" t="str">
        <f>IF(BJ$5=0,"N.D.",BJ19/BJ$5)</f>
        <v>N.D.</v>
      </c>
      <c r="BL19" s="14">
        <f>BL13-BL18</f>
        <v>0</v>
      </c>
      <c r="BM19" s="22" t="str">
        <f>IF(BL$5=0,"N.D.",BL19/BL$5)</f>
        <v>N.D.</v>
      </c>
      <c r="BN19" s="14">
        <f>BN13-BN18</f>
        <v>0</v>
      </c>
      <c r="BO19" s="22" t="str">
        <f>IF(BN$5=0,"N.D.",BN19/BN$5)</f>
        <v>N.D.</v>
      </c>
      <c r="BP19" s="14">
        <f>BP13-BP18</f>
        <v>0</v>
      </c>
      <c r="BQ19" s="22" t="str">
        <f>IF(BP$5=0,"N.D.",BP19/BP$5)</f>
        <v>N.D.</v>
      </c>
      <c r="BU19" s="7" t="s">
        <v>175</v>
      </c>
      <c r="BV19" s="14">
        <f>BV13-BV18</f>
        <v>0</v>
      </c>
      <c r="BW19" s="22" t="str">
        <f t="shared" ref="BW19:BY19" si="164">IF(BV$5=0,"N.D.",BV19/BV$5)</f>
        <v>N.D.</v>
      </c>
      <c r="BX19" s="14">
        <f>BX13-BX18</f>
        <v>0</v>
      </c>
      <c r="BY19" s="22" t="str">
        <f t="shared" si="164"/>
        <v>N.D.</v>
      </c>
      <c r="BZ19" s="14">
        <f>BZ13-BZ18</f>
        <v>0</v>
      </c>
      <c r="CA19" s="22" t="str">
        <f t="shared" ref="CA19:CC19" si="165">IF(BZ$5=0,"N.D.",BZ19/BZ$5)</f>
        <v>N.D.</v>
      </c>
      <c r="CB19" s="14">
        <f>CB13-CB18</f>
        <v>0</v>
      </c>
      <c r="CC19" s="22" t="str">
        <f t="shared" si="165"/>
        <v>N.D.</v>
      </c>
      <c r="CD19" s="14">
        <f>CD13-CD18</f>
        <v>0</v>
      </c>
      <c r="CE19" s="22" t="str">
        <f t="shared" ref="CE19:CG19" si="166">IF(CD$5=0,"N.D.",CD19/CD$5)</f>
        <v>N.D.</v>
      </c>
      <c r="CF19" s="14">
        <f>CF13-CF18</f>
        <v>0</v>
      </c>
      <c r="CG19" s="22" t="str">
        <f t="shared" si="166"/>
        <v>N.D.</v>
      </c>
    </row>
    <row r="20" spans="1:85" x14ac:dyDescent="0.35">
      <c r="B20" s="4" t="s">
        <v>17</v>
      </c>
      <c r="C20" s="216">
        <f>C15+C16+C17-C18</f>
        <v>0</v>
      </c>
      <c r="D20" s="22" t="str">
        <f t="shared" si="94"/>
        <v>N.D.</v>
      </c>
      <c r="E20" s="202">
        <f>E15+E16+E17-E18</f>
        <v>0</v>
      </c>
      <c r="F20" s="22" t="str">
        <f t="shared" si="94"/>
        <v>N.D.</v>
      </c>
      <c r="G20" s="208">
        <f>G15+G16+G17-G18</f>
        <v>0</v>
      </c>
      <c r="H20" s="22" t="str">
        <f t="shared" ref="H20" si="167">IF(G$5=0,"N.D.",G20/G$5)</f>
        <v>N.D.</v>
      </c>
      <c r="I20" s="202">
        <f>I15+I16+I17-I18</f>
        <v>0</v>
      </c>
      <c r="J20" s="22" t="str">
        <f t="shared" ref="J20:L20" si="168">IF(I$5=0,"N.D.",I20/I$5)</f>
        <v>N.D.</v>
      </c>
      <c r="K20" s="208">
        <f>K15+K16+K17-K18</f>
        <v>0</v>
      </c>
      <c r="L20" s="22" t="str">
        <f t="shared" si="168"/>
        <v>N.D.</v>
      </c>
      <c r="N20" s="4" t="s">
        <v>17</v>
      </c>
      <c r="O20" s="216">
        <f>O15+O16+O17-O18</f>
        <v>0</v>
      </c>
      <c r="P20" s="22" t="str">
        <f t="shared" ref="P20:R20" si="169">IF(O$5=0,"N.D.",O20/O$5)</f>
        <v>N.D.</v>
      </c>
      <c r="Q20" s="208">
        <f>Q15+Q16+Q17-Q18</f>
        <v>0</v>
      </c>
      <c r="R20" s="22" t="str">
        <f t="shared" si="169"/>
        <v>N.D.</v>
      </c>
      <c r="S20" s="202">
        <f>S15+S16+S17-S18</f>
        <v>0</v>
      </c>
      <c r="T20" s="22" t="str">
        <f t="shared" ref="T20:V20" si="170">IF(S$5=0,"N.D.",S20/S$5)</f>
        <v>N.D.</v>
      </c>
      <c r="U20" s="208">
        <f>U15+U16+U17-U18</f>
        <v>0</v>
      </c>
      <c r="V20" s="22" t="str">
        <f t="shared" si="170"/>
        <v>N.D.</v>
      </c>
      <c r="W20" s="202">
        <f>W15+W16+W17-W18</f>
        <v>0</v>
      </c>
      <c r="X20" s="22" t="str">
        <f t="shared" ref="X20:Z20" si="171">IF(W$5=0,"N.D.",W20/W$5)</f>
        <v>N.D.</v>
      </c>
      <c r="Y20" s="208">
        <f>Y15+Y16+Y17-Y18</f>
        <v>0</v>
      </c>
      <c r="Z20" s="22" t="str">
        <f t="shared" si="171"/>
        <v>N.D.</v>
      </c>
      <c r="AA20" s="213">
        <f>AA15+AA16+AA17-AA18</f>
        <v>0</v>
      </c>
      <c r="AB20" s="22" t="str">
        <f t="shared" ref="AB20" si="172">IF(AA$5=0,"N.D.",AA20/AA$5)</f>
        <v>N.D.</v>
      </c>
      <c r="AC20" s="276"/>
      <c r="AE20" s="4" t="s">
        <v>17</v>
      </c>
      <c r="AF20" s="14">
        <f>AF15+AF16+AF17-AF18</f>
        <v>0</v>
      </c>
      <c r="AG20" s="22" t="str">
        <f t="shared" ref="AG20:AI20" si="173">IF(AF$5=0,"N.D.",AF20/AF$5)</f>
        <v>N.D.</v>
      </c>
      <c r="AH20" s="14">
        <f>AH15+AH16+AH17-AH18</f>
        <v>0</v>
      </c>
      <c r="AI20" s="22" t="str">
        <f t="shared" si="173"/>
        <v>N.D.</v>
      </c>
      <c r="AJ20" s="14">
        <f>AJ15+AJ16+AJ17-AJ18</f>
        <v>0</v>
      </c>
      <c r="AK20" s="22" t="str">
        <f t="shared" ref="AK20:AM20" si="174">IF(AJ$5=0,"N.D.",AJ20/AJ$5)</f>
        <v>N.D.</v>
      </c>
      <c r="AL20" s="14">
        <f>AL15+AL16+AL17-AL18</f>
        <v>0</v>
      </c>
      <c r="AM20" s="22" t="str">
        <f t="shared" si="174"/>
        <v>N.D.</v>
      </c>
      <c r="AN20" s="14">
        <f>AN15+AN16+AN17-AN18</f>
        <v>0</v>
      </c>
      <c r="AO20" s="22" t="str">
        <f t="shared" ref="AO20:AQ20" si="175">IF(AN$5=0,"N.D.",AN20/AN$5)</f>
        <v>N.D.</v>
      </c>
      <c r="AP20" s="14">
        <f>AP15+AP16+AP17-AP18</f>
        <v>0</v>
      </c>
      <c r="AQ20" s="22" t="str">
        <f t="shared" si="175"/>
        <v>N.D.</v>
      </c>
      <c r="AR20" s="14">
        <f>AR15+AR16+AR17-AR18</f>
        <v>0</v>
      </c>
      <c r="AS20" s="22" t="str">
        <f t="shared" ref="AS20:AU20" si="176">IF(AR$5=0,"N.D.",AR20/AR$5)</f>
        <v>N.D.</v>
      </c>
      <c r="AT20" s="14">
        <f>AT15+AT16+AT17-AT18</f>
        <v>0</v>
      </c>
      <c r="AU20" s="22" t="str">
        <f t="shared" si="176"/>
        <v>N.D.</v>
      </c>
      <c r="AX20" s="4" t="s">
        <v>17</v>
      </c>
      <c r="AY20" s="208">
        <f>AY15+AY16+AY17-AY18</f>
        <v>0</v>
      </c>
      <c r="AZ20" s="22" t="str">
        <f t="shared" si="108"/>
        <v>N.D.</v>
      </c>
      <c r="BA20" s="208">
        <f>BA15+BA16+BA17-BA18</f>
        <v>0</v>
      </c>
      <c r="BB20" s="22" t="str">
        <f t="shared" si="109"/>
        <v>N.D.</v>
      </c>
      <c r="BC20" s="14">
        <f>BC15+BC16+BC17-BC18</f>
        <v>0</v>
      </c>
      <c r="BD20" s="22" t="str">
        <f t="shared" si="111"/>
        <v>N.D.</v>
      </c>
      <c r="BE20" s="221"/>
      <c r="BG20" s="4"/>
      <c r="BI20" s="221"/>
      <c r="BK20" s="221"/>
      <c r="BM20" s="221"/>
      <c r="BO20" s="221"/>
      <c r="BQ20" s="221"/>
      <c r="BU20" s="4"/>
      <c r="BW20" s="221"/>
      <c r="BY20" s="221"/>
      <c r="CA20" s="221"/>
      <c r="CC20" s="221"/>
      <c r="CE20" s="221"/>
      <c r="CG20" s="221"/>
    </row>
    <row r="21" spans="1:85" x14ac:dyDescent="0.35">
      <c r="B21" s="4" t="s">
        <v>18</v>
      </c>
      <c r="C21" s="215">
        <f>C13-C20</f>
        <v>0</v>
      </c>
      <c r="D21" s="22" t="str">
        <f t="shared" si="94"/>
        <v>N.D.</v>
      </c>
      <c r="E21" s="31">
        <f>E13-E20</f>
        <v>0</v>
      </c>
      <c r="F21" s="22" t="str">
        <f t="shared" si="94"/>
        <v>N.D.</v>
      </c>
      <c r="G21" s="14">
        <f>G13-G20</f>
        <v>0</v>
      </c>
      <c r="H21" s="22" t="str">
        <f t="shared" ref="H21" si="177">IF(G$5=0,"N.D.",G21/G$5)</f>
        <v>N.D.</v>
      </c>
      <c r="I21" s="31">
        <f>I13-I20</f>
        <v>0</v>
      </c>
      <c r="J21" s="22" t="str">
        <f t="shared" ref="J21:L21" si="178">IF(I$5=0,"N.D.",I21/I$5)</f>
        <v>N.D.</v>
      </c>
      <c r="K21" s="14">
        <f>K13-K20</f>
        <v>0</v>
      </c>
      <c r="L21" s="22" t="str">
        <f t="shared" si="178"/>
        <v>N.D.</v>
      </c>
      <c r="N21" s="4" t="s">
        <v>18</v>
      </c>
      <c r="O21" s="212">
        <f>O13-O20</f>
        <v>0</v>
      </c>
      <c r="P21" s="22" t="str">
        <f t="shared" ref="P21:R21" si="179">IF(O$5=0,"N.D.",O21/O$5)</f>
        <v>N.D.</v>
      </c>
      <c r="Q21" s="200">
        <f>Q13-Q20</f>
        <v>0</v>
      </c>
      <c r="R21" s="22" t="str">
        <f t="shared" si="179"/>
        <v>N.D.</v>
      </c>
      <c r="S21" s="209">
        <f>S13-S20</f>
        <v>0</v>
      </c>
      <c r="T21" s="22" t="str">
        <f t="shared" ref="T21:V21" si="180">IF(S$5=0,"N.D.",S21/S$5)</f>
        <v>N.D.</v>
      </c>
      <c r="U21" s="200">
        <f>U13-U20</f>
        <v>0</v>
      </c>
      <c r="V21" s="22" t="str">
        <f t="shared" si="180"/>
        <v>N.D.</v>
      </c>
      <c r="W21" s="209">
        <f>W13-W20</f>
        <v>0</v>
      </c>
      <c r="X21" s="22" t="str">
        <f t="shared" ref="X21:Z21" si="181">IF(W$5=0,"N.D.",W21/W$5)</f>
        <v>N.D.</v>
      </c>
      <c r="Y21" s="200">
        <f>Y13-Y20</f>
        <v>0</v>
      </c>
      <c r="Z21" s="22" t="str">
        <f t="shared" si="181"/>
        <v>N.D.</v>
      </c>
      <c r="AA21" s="210">
        <f>AA13-AA20</f>
        <v>0</v>
      </c>
      <c r="AB21" s="22" t="str">
        <f t="shared" ref="AB21" si="182">IF(AA$5=0,"N.D.",AA21/AA$5)</f>
        <v>N.D.</v>
      </c>
      <c r="AC21" s="276"/>
      <c r="AE21" s="4" t="s">
        <v>18</v>
      </c>
      <c r="AF21" s="14">
        <f>AF13-AF20</f>
        <v>0</v>
      </c>
      <c r="AG21" s="22" t="str">
        <f t="shared" ref="AG21:AI21" si="183">IF(AF$5=0,"N.D.",AF21/AF$5)</f>
        <v>N.D.</v>
      </c>
      <c r="AH21" s="14">
        <f>AH13-AH20</f>
        <v>0</v>
      </c>
      <c r="AI21" s="22" t="str">
        <f t="shared" si="183"/>
        <v>N.D.</v>
      </c>
      <c r="AJ21" s="14">
        <f>AJ13-AJ20</f>
        <v>0</v>
      </c>
      <c r="AK21" s="22" t="str">
        <f t="shared" ref="AK21:AM21" si="184">IF(AJ$5=0,"N.D.",AJ21/AJ$5)</f>
        <v>N.D.</v>
      </c>
      <c r="AL21" s="14">
        <f>AL13-AL20</f>
        <v>0</v>
      </c>
      <c r="AM21" s="22" t="str">
        <f t="shared" si="184"/>
        <v>N.D.</v>
      </c>
      <c r="AN21" s="14">
        <f>AN13-AN20</f>
        <v>0</v>
      </c>
      <c r="AO21" s="22" t="str">
        <f t="shared" ref="AO21:AQ21" si="185">IF(AN$5=0,"N.D.",AN21/AN$5)</f>
        <v>N.D.</v>
      </c>
      <c r="AP21" s="14">
        <f>AP13-AP20</f>
        <v>0</v>
      </c>
      <c r="AQ21" s="22" t="str">
        <f t="shared" si="185"/>
        <v>N.D.</v>
      </c>
      <c r="AR21" s="14">
        <f>AR13-AR20</f>
        <v>0</v>
      </c>
      <c r="AS21" s="22" t="str">
        <f t="shared" ref="AS21:AU21" si="186">IF(AR$5=0,"N.D.",AR21/AR$5)</f>
        <v>N.D.</v>
      </c>
      <c r="AT21" s="14">
        <f>AT13-AT20</f>
        <v>0</v>
      </c>
      <c r="AU21" s="22" t="str">
        <f t="shared" si="186"/>
        <v>N.D.</v>
      </c>
      <c r="AX21" s="4" t="s">
        <v>18</v>
      </c>
      <c r="AY21" s="14">
        <f>AY13-AY20</f>
        <v>0</v>
      </c>
      <c r="AZ21" s="22" t="str">
        <f t="shared" si="108"/>
        <v>N.D.</v>
      </c>
      <c r="BA21" s="14">
        <f>BA13-BA20</f>
        <v>0</v>
      </c>
      <c r="BB21" s="22" t="str">
        <f t="shared" si="109"/>
        <v>N.D.</v>
      </c>
      <c r="BC21" s="14">
        <f>BC13-BC20</f>
        <v>0</v>
      </c>
      <c r="BD21" s="22" t="str">
        <f t="shared" si="111"/>
        <v>N.D.</v>
      </c>
      <c r="BE21" s="221"/>
      <c r="BG21" s="7" t="s">
        <v>179</v>
      </c>
      <c r="BH21" s="8">
        <f>BDER!$C482/1000+ajustes!V13</f>
        <v>0</v>
      </c>
      <c r="BI21" s="220" t="str">
        <f>IF(BH$5=0,"N.D.",BH21/BH$5)</f>
        <v>N.D.</v>
      </c>
      <c r="BJ21" s="8">
        <f>BDER!$C505/1000+ajustes!W13</f>
        <v>0</v>
      </c>
      <c r="BK21" s="220" t="str">
        <f>IF(BJ$5=0,"N.D.",BJ21/BJ$5)</f>
        <v>N.D.</v>
      </c>
      <c r="BL21" s="195">
        <f>BDER!$C572/1000+ajustes!X13</f>
        <v>0</v>
      </c>
      <c r="BM21" s="220" t="str">
        <f>IF(BL$5=0,"N.D.",BL21/BL$5)</f>
        <v>N.D.</v>
      </c>
      <c r="BN21" s="8">
        <f>BDER!$C617/1000+ajustes!Y13</f>
        <v>0</v>
      </c>
      <c r="BO21" s="220" t="str">
        <f>IF(BN$5=0,"N.D.",BN21/BN$5)</f>
        <v>N.D.</v>
      </c>
      <c r="BP21" s="204">
        <f>SUM(BH21,BJ21,BL21,BN21)</f>
        <v>0</v>
      </c>
      <c r="BQ21" s="220" t="str">
        <f>IF(BP$5=0,"N.D.",BP21/BP$5)</f>
        <v>N.D.</v>
      </c>
      <c r="BU21" s="7" t="s">
        <v>179</v>
      </c>
      <c r="BV21" s="194">
        <f>BDER!$C527/1000+ajustes!Z13</f>
        <v>0</v>
      </c>
      <c r="BW21" s="220" t="str">
        <f t="shared" ref="BW21:BY21" si="187">IF(BV$5=0,"N.D.",BV21/BV$5)</f>
        <v>N.D.</v>
      </c>
      <c r="BX21" s="8">
        <f>BDER!$C594/1000+ajustes!AA13</f>
        <v>0</v>
      </c>
      <c r="BY21" s="220" t="str">
        <f t="shared" si="187"/>
        <v>N.D.</v>
      </c>
      <c r="BZ21" s="195">
        <f>BDER!$C639/1000+ajustes!AB13</f>
        <v>0</v>
      </c>
      <c r="CA21" s="220" t="str">
        <f t="shared" ref="CA21:CC21" si="188">IF(BZ$5=0,"N.D.",BZ21/BZ$5)</f>
        <v>N.D.</v>
      </c>
      <c r="CB21" s="8">
        <f>BDER!$C549/1000+ajustes!AC13</f>
        <v>0</v>
      </c>
      <c r="CC21" s="220" t="str">
        <f t="shared" si="188"/>
        <v>N.D.</v>
      </c>
      <c r="CD21" s="204">
        <f>BDER!$C661/1000+ajustes!AD13</f>
        <v>0</v>
      </c>
      <c r="CE21" s="220" t="str">
        <f t="shared" ref="CE21:CG21" si="189">IF(CD$5=0,"N.D.",CD21/CD$5)</f>
        <v>N.D.</v>
      </c>
      <c r="CF21" s="204">
        <f>SUM(BV21,BX21,BZ21,CB21,CD21)</f>
        <v>0</v>
      </c>
      <c r="CG21" s="220" t="str">
        <f t="shared" si="189"/>
        <v>N.D.</v>
      </c>
    </row>
    <row r="22" spans="1:85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7"/>
      <c r="P22" s="30"/>
      <c r="Q22" s="217"/>
      <c r="R22" s="30"/>
      <c r="S22" s="217"/>
      <c r="T22" s="30"/>
      <c r="U22" s="217"/>
      <c r="V22" s="30"/>
      <c r="W22" s="217"/>
      <c r="X22" s="30"/>
      <c r="Y22" s="217"/>
      <c r="Z22" s="30"/>
      <c r="AA22" s="217"/>
      <c r="AB22" s="30"/>
      <c r="AC22" s="276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X22" s="1"/>
      <c r="AY22" s="30"/>
      <c r="AZ22" s="30"/>
      <c r="BA22" s="30"/>
      <c r="BB22" s="30"/>
      <c r="BC22" s="30"/>
      <c r="BD22" s="30"/>
      <c r="BE22" s="30"/>
      <c r="BG22" s="1" t="s">
        <v>176</v>
      </c>
      <c r="BH22" s="34">
        <f>BDER!$C483/1000+ajustes!V14</f>
        <v>0</v>
      </c>
      <c r="BI22" s="190" t="str">
        <f>IF(BH$5=0,"N.D.",BH22/BH$5)</f>
        <v>N.D.</v>
      </c>
      <c r="BJ22" s="34">
        <f>BDER!$C506/1000+ajustes!W14</f>
        <v>0</v>
      </c>
      <c r="BK22" s="190" t="str">
        <f>IF(BJ$5=0,"N.D.",BJ22/BJ$5)</f>
        <v>N.D.</v>
      </c>
      <c r="BL22" s="197">
        <f>BDER!$C573/1000+ajustes!X14</f>
        <v>0</v>
      </c>
      <c r="BM22" s="190" t="str">
        <f>IF(BL$5=0,"N.D.",BL22/BL$5)</f>
        <v>N.D.</v>
      </c>
      <c r="BN22" s="34">
        <f>BDER!$C618/1000+ajustes!Y14</f>
        <v>0</v>
      </c>
      <c r="BO22" s="190" t="str">
        <f>IF(BN$5=0,"N.D.",BN22/BN$5)</f>
        <v>N.D.</v>
      </c>
      <c r="BP22" s="206">
        <f>SUM(BH22,BJ22,BL22,BN22)</f>
        <v>0</v>
      </c>
      <c r="BQ22" s="190" t="str">
        <f>IF(BP$5=0,"N.D.",BP22/BP$5)</f>
        <v>N.D.</v>
      </c>
      <c r="BU22" s="1" t="s">
        <v>176</v>
      </c>
      <c r="BV22" s="196">
        <f>BDER!$C528/1000+ajustes!Z14</f>
        <v>0</v>
      </c>
      <c r="BW22" s="190" t="str">
        <f t="shared" ref="BW22:BY22" si="190">IF(BV$5=0,"N.D.",BV22/BV$5)</f>
        <v>N.D.</v>
      </c>
      <c r="BX22" s="34">
        <f>BDER!$C595/1000+ajustes!AA14</f>
        <v>0</v>
      </c>
      <c r="BY22" s="190" t="str">
        <f t="shared" si="190"/>
        <v>N.D.</v>
      </c>
      <c r="BZ22" s="197">
        <f>BDER!$C640/1000+ajustes!AB14</f>
        <v>0</v>
      </c>
      <c r="CA22" s="190" t="str">
        <f t="shared" ref="CA22:CC22" si="191">IF(BZ$5=0,"N.D.",BZ22/BZ$5)</f>
        <v>N.D.</v>
      </c>
      <c r="CB22" s="34">
        <f>BDER!$C550/1000+ajustes!AC14</f>
        <v>0</v>
      </c>
      <c r="CC22" s="190" t="str">
        <f t="shared" si="191"/>
        <v>N.D.</v>
      </c>
      <c r="CD22" s="207">
        <f>BDER!$C662/1000+ajustes!AD14</f>
        <v>0</v>
      </c>
      <c r="CE22" s="190" t="str">
        <f t="shared" ref="CE22:CG22" si="192">IF(CD$5=0,"N.D.",CD22/CD$5)</f>
        <v>N.D.</v>
      </c>
      <c r="CF22" s="206">
        <f>SUM(BV22,BX22,BZ22,CB22,CD22)</f>
        <v>0</v>
      </c>
      <c r="CG22" s="190" t="str">
        <f t="shared" si="192"/>
        <v>N.D.</v>
      </c>
    </row>
    <row r="23" spans="1:85" x14ac:dyDescent="0.35">
      <c r="B23" s="7" t="s">
        <v>19</v>
      </c>
      <c r="C23" s="194">
        <f>BDER!$C173/1000+ajustes!B13</f>
        <v>0</v>
      </c>
      <c r="D23" s="220" t="str">
        <f t="shared" si="94"/>
        <v>N.D.</v>
      </c>
      <c r="E23" s="8">
        <f>BDER!$C151/1000+ajustes!C13</f>
        <v>0</v>
      </c>
      <c r="F23" s="220" t="str">
        <f t="shared" si="94"/>
        <v>N.D.</v>
      </c>
      <c r="G23" s="195">
        <f>BDER!$C217/1000+ajustes!D13</f>
        <v>0</v>
      </c>
      <c r="H23" s="220" t="str">
        <f t="shared" ref="H23" si="193">IF(G$5=0,"N.D.",G23/G$5)</f>
        <v>N.D.</v>
      </c>
      <c r="I23" s="195">
        <f>BDER!$C195/1000+ajustes!E13</f>
        <v>0</v>
      </c>
      <c r="J23" s="220" t="str">
        <f t="shared" ref="J23:L23" si="194">IF(I$5=0,"N.D.",I23/I$5)</f>
        <v>N.D.</v>
      </c>
      <c r="K23" s="8">
        <f>SUM(C23,E23,G23,I23)</f>
        <v>0</v>
      </c>
      <c r="L23" s="220" t="str">
        <f t="shared" si="194"/>
        <v>N.D.</v>
      </c>
      <c r="N23" s="7" t="s">
        <v>19</v>
      </c>
      <c r="O23" s="198">
        <f>BDER!$C19/1000+ajustes!F13</f>
        <v>0</v>
      </c>
      <c r="P23" s="220" t="str">
        <f t="shared" ref="P23:R23" si="195">IF(O$5=0,"N.D.",O23/O$5)</f>
        <v>N.D.</v>
      </c>
      <c r="Q23" s="11">
        <f>BDER!$C41/1000+ajustes!G13</f>
        <v>0</v>
      </c>
      <c r="R23" s="220" t="str">
        <f t="shared" si="195"/>
        <v>N.D.</v>
      </c>
      <c r="S23" s="30">
        <f>BDER!$C63/1000+ajustes!H13</f>
        <v>0</v>
      </c>
      <c r="T23" s="220" t="str">
        <f t="shared" ref="T23:V23" si="196">IF(S$5=0,"N.D.",S23/S$5)</f>
        <v>N.D.</v>
      </c>
      <c r="U23" s="11">
        <f>BDER!$C85/1000+ajustes!I13</f>
        <v>0</v>
      </c>
      <c r="V23" s="220" t="str">
        <f t="shared" si="196"/>
        <v>N.D.</v>
      </c>
      <c r="W23" s="30">
        <f>BDER!$C107/1000+ajustes!J13</f>
        <v>0</v>
      </c>
      <c r="X23" s="220" t="str">
        <f t="shared" ref="X23:Z23" si="197">IF(W$5=0,"N.D.",W23/W$5)</f>
        <v>N.D.</v>
      </c>
      <c r="Y23" s="11">
        <f>BDER!$C129/1000+ajustes!K13</f>
        <v>0</v>
      </c>
      <c r="Z23" s="220" t="str">
        <f t="shared" si="197"/>
        <v>N.D.</v>
      </c>
      <c r="AA23" s="206">
        <f>SUM(O23,Q23,S23,U23,W23,Y23)</f>
        <v>0</v>
      </c>
      <c r="AB23" s="220" t="str">
        <f t="shared" ref="AB23" si="198">IF(AA$5=0,"N.D.",AA23/AA$5)</f>
        <v>N.D.</v>
      </c>
      <c r="AC23" s="276"/>
      <c r="AE23" s="7" t="s">
        <v>19</v>
      </c>
      <c r="AF23" s="8">
        <f>BDER!$C305/1000+ajustes!L13</f>
        <v>0</v>
      </c>
      <c r="AG23" s="220" t="str">
        <f t="shared" ref="AG23:AI23" si="199">IF(AF$5=0,"N.D.",AF23/AF$5)</f>
        <v>N.D.</v>
      </c>
      <c r="AH23" s="8">
        <f>BDER!$C327/1000+ajustes!M13</f>
        <v>0</v>
      </c>
      <c r="AI23" s="220" t="str">
        <f t="shared" si="199"/>
        <v>N.D.</v>
      </c>
      <c r="AJ23" s="8">
        <f>BDER!$C371/1000+ajustes!N13</f>
        <v>0</v>
      </c>
      <c r="AK23" s="220" t="str">
        <f t="shared" ref="AK23:AM23" si="200">IF(AJ$5=0,"N.D.",AJ23/AJ$5)</f>
        <v>N.D.</v>
      </c>
      <c r="AL23" s="8">
        <f>BDER!$C349/2000+ajustes!O13</f>
        <v>0</v>
      </c>
      <c r="AM23" s="220" t="str">
        <f t="shared" si="200"/>
        <v>N.D.</v>
      </c>
      <c r="AN23" s="8">
        <f>ajustes!P13</f>
        <v>0</v>
      </c>
      <c r="AO23" s="220" t="str">
        <f t="shared" ref="AO23:AQ23" si="201">IF(AN$5=0,"N.D.",AN23/AN$5)</f>
        <v>N.D.</v>
      </c>
      <c r="AP23" s="8">
        <f>BDER!$C415/1000+ajustes!Q13</f>
        <v>0</v>
      </c>
      <c r="AQ23" s="220" t="str">
        <f t="shared" si="201"/>
        <v>N.D.</v>
      </c>
      <c r="AR23" s="8">
        <f>BDER!$C393/1000+ajustes!R13</f>
        <v>0</v>
      </c>
      <c r="AS23" s="220" t="str">
        <f t="shared" ref="AS23:AU23" si="202">IF(AR$5=0,"N.D.",AR23/AR$5)</f>
        <v>N.D.</v>
      </c>
      <c r="AT23" s="8">
        <f>SUM(AF23,AH23,AJ23,AL23,AN23,AP23,AR23)</f>
        <v>0</v>
      </c>
      <c r="AU23" s="220" t="str">
        <f t="shared" si="202"/>
        <v>N.D.</v>
      </c>
      <c r="AX23" s="7" t="s">
        <v>19</v>
      </c>
      <c r="AY23" s="8">
        <f>BDER!$C459/1000+ajustes!S13</f>
        <v>0</v>
      </c>
      <c r="AZ23" s="220" t="str">
        <f>IF(AY$5=0,"N.D.",AY23/AY$5)</f>
        <v>N.D.</v>
      </c>
      <c r="BA23" s="204">
        <f>BDER!$C437/1000+ajustes!T13</f>
        <v>0</v>
      </c>
      <c r="BB23" s="220" t="str">
        <f>IF(BA$5=0,"N.D.",BA23/BA$5)</f>
        <v>N.D.</v>
      </c>
      <c r="BC23" s="204">
        <f>SUM(AY23,BA23)</f>
        <v>0</v>
      </c>
      <c r="BD23" s="220" t="str">
        <f>IF(BC$5=0,"N.D.",BC23/BC$5)</f>
        <v>N.D.</v>
      </c>
      <c r="BE23" s="187"/>
      <c r="BG23" s="4" t="s">
        <v>177</v>
      </c>
      <c r="BH23" s="208">
        <f>BH19-BH21-BH22</f>
        <v>0</v>
      </c>
      <c r="BI23" s="35" t="str">
        <f>IF(BH$5=0,"N.D.",BH23/BH$5)</f>
        <v>N.D.</v>
      </c>
      <c r="BJ23" s="208">
        <f>BJ19-BJ21-BJ22</f>
        <v>0</v>
      </c>
      <c r="BK23" s="35" t="str">
        <f>IF(BJ$5=0,"N.D.",BJ23/BJ$5)</f>
        <v>N.D.</v>
      </c>
      <c r="BL23" s="208">
        <f>BL19-BL21-BL22</f>
        <v>0</v>
      </c>
      <c r="BM23" s="35" t="str">
        <f>IF(BL$5=0,"N.D.",BL23/BL$5)</f>
        <v>N.D.</v>
      </c>
      <c r="BN23" s="208">
        <f>BN19-BN21-BN22</f>
        <v>0</v>
      </c>
      <c r="BO23" s="35" t="str">
        <f>IF(BN$5=0,"N.D.",BN23/BN$5)</f>
        <v>N.D.</v>
      </c>
      <c r="BP23" s="14">
        <f>BP19-BP21-BP22</f>
        <v>0</v>
      </c>
      <c r="BQ23" s="35" t="str">
        <f>IF(BP$5=0,"N.D.",BP23/BP$5)</f>
        <v>N.D.</v>
      </c>
      <c r="BU23" s="4" t="s">
        <v>177</v>
      </c>
      <c r="BV23" s="208">
        <f>BV19-BV21-BV22</f>
        <v>0</v>
      </c>
      <c r="BW23" s="35" t="str">
        <f t="shared" ref="BW23:BY23" si="203">IF(BV$5=0,"N.D.",BV23/BV$5)</f>
        <v>N.D.</v>
      </c>
      <c r="BX23" s="208">
        <f>BX19-BX21-BX22</f>
        <v>0</v>
      </c>
      <c r="BY23" s="35" t="str">
        <f t="shared" si="203"/>
        <v>N.D.</v>
      </c>
      <c r="BZ23" s="208">
        <f>BZ19-BZ21-BZ22</f>
        <v>0</v>
      </c>
      <c r="CA23" s="35" t="str">
        <f t="shared" ref="CA23:CC23" si="204">IF(BZ$5=0,"N.D.",BZ23/BZ$5)</f>
        <v>N.D.</v>
      </c>
      <c r="CB23" s="208">
        <f>CB19-CB21-CB22</f>
        <v>0</v>
      </c>
      <c r="CC23" s="35" t="str">
        <f t="shared" si="204"/>
        <v>N.D.</v>
      </c>
      <c r="CD23" s="208">
        <f>CD19-CD21-CD22</f>
        <v>0</v>
      </c>
      <c r="CE23" s="35" t="str">
        <f t="shared" ref="CE23:CG23" si="205">IF(CD$5=0,"N.D.",CD23/CD$5)</f>
        <v>N.D.</v>
      </c>
      <c r="CF23" s="14">
        <f>CF19-CF21-CF22</f>
        <v>0</v>
      </c>
      <c r="CG23" s="35" t="str">
        <f t="shared" si="205"/>
        <v>N.D.</v>
      </c>
    </row>
    <row r="24" spans="1:85" x14ac:dyDescent="0.35">
      <c r="B24" s="7" t="s">
        <v>43</v>
      </c>
      <c r="C24" s="196">
        <f>BDER!$C174+ajustes!B14</f>
        <v>0</v>
      </c>
      <c r="D24" s="219" t="str">
        <f t="shared" si="94"/>
        <v>N.D.</v>
      </c>
      <c r="E24" s="34">
        <f>BDER!$C152/1000+ajustes!C14</f>
        <v>0</v>
      </c>
      <c r="F24" s="219" t="str">
        <f t="shared" si="94"/>
        <v>N.D.</v>
      </c>
      <c r="G24" s="197">
        <f>BDER!$C218/1000+ajustes!D14</f>
        <v>0</v>
      </c>
      <c r="H24" s="219" t="str">
        <f t="shared" ref="H24" si="206">IF(G$5=0,"N.D.",G24/G$5)</f>
        <v>N.D.</v>
      </c>
      <c r="I24" s="197">
        <f>BDER!$C196/1000+ajustes!E14</f>
        <v>0</v>
      </c>
      <c r="J24" s="219" t="str">
        <f t="shared" ref="J24:L24" si="207">IF(I$5=0,"N.D.",I24/I$5)</f>
        <v>N.D.</v>
      </c>
      <c r="K24" s="34">
        <f>SUM(C24,E24,G24,I24)</f>
        <v>0</v>
      </c>
      <c r="L24" s="219" t="str">
        <f t="shared" si="207"/>
        <v>N.D.</v>
      </c>
      <c r="N24" s="7" t="s">
        <v>43</v>
      </c>
      <c r="O24" s="196">
        <f>BDER!$C20/1000+ajustes!F14</f>
        <v>0</v>
      </c>
      <c r="P24" s="219" t="str">
        <f t="shared" ref="P24:R24" si="208">IF(O$5=0,"N.D.",O24/O$5)</f>
        <v>N.D.</v>
      </c>
      <c r="Q24" s="34">
        <f>BDER!$C42/1000+ajustes!G14</f>
        <v>0</v>
      </c>
      <c r="R24" s="219" t="str">
        <f t="shared" si="208"/>
        <v>N.D.</v>
      </c>
      <c r="S24" s="197">
        <f>BDER!$C64/1000+ajustes!H14</f>
        <v>0</v>
      </c>
      <c r="T24" s="219" t="str">
        <f t="shared" ref="T24:V24" si="209">IF(S$5=0,"N.D.",S24/S$5)</f>
        <v>N.D.</v>
      </c>
      <c r="U24" s="34">
        <f>BDER!$C86/1000+ajustes!I14</f>
        <v>0</v>
      </c>
      <c r="V24" s="219" t="str">
        <f t="shared" si="209"/>
        <v>N.D.</v>
      </c>
      <c r="W24" s="197">
        <f>BDER!$C108/1000+ajustes!J14</f>
        <v>0</v>
      </c>
      <c r="X24" s="219" t="str">
        <f t="shared" ref="X24:Z24" si="210">IF(W$5=0,"N.D.",W24/W$5)</f>
        <v>N.D.</v>
      </c>
      <c r="Y24" s="34">
        <f>BDER!$C130/1000+ajustes!K14</f>
        <v>0</v>
      </c>
      <c r="Z24" s="219" t="str">
        <f t="shared" si="210"/>
        <v>N.D.</v>
      </c>
      <c r="AA24" s="207">
        <f>SUM(O24,Q24,S24,U24,W24,Y24)</f>
        <v>0</v>
      </c>
      <c r="AB24" s="219" t="str">
        <f t="shared" ref="AB24" si="211">IF(AA$5=0,"N.D.",AA24/AA$5)</f>
        <v>N.D.</v>
      </c>
      <c r="AC24" s="276"/>
      <c r="AE24" s="7" t="s">
        <v>43</v>
      </c>
      <c r="AF24" s="11">
        <f>BDER!$C306/1000+ajustes!L14</f>
        <v>0</v>
      </c>
      <c r="AG24" s="219" t="str">
        <f t="shared" ref="AG24:AI24" si="212">IF(AF$5=0,"N.D.",AF24/AF$5)</f>
        <v>N.D.</v>
      </c>
      <c r="AH24" s="11">
        <f>BDER!$C328/1000+ajustes!M14</f>
        <v>0</v>
      </c>
      <c r="AI24" s="219" t="str">
        <f t="shared" si="212"/>
        <v>N.D.</v>
      </c>
      <c r="AJ24" s="11">
        <f>BDER!$C372/1000+ajustes!N14</f>
        <v>0</v>
      </c>
      <c r="AK24" s="219" t="str">
        <f t="shared" ref="AK24:AM24" si="213">IF(AJ$5=0,"N.D.",AJ24/AJ$5)</f>
        <v>N.D.</v>
      </c>
      <c r="AL24" s="11">
        <f>BDER!$C350/2000+ajustes!O14</f>
        <v>0</v>
      </c>
      <c r="AM24" s="219" t="str">
        <f t="shared" si="213"/>
        <v>N.D.</v>
      </c>
      <c r="AN24" s="11">
        <f>ajustes!P14</f>
        <v>0</v>
      </c>
      <c r="AO24" s="219" t="str">
        <f t="shared" ref="AO24:AQ24" si="214">IF(AN$5=0,"N.D.",AN24/AN$5)</f>
        <v>N.D.</v>
      </c>
      <c r="AP24" s="11">
        <f>BDER!$C416/1000+ajustes!Q14</f>
        <v>0</v>
      </c>
      <c r="AQ24" s="219" t="str">
        <f t="shared" si="214"/>
        <v>N.D.</v>
      </c>
      <c r="AR24" s="11">
        <f>BDER!$C394/1000+ajustes!R14</f>
        <v>0</v>
      </c>
      <c r="AS24" s="219" t="str">
        <f t="shared" ref="AS24:AU24" si="215">IF(AR$5=0,"N.D.",AR24/AR$5)</f>
        <v>N.D.</v>
      </c>
      <c r="AT24" s="11">
        <f>SUM(AF24,AH24,AJ24,AL24,AN24,AP24,AR24)</f>
        <v>0</v>
      </c>
      <c r="AU24" s="219" t="str">
        <f t="shared" si="215"/>
        <v>N.D.</v>
      </c>
      <c r="AX24" s="7" t="s">
        <v>43</v>
      </c>
      <c r="AY24" s="34">
        <f>BDER!$C460/1000+ajustes!S14</f>
        <v>0</v>
      </c>
      <c r="AZ24" s="219" t="str">
        <f>IF(AY$5=0,"N.D.",AY24/AY$5)</f>
        <v>N.D.</v>
      </c>
      <c r="BA24" s="207">
        <f>BDER!$C438/1000+ajustes!T14</f>
        <v>0</v>
      </c>
      <c r="BB24" s="219" t="str">
        <f>IF(BA$5=0,"N.D.",BA24/BA$5)</f>
        <v>N.D.</v>
      </c>
      <c r="BC24" s="206">
        <f>SUM(AY24,BA24)</f>
        <v>0</v>
      </c>
      <c r="BD24" s="219" t="str">
        <f>IF(BC$5=0,"N.D.",BC24/BC$5)</f>
        <v>N.D.</v>
      </c>
      <c r="BE24" s="187"/>
      <c r="BG24" s="4" t="s">
        <v>178</v>
      </c>
      <c r="BH24" s="14">
        <f>BH13+BH11</f>
        <v>0</v>
      </c>
      <c r="BI24" s="22" t="str">
        <f>IF(BH$5=0,"N.D.",BH24/BH$5)</f>
        <v>N.D.</v>
      </c>
      <c r="BJ24" s="14">
        <f>BJ13+BJ11</f>
        <v>0</v>
      </c>
      <c r="BK24" s="22" t="str">
        <f>IF(BJ$5=0,"N.D.",BJ24/BJ$5)</f>
        <v>N.D.</v>
      </c>
      <c r="BL24" s="14">
        <f>BL13+BL11</f>
        <v>0</v>
      </c>
      <c r="BM24" s="22" t="str">
        <f>IF(BL$5=0,"N.D.",BL24/BL$5)</f>
        <v>N.D.</v>
      </c>
      <c r="BN24" s="14">
        <f>BN13+BN11</f>
        <v>0</v>
      </c>
      <c r="BO24" s="22" t="str">
        <f>IF(BN$5=0,"N.D.",BN24/BN$5)</f>
        <v>N.D.</v>
      </c>
      <c r="BP24" s="20">
        <f>BP13+BP11</f>
        <v>0</v>
      </c>
      <c r="BQ24" s="22" t="str">
        <f>IF(BP$5=0,"N.D.",BP24/BP$5)</f>
        <v>N.D.</v>
      </c>
      <c r="BU24" s="4" t="s">
        <v>178</v>
      </c>
      <c r="BV24" s="14">
        <f>BV13+BV11</f>
        <v>0</v>
      </c>
      <c r="BW24" s="22" t="str">
        <f t="shared" ref="BW24:BY24" si="216">IF(BV$5=0,"N.D.",BV24/BV$5)</f>
        <v>N.D.</v>
      </c>
      <c r="BX24" s="14">
        <f>BX13+BX11</f>
        <v>0</v>
      </c>
      <c r="BY24" s="22" t="str">
        <f t="shared" si="216"/>
        <v>N.D.</v>
      </c>
      <c r="BZ24" s="14">
        <f>BZ13+BZ11</f>
        <v>0</v>
      </c>
      <c r="CA24" s="22" t="str">
        <f t="shared" ref="CA24:CC24" si="217">IF(BZ$5=0,"N.D.",BZ24/BZ$5)</f>
        <v>N.D.</v>
      </c>
      <c r="CB24" s="14">
        <f>CB13+CB11</f>
        <v>0</v>
      </c>
      <c r="CC24" s="22" t="str">
        <f t="shared" si="217"/>
        <v>N.D.</v>
      </c>
      <c r="CD24" s="14">
        <f>CD13+CD11</f>
        <v>0</v>
      </c>
      <c r="CE24" s="22" t="str">
        <f t="shared" ref="CE24:CG24" si="218">IF(CD$5=0,"N.D.",CD24/CD$5)</f>
        <v>N.D.</v>
      </c>
      <c r="CF24" s="20">
        <f>CF13+CF11</f>
        <v>0</v>
      </c>
      <c r="CG24" s="22" t="str">
        <f t="shared" si="218"/>
        <v>N.D.</v>
      </c>
    </row>
    <row r="25" spans="1:85" x14ac:dyDescent="0.35">
      <c r="B25" s="4" t="s">
        <v>21</v>
      </c>
      <c r="C25" s="212">
        <f>C21-C23</f>
        <v>0</v>
      </c>
      <c r="D25" s="22" t="str">
        <f t="shared" si="94"/>
        <v>N.D.</v>
      </c>
      <c r="E25" s="200">
        <f>E21-E23</f>
        <v>0</v>
      </c>
      <c r="F25" s="22" t="str">
        <f t="shared" si="94"/>
        <v>N.D.</v>
      </c>
      <c r="G25" s="200">
        <f>G21-G23</f>
        <v>0</v>
      </c>
      <c r="H25" s="22" t="str">
        <f t="shared" ref="H25" si="219">IF(G$5=0,"N.D.",G25/G$5)</f>
        <v>N.D.</v>
      </c>
      <c r="I25" s="200">
        <f>I21-I23</f>
        <v>0</v>
      </c>
      <c r="J25" s="22" t="str">
        <f t="shared" ref="J25:L25" si="220">IF(I$5=0,"N.D.",I25/I$5)</f>
        <v>N.D.</v>
      </c>
      <c r="K25" s="210">
        <f>K21-K23</f>
        <v>0</v>
      </c>
      <c r="L25" s="22" t="str">
        <f t="shared" si="220"/>
        <v>N.D.</v>
      </c>
      <c r="N25" s="4" t="s">
        <v>21</v>
      </c>
      <c r="O25" s="216">
        <f>O21-O23</f>
        <v>0</v>
      </c>
      <c r="P25" s="22" t="str">
        <f t="shared" ref="P25:R25" si="221">IF(O$5=0,"N.D.",O25/O$5)</f>
        <v>N.D.</v>
      </c>
      <c r="Q25" s="208">
        <f>Q21-Q23</f>
        <v>0</v>
      </c>
      <c r="R25" s="22" t="str">
        <f t="shared" si="221"/>
        <v>N.D.</v>
      </c>
      <c r="S25" s="202">
        <f>S21-S23</f>
        <v>0</v>
      </c>
      <c r="T25" s="22" t="str">
        <f t="shared" ref="T25:V25" si="222">IF(S$5=0,"N.D.",S25/S$5)</f>
        <v>N.D.</v>
      </c>
      <c r="U25" s="208">
        <f>U21-U23</f>
        <v>0</v>
      </c>
      <c r="V25" s="22" t="str">
        <f t="shared" si="222"/>
        <v>N.D.</v>
      </c>
      <c r="W25" s="202">
        <f>W21-W23</f>
        <v>0</v>
      </c>
      <c r="X25" s="22" t="str">
        <f t="shared" ref="X25:Z25" si="223">IF(W$5=0,"N.D.",W25/W$5)</f>
        <v>N.D.</v>
      </c>
      <c r="Y25" s="208">
        <f>Y21-Y23</f>
        <v>0</v>
      </c>
      <c r="Z25" s="22" t="str">
        <f t="shared" si="223"/>
        <v>N.D.</v>
      </c>
      <c r="AA25" s="213">
        <f>AA21-AA23</f>
        <v>0</v>
      </c>
      <c r="AB25" s="22" t="str">
        <f t="shared" ref="AB25" si="224">IF(AA$5=0,"N.D.",AA25/AA$5)</f>
        <v>N.D.</v>
      </c>
      <c r="AC25" s="276"/>
      <c r="AE25" s="4" t="s">
        <v>21</v>
      </c>
      <c r="AF25" s="14">
        <f>AF21-AF23</f>
        <v>0</v>
      </c>
      <c r="AG25" s="22" t="str">
        <f t="shared" ref="AG25:AI25" si="225">IF(AF$5=0,"N.D.",AF25/AF$5)</f>
        <v>N.D.</v>
      </c>
      <c r="AH25" s="14">
        <f>AH21-AH23</f>
        <v>0</v>
      </c>
      <c r="AI25" s="22" t="str">
        <f t="shared" si="225"/>
        <v>N.D.</v>
      </c>
      <c r="AJ25" s="14">
        <f>AJ21-AJ23</f>
        <v>0</v>
      </c>
      <c r="AK25" s="22" t="str">
        <f t="shared" ref="AK25:AM25" si="226">IF(AJ$5=0,"N.D.",AJ25/AJ$5)</f>
        <v>N.D.</v>
      </c>
      <c r="AL25" s="14">
        <f>AL21-AL23</f>
        <v>0</v>
      </c>
      <c r="AM25" s="22" t="str">
        <f t="shared" si="226"/>
        <v>N.D.</v>
      </c>
      <c r="AN25" s="14">
        <f>AN21-AN23</f>
        <v>0</v>
      </c>
      <c r="AO25" s="22" t="str">
        <f t="shared" ref="AO25:AQ25" si="227">IF(AN$5=0,"N.D.",AN25/AN$5)</f>
        <v>N.D.</v>
      </c>
      <c r="AP25" s="14">
        <f>AP21-AP23</f>
        <v>0</v>
      </c>
      <c r="AQ25" s="22" t="str">
        <f t="shared" si="227"/>
        <v>N.D.</v>
      </c>
      <c r="AR25" s="14">
        <f>AR21-AR23</f>
        <v>0</v>
      </c>
      <c r="AS25" s="22" t="str">
        <f t="shared" ref="AS25:AU25" si="228">IF(AR$5=0,"N.D.",AR25/AR$5)</f>
        <v>N.D.</v>
      </c>
      <c r="AT25" s="14">
        <f>AT21-AT23</f>
        <v>0</v>
      </c>
      <c r="AU25" s="22" t="str">
        <f t="shared" si="228"/>
        <v>N.D.</v>
      </c>
      <c r="AX25" s="4" t="s">
        <v>21</v>
      </c>
      <c r="AY25" s="208">
        <f>AY21-AY23</f>
        <v>0</v>
      </c>
      <c r="AZ25" s="22" t="str">
        <f>IF(AY$5=0,"N.D.",AY25/AY$5)</f>
        <v>N.D.</v>
      </c>
      <c r="BA25" s="208">
        <f>BA21-BA23</f>
        <v>0</v>
      </c>
      <c r="BB25" s="22" t="str">
        <f>IF(BA$5=0,"N.D.",BA25/BA$5)</f>
        <v>N.D.</v>
      </c>
      <c r="BC25" s="14">
        <f>BC21-BC23</f>
        <v>0</v>
      </c>
      <c r="BD25" s="22" t="str">
        <f>IF(BC$5=0,"N.D.",BC25/BC$5)</f>
        <v>N.D.</v>
      </c>
      <c r="BE25" s="221"/>
    </row>
    <row r="26" spans="1:85" x14ac:dyDescent="0.35">
      <c r="B26" s="4" t="s">
        <v>22</v>
      </c>
      <c r="C26" s="215">
        <f>C13+C11</f>
        <v>0</v>
      </c>
      <c r="D26" s="22" t="str">
        <f t="shared" si="94"/>
        <v>N.D.</v>
      </c>
      <c r="E26" s="14">
        <f>E13+E11</f>
        <v>0</v>
      </c>
      <c r="F26" s="22" t="str">
        <f t="shared" si="94"/>
        <v>N.D.</v>
      </c>
      <c r="G26" s="14">
        <f>G13+G11</f>
        <v>0</v>
      </c>
      <c r="H26" s="22" t="str">
        <f t="shared" ref="H26" si="229">IF(G$5=0,"N.D.",G26/G$5)</f>
        <v>N.D.</v>
      </c>
      <c r="I26" s="14">
        <f>I13+I11</f>
        <v>0</v>
      </c>
      <c r="J26" s="22" t="str">
        <f t="shared" ref="J26:L26" si="230">IF(I$5=0,"N.D.",I26/I$5)</f>
        <v>N.D.</v>
      </c>
      <c r="K26" s="214">
        <f>K13+K11</f>
        <v>0</v>
      </c>
      <c r="L26" s="22" t="str">
        <f t="shared" si="230"/>
        <v>N.D.</v>
      </c>
      <c r="N26" s="4" t="s">
        <v>22</v>
      </c>
      <c r="O26" s="215">
        <f>O13+O11</f>
        <v>0</v>
      </c>
      <c r="P26" s="22" t="str">
        <f t="shared" ref="P26:R26" si="231">IF(O$5=0,"N.D.",O26/O$5)</f>
        <v>N.D.</v>
      </c>
      <c r="Q26" s="14">
        <f>Q13+Q11</f>
        <v>0</v>
      </c>
      <c r="R26" s="22" t="str">
        <f t="shared" si="231"/>
        <v>N.D.</v>
      </c>
      <c r="S26" s="31">
        <f>S13+S11</f>
        <v>0</v>
      </c>
      <c r="T26" s="22" t="str">
        <f t="shared" ref="T26:V26" si="232">IF(S$5=0,"N.D.",S26/S$5)</f>
        <v>N.D.</v>
      </c>
      <c r="U26" s="14">
        <f>U13+U11</f>
        <v>0</v>
      </c>
      <c r="V26" s="22" t="str">
        <f t="shared" si="232"/>
        <v>N.D.</v>
      </c>
      <c r="W26" s="31">
        <f>W13+W11</f>
        <v>0</v>
      </c>
      <c r="X26" s="22" t="str">
        <f t="shared" ref="X26:Z26" si="233">IF(W$5=0,"N.D.",W26/W$5)</f>
        <v>N.D.</v>
      </c>
      <c r="Y26" s="14">
        <f>Y13+Y11</f>
        <v>0</v>
      </c>
      <c r="Z26" s="22" t="str">
        <f t="shared" si="233"/>
        <v>N.D.</v>
      </c>
      <c r="AA26" s="214">
        <f>AA13+AA11</f>
        <v>0</v>
      </c>
      <c r="AB26" s="22" t="str">
        <f t="shared" ref="AB26" si="234">IF(AA$5=0,"N.D.",AA26/AA$5)</f>
        <v>N.D.</v>
      </c>
      <c r="AC26" s="276"/>
      <c r="AE26" s="4" t="s">
        <v>22</v>
      </c>
      <c r="AF26" s="20">
        <f>AF13+AF11</f>
        <v>0</v>
      </c>
      <c r="AG26" s="22" t="str">
        <f t="shared" ref="AG26:AI26" si="235">IF(AF$5=0,"N.D.",AF26/AF$5)</f>
        <v>N.D.</v>
      </c>
      <c r="AH26" s="20">
        <f>AH13+AH11</f>
        <v>0</v>
      </c>
      <c r="AI26" s="22" t="str">
        <f t="shared" si="235"/>
        <v>N.D.</v>
      </c>
      <c r="AJ26" s="20">
        <f>AJ13+AJ11</f>
        <v>0</v>
      </c>
      <c r="AK26" s="22" t="str">
        <f t="shared" ref="AK26:AM26" si="236">IF(AJ$5=0,"N.D.",AJ26/AJ$5)</f>
        <v>N.D.</v>
      </c>
      <c r="AL26" s="20">
        <f>AL13+AL11</f>
        <v>0</v>
      </c>
      <c r="AM26" s="22" t="str">
        <f t="shared" si="236"/>
        <v>N.D.</v>
      </c>
      <c r="AN26" s="20">
        <f>AN13+AN11</f>
        <v>0</v>
      </c>
      <c r="AO26" s="22" t="str">
        <f t="shared" ref="AO26:AQ26" si="237">IF(AN$5=0,"N.D.",AN26/AN$5)</f>
        <v>N.D.</v>
      </c>
      <c r="AP26" s="20">
        <f>AP13+AP11</f>
        <v>0</v>
      </c>
      <c r="AQ26" s="22" t="str">
        <f t="shared" si="237"/>
        <v>N.D.</v>
      </c>
      <c r="AR26" s="20">
        <f>AR13+AR11</f>
        <v>0</v>
      </c>
      <c r="AS26" s="22" t="str">
        <f t="shared" ref="AS26:AU26" si="238">IF(AR$5=0,"N.D.",AR26/AR$5)</f>
        <v>N.D.</v>
      </c>
      <c r="AT26" s="20">
        <f>AT13+AT11</f>
        <v>0</v>
      </c>
      <c r="AU26" s="22" t="str">
        <f t="shared" si="238"/>
        <v>N.D.</v>
      </c>
      <c r="AX26" s="4" t="s">
        <v>22</v>
      </c>
      <c r="AY26" s="14">
        <f>AY13+AY11</f>
        <v>0</v>
      </c>
      <c r="AZ26" s="22" t="str">
        <f>IF(AY$5=0,"N.D.",AY26/AY$5)</f>
        <v>N.D.</v>
      </c>
      <c r="BA26" s="14">
        <f>BA13+BA11</f>
        <v>0</v>
      </c>
      <c r="BB26" s="22" t="str">
        <f>IF(BA$5=0,"N.D.",BA26/BA$5)</f>
        <v>N.D.</v>
      </c>
      <c r="BC26" s="20">
        <f>BC13+BC11</f>
        <v>0</v>
      </c>
      <c r="BD26" s="22" t="str">
        <f>IF(BC$5=0,"N.D.",BC26/BC$5)</f>
        <v>N.D.</v>
      </c>
      <c r="BE26" s="221"/>
    </row>
    <row r="29" spans="1:85" x14ac:dyDescent="0.35">
      <c r="A29" t="s">
        <v>192</v>
      </c>
      <c r="B29" t="s">
        <v>136</v>
      </c>
      <c r="AE29" t="s">
        <v>151</v>
      </c>
    </row>
    <row r="30" spans="1:85" x14ac:dyDescent="0.35">
      <c r="B30" s="26"/>
      <c r="C30" s="2" t="s">
        <v>137</v>
      </c>
      <c r="D30" s="2"/>
      <c r="E30" s="2" t="s">
        <v>138</v>
      </c>
      <c r="F30" s="2"/>
      <c r="G30" s="2" t="s">
        <v>139</v>
      </c>
      <c r="H30" s="2"/>
      <c r="I30" s="2" t="s">
        <v>140</v>
      </c>
      <c r="J30" s="2"/>
      <c r="K30" s="2" t="s">
        <v>141</v>
      </c>
      <c r="L30" s="2"/>
      <c r="N30" t="s">
        <v>143</v>
      </c>
      <c r="P30" s="2"/>
      <c r="R30" s="2"/>
      <c r="T30" s="2"/>
      <c r="V30" s="2"/>
      <c r="X30" s="2"/>
      <c r="Z30" s="2"/>
      <c r="AB30" s="2"/>
      <c r="AC30" s="278"/>
      <c r="AE30" s="26"/>
      <c r="AF30" s="2" t="s">
        <v>153</v>
      </c>
      <c r="AG30" s="2"/>
      <c r="AH30" s="2" t="s">
        <v>154</v>
      </c>
      <c r="AI30" s="2"/>
      <c r="AJ30" s="2" t="s">
        <v>155</v>
      </c>
      <c r="AK30" s="2"/>
      <c r="AL30" s="2" t="s">
        <v>156</v>
      </c>
      <c r="AM30" s="2"/>
      <c r="AN30" s="2" t="s">
        <v>157</v>
      </c>
      <c r="AO30" s="2"/>
      <c r="AP30" s="2" t="s">
        <v>158</v>
      </c>
      <c r="AQ30" s="2"/>
      <c r="AR30" s="2" t="s">
        <v>159</v>
      </c>
      <c r="AS30" s="2"/>
      <c r="AT30" s="2" t="s">
        <v>141</v>
      </c>
      <c r="AU30" s="2"/>
      <c r="AX30" t="s">
        <v>160</v>
      </c>
      <c r="AZ30" s="2"/>
      <c r="BB30" s="2"/>
      <c r="BD30" s="2"/>
      <c r="BE30" s="2"/>
      <c r="BG30" t="s">
        <v>185</v>
      </c>
      <c r="BI30" s="2"/>
      <c r="BK30" s="2"/>
      <c r="BM30" s="2"/>
      <c r="BO30" s="2"/>
      <c r="BQ30" s="2"/>
      <c r="BS30" s="2"/>
      <c r="BU30" t="s">
        <v>186</v>
      </c>
      <c r="BW30" s="2"/>
      <c r="BY30" s="2"/>
      <c r="CA30" s="2"/>
      <c r="CC30" s="2"/>
      <c r="CE30" s="2"/>
      <c r="CG30" s="2"/>
    </row>
    <row r="31" spans="1:85" x14ac:dyDescent="0.35">
      <c r="B31" s="7" t="s">
        <v>142</v>
      </c>
      <c r="C31" s="8">
        <f>ajustes!B17</f>
        <v>0</v>
      </c>
      <c r="D31" s="203"/>
      <c r="E31" s="8">
        <f>+ajustes!C17</f>
        <v>0</v>
      </c>
      <c r="F31" s="203"/>
      <c r="G31" s="8">
        <f>+ajustes!D17</f>
        <v>0</v>
      </c>
      <c r="H31" s="203"/>
      <c r="I31" s="8">
        <f>+ajustes!E17</f>
        <v>0</v>
      </c>
      <c r="J31" s="203"/>
      <c r="K31" s="8">
        <f>SUM(C31,E31,G31,I31)</f>
        <v>0</v>
      </c>
      <c r="L31" s="203"/>
      <c r="N31" s="26"/>
      <c r="O31" s="2" t="s">
        <v>145</v>
      </c>
      <c r="P31" s="30"/>
      <c r="Q31" s="2" t="s">
        <v>146</v>
      </c>
      <c r="R31" s="30"/>
      <c r="S31" s="2" t="s">
        <v>147</v>
      </c>
      <c r="T31" s="30"/>
      <c r="U31" s="2" t="s">
        <v>148</v>
      </c>
      <c r="V31" s="30"/>
      <c r="W31" s="2" t="s">
        <v>149</v>
      </c>
      <c r="X31" s="30"/>
      <c r="Y31" s="2" t="s">
        <v>150</v>
      </c>
      <c r="Z31" s="30"/>
      <c r="AA31" s="2" t="s">
        <v>141</v>
      </c>
      <c r="AB31" s="30"/>
      <c r="AC31" s="275"/>
      <c r="AE31" s="7" t="s">
        <v>152</v>
      </c>
      <c r="AF31" s="203">
        <f>+ajustes!L17</f>
        <v>0</v>
      </c>
      <c r="AG31" s="203"/>
      <c r="AH31" s="203">
        <f>+ajustes!M17</f>
        <v>0</v>
      </c>
      <c r="AI31" s="203"/>
      <c r="AJ31" s="203">
        <f>+ajustes!N17</f>
        <v>0</v>
      </c>
      <c r="AK31" s="203"/>
      <c r="AL31" s="203">
        <f>+ajustes!O17</f>
        <v>0</v>
      </c>
      <c r="AM31" s="203"/>
      <c r="AN31" s="203">
        <f>ajustes!P17</f>
        <v>0</v>
      </c>
      <c r="AO31" s="203"/>
      <c r="AP31" s="203">
        <f>+ajustes!Q17</f>
        <v>0</v>
      </c>
      <c r="AQ31" s="203"/>
      <c r="AR31" s="203">
        <f>+ajustes!R17</f>
        <v>0</v>
      </c>
      <c r="AS31" s="203"/>
      <c r="AT31" s="203">
        <f>SUM(AF31,AH31,AJ31,AL31,AN31,AP31,AR31)</f>
        <v>0</v>
      </c>
      <c r="AU31" s="203"/>
      <c r="AX31" s="26"/>
      <c r="AY31" s="2" t="s">
        <v>161</v>
      </c>
      <c r="AZ31" s="30"/>
      <c r="BA31" s="2" t="s">
        <v>162</v>
      </c>
      <c r="BB31" s="30"/>
      <c r="BC31" s="2" t="s">
        <v>141</v>
      </c>
      <c r="BD31" s="30"/>
      <c r="BE31" s="30"/>
      <c r="BG31" s="26"/>
      <c r="BH31" s="2" t="s">
        <v>180</v>
      </c>
      <c r="BI31" s="30"/>
      <c r="BJ31" s="2" t="s">
        <v>181</v>
      </c>
      <c r="BK31" s="30"/>
      <c r="BL31" s="2" t="s">
        <v>182</v>
      </c>
      <c r="BM31" s="30"/>
      <c r="BN31" s="2" t="s">
        <v>183</v>
      </c>
      <c r="BO31" s="30"/>
      <c r="BP31" s="2" t="s">
        <v>184</v>
      </c>
      <c r="BQ31" s="30"/>
      <c r="BR31" s="2" t="s">
        <v>141</v>
      </c>
      <c r="BS31" s="30"/>
      <c r="BU31" s="26"/>
      <c r="BV31" s="2" t="s">
        <v>187</v>
      </c>
      <c r="BW31" s="30"/>
      <c r="BX31" s="2" t="s">
        <v>188</v>
      </c>
      <c r="BY31" s="30"/>
      <c r="BZ31" s="2" t="s">
        <v>189</v>
      </c>
      <c r="CA31" s="30"/>
      <c r="CB31" s="2" t="s">
        <v>190</v>
      </c>
      <c r="CC31" s="30"/>
      <c r="CD31" s="2" t="s">
        <v>191</v>
      </c>
      <c r="CE31" s="30"/>
      <c r="CF31" s="2" t="s">
        <v>141</v>
      </c>
      <c r="CG31" s="30"/>
    </row>
    <row r="32" spans="1:85" x14ac:dyDescent="0.35">
      <c r="B32" s="7" t="s">
        <v>5</v>
      </c>
      <c r="C32" s="194">
        <f>BDER!$D158/1000+BDER!D169/1000+ajustes!B18</f>
        <v>0</v>
      </c>
      <c r="D32" s="219" t="str">
        <f>IF(C$32=0,"N.D.",C32/C$32)</f>
        <v>N.D.</v>
      </c>
      <c r="E32" s="8">
        <f>BDER!$D136/1000+ajustes!C18</f>
        <v>0</v>
      </c>
      <c r="F32" s="219" t="str">
        <f>IF(E$32=0,"N.D.",E32/E$32)</f>
        <v>N.D.</v>
      </c>
      <c r="G32" s="195">
        <f>BDER!$D202/1000+ajustes!D18</f>
        <v>0</v>
      </c>
      <c r="H32" s="219" t="str">
        <f>IF(G$32=0,"N.D.",G32/G$32)</f>
        <v>N.D.</v>
      </c>
      <c r="I32" s="8">
        <f>BDER!$D180/1000+ajustes!E18</f>
        <v>0</v>
      </c>
      <c r="J32" s="219" t="str">
        <f>IF(I$32=0,"N.D.",I32/I$32)</f>
        <v>N.D.</v>
      </c>
      <c r="K32" s="204">
        <f>SUM(C32,E32,G32,I32)</f>
        <v>0</v>
      </c>
      <c r="L32" s="219" t="str">
        <f>IF(K$32=0,"N.D.",K32/K$32)</f>
        <v>N.D.</v>
      </c>
      <c r="N32" s="7" t="s">
        <v>5</v>
      </c>
      <c r="O32" s="194">
        <f>BDER!$D4/1000+ajustes!F18</f>
        <v>0</v>
      </c>
      <c r="P32" s="220" t="str">
        <f>IF(O$32=0,"N.D.",O32/O$32)</f>
        <v>N.D.</v>
      </c>
      <c r="Q32" s="8">
        <f>BDER!$D26/1000+ajustes!G18</f>
        <v>0</v>
      </c>
      <c r="R32" s="220" t="str">
        <f>IF(Q$32=0,"N.D.",Q32/Q$32)</f>
        <v>N.D.</v>
      </c>
      <c r="S32" s="195">
        <f>BDER!$D48/1000+ajustes!H18</f>
        <v>0</v>
      </c>
      <c r="T32" s="220" t="str">
        <f>IF(S$32=0,"N.D.",S32/S$32)</f>
        <v>N.D.</v>
      </c>
      <c r="U32" s="8">
        <f>BDER!$D70/1000+ajustes!I18</f>
        <v>0</v>
      </c>
      <c r="V32" s="220" t="str">
        <f>IF(U$32=0,"N.D.",U32/U$32)</f>
        <v>N.D.</v>
      </c>
      <c r="W32" s="195">
        <f>BDER!$D92/1000+ajustes!J18</f>
        <v>0</v>
      </c>
      <c r="X32" s="220" t="str">
        <f>IF(W$32=0,"N.D.",W32/W$32)</f>
        <v>N.D.</v>
      </c>
      <c r="Y32" s="194">
        <f>BDER!$D114/1000+ajustes!K18</f>
        <v>0</v>
      </c>
      <c r="Z32" s="220" t="str">
        <f>IF(Y$32=0,"N.D.",Y32/Y$32)</f>
        <v>N.D.</v>
      </c>
      <c r="AA32" s="8">
        <f>SUM(O32,Q32,S32,U32,W32,Y32)-AC32</f>
        <v>0</v>
      </c>
      <c r="AB32" s="220" t="str">
        <f>IF(AA$32=0,"N.D.",AA32/AA$32)</f>
        <v>N.D.</v>
      </c>
      <c r="AC32" s="276">
        <f>(ELIM!D2+ELIM!D4+ELIM!D6+ELIM!D8+ELIM!D10)/1000</f>
        <v>0</v>
      </c>
      <c r="AE32" s="7" t="s">
        <v>5</v>
      </c>
      <c r="AF32" s="11">
        <f>BDER!$D288/1000+ajustes!L18+ajustes!L30</f>
        <v>0</v>
      </c>
      <c r="AG32" s="219" t="str">
        <f>IF(AF$32=0,"N.D.",AF32/AF$32)</f>
        <v>N.D.</v>
      </c>
      <c r="AH32" s="11">
        <f>BDER!$D310/1000+ajustes!M18+ajustes!M30</f>
        <v>0</v>
      </c>
      <c r="AI32" s="219" t="str">
        <f>IF(AH$32=0,"N.D.",AH32/AH$32)</f>
        <v>N.D.</v>
      </c>
      <c r="AJ32" s="11">
        <f>BDER!$D354/1000+ajustes!N18+ajustes!N30</f>
        <v>0</v>
      </c>
      <c r="AK32" s="219" t="str">
        <f>IF(AJ$32=0,"N.D.",AJ32/AJ$32)</f>
        <v>N.D.</v>
      </c>
      <c r="AL32" s="11">
        <f>BDER!$D332/2000+ajustes!O18+ajustes!O30</f>
        <v>0</v>
      </c>
      <c r="AM32" s="219" t="str">
        <f>IF(AL$32=0,"N.D.",AL32/AL$32)</f>
        <v>N.D.</v>
      </c>
      <c r="AN32" s="11">
        <f>ajustes!P18</f>
        <v>0</v>
      </c>
      <c r="AO32" s="219" t="str">
        <f>IF(AN$32=0,"N.D.",AN32/AN$32)</f>
        <v>N.D.</v>
      </c>
      <c r="AP32" s="11">
        <f>BDER!$D400/1000+ajustes!Q18+ajustes!Q30</f>
        <v>0</v>
      </c>
      <c r="AQ32" s="219" t="str">
        <f>IF(AP$32=0,"N.D.",AP32/AP$32)</f>
        <v>N.D.</v>
      </c>
      <c r="AR32" s="11">
        <f>BDER!$D376/1000+ajustes!R18</f>
        <v>0</v>
      </c>
      <c r="AS32" s="219" t="str">
        <f>IF(AR$32=0,"N.D.",AR32/AR$32)</f>
        <v>N.D.</v>
      </c>
      <c r="AT32" s="11">
        <f>SUM(AF32,AH32,AJ32,AL32,AP32,AR32,AN32)</f>
        <v>0</v>
      </c>
      <c r="AU32" s="219" t="str">
        <f>IF(AT$32=0,"N.D.",AT32/AT$32)</f>
        <v>N.D.</v>
      </c>
      <c r="AX32" s="7" t="s">
        <v>5</v>
      </c>
      <c r="AY32" s="8">
        <f>BDER!$D444/1000+ajustes!S18</f>
        <v>0</v>
      </c>
      <c r="AZ32" s="220" t="str">
        <f>IF(AY$32=0,"N.D.",AY32/AY$32)</f>
        <v>N.D.</v>
      </c>
      <c r="BA32" s="195">
        <f>BDER!$D422/1000+ajustes!T18</f>
        <v>0</v>
      </c>
      <c r="BB32" s="220" t="str">
        <f>IF(BA$32=0,"N.D.",BA32/BA$32)</f>
        <v>N.D.</v>
      </c>
      <c r="BC32" s="8">
        <f>SUM(AY32,BA32)</f>
        <v>0</v>
      </c>
      <c r="BD32" s="220" t="str">
        <f>IF(BC$32=0,"N.D.",BC32/BC$32)</f>
        <v>N.D.</v>
      </c>
      <c r="BE32" s="187"/>
      <c r="BG32" s="7" t="s">
        <v>163</v>
      </c>
      <c r="BH32" s="194">
        <f>BDER!$D$668/1000+ajustes!U18</f>
        <v>0</v>
      </c>
      <c r="BI32" s="220" t="str">
        <f>IF(BH$32=0,"N.D.",BH32/BH$32)</f>
        <v>N.D.</v>
      </c>
      <c r="BJ32" s="194">
        <f>BDER!$D466/1000+ajustes!V18</f>
        <v>0</v>
      </c>
      <c r="BK32" s="220" t="str">
        <f>IF(BJ$32=0,"N.D.",BJ32/BJ$32)</f>
        <v>N.D.</v>
      </c>
      <c r="BL32" s="8">
        <f>BDER!$D489/1000+ajustes!W18</f>
        <v>0</v>
      </c>
      <c r="BM32" s="220" t="str">
        <f>IF(BL$32=0,"N.D.",BL32/BL$32)</f>
        <v>N.D.</v>
      </c>
      <c r="BN32" s="195">
        <f>BDER!$D556/1000+ajustes!X18</f>
        <v>0</v>
      </c>
      <c r="BO32" s="220" t="str">
        <f>IF(BN$32=0,"N.D.",BN32/BN$32)</f>
        <v>N.D.</v>
      </c>
      <c r="BP32" s="8">
        <f>BDER!$D601/1000+ajustes!Y18</f>
        <v>0</v>
      </c>
      <c r="BQ32" s="220" t="str">
        <f>IF(BP$32=0,"N.D.",BP32/BP$32)</f>
        <v>N.D.</v>
      </c>
      <c r="BR32" s="204">
        <f>SUM(BJ32,BL32,BN32,BP32)+BH32</f>
        <v>0</v>
      </c>
      <c r="BS32" s="220" t="str">
        <f>IF(BR$32=0,"N.D.",BR32/BR$32)</f>
        <v>N.D.</v>
      </c>
      <c r="BU32" s="7" t="s">
        <v>163</v>
      </c>
      <c r="BV32" s="194">
        <f>BDER!$D512/1000+ajustes!Z18</f>
        <v>0</v>
      </c>
      <c r="BW32" s="220" t="str">
        <f>IF(BV$32=0,"N.D.",BV32/BV$32)</f>
        <v>N.D.</v>
      </c>
      <c r="BX32" s="8">
        <f>BDER!$D579/1000+ajustes!AA18</f>
        <v>0</v>
      </c>
      <c r="BY32" s="220" t="str">
        <f>IF(BX$32=0,"N.D.",BX32/BX$32)</f>
        <v>N.D.</v>
      </c>
      <c r="BZ32" s="195">
        <f>BDER!$D624/1000+ajustes!AB18</f>
        <v>0</v>
      </c>
      <c r="CA32" s="220" t="str">
        <f>IF(BZ$32=0,"N.D.",BZ32/BZ$32)</f>
        <v>N.D.</v>
      </c>
      <c r="CB32" s="8">
        <f>BDER!$D534/1000+ajustes!AC18</f>
        <v>0</v>
      </c>
      <c r="CC32" s="220" t="str">
        <f>IF(CB$32=0,"N.D.",CB32/CB$32)</f>
        <v>N.D.</v>
      </c>
      <c r="CD32" s="204">
        <f>BDER!$D646/1000+ajustes!AD18</f>
        <v>0</v>
      </c>
      <c r="CE32" s="220" t="str">
        <f>IF(CD$32=0,"N.D.",CD32/CD$32)</f>
        <v>N.D.</v>
      </c>
      <c r="CF32" s="204">
        <f>SUM(BV32,BX32,BZ32,CB32,CD32)</f>
        <v>0</v>
      </c>
      <c r="CG32" s="220" t="str">
        <f>IF(CF$32=0,"N.D.",CF32/CF$32)</f>
        <v>N.D.</v>
      </c>
    </row>
    <row r="33" spans="2:85" x14ac:dyDescent="0.35">
      <c r="B33" s="7" t="s">
        <v>6</v>
      </c>
      <c r="C33" s="196">
        <f>BDER!$D159/1000+ajustes!B19</f>
        <v>0</v>
      </c>
      <c r="D33" s="219" t="str">
        <f t="shared" ref="D33:F34" si="239">IF(C$32=0,"N.D.",C33/C$32)</f>
        <v>N.D.</v>
      </c>
      <c r="E33" s="34">
        <f>BDER!$D137/1000+ajustes!C19</f>
        <v>0</v>
      </c>
      <c r="F33" s="219" t="str">
        <f t="shared" si="239"/>
        <v>N.D.</v>
      </c>
      <c r="G33" s="197">
        <f>BDER!$D203/1000+ajustes!D19</f>
        <v>0</v>
      </c>
      <c r="H33" s="219" t="str">
        <f t="shared" ref="H33" si="240">IF(G$32=0,"N.D.",G33/G$32)</f>
        <v>N.D.</v>
      </c>
      <c r="I33" s="34">
        <f>BDER!$D181/1000+ajustes!E19</f>
        <v>0</v>
      </c>
      <c r="J33" s="219" t="str">
        <f t="shared" ref="J33:L33" si="241">IF(I$32=0,"N.D.",I33/I$32)</f>
        <v>N.D.</v>
      </c>
      <c r="K33" s="207">
        <f>SUM(C33,E33,G33,I33)</f>
        <v>0</v>
      </c>
      <c r="L33" s="219" t="str">
        <f t="shared" si="241"/>
        <v>N.D.</v>
      </c>
      <c r="N33" s="7" t="s">
        <v>6</v>
      </c>
      <c r="O33" s="196">
        <f>BDER!$D5/1000+ajustes!F19</f>
        <v>0</v>
      </c>
      <c r="P33" s="219" t="str">
        <f t="shared" ref="P33:R33" si="242">IF(O$32=0,"N.D.",O33/O$32)</f>
        <v>N.D.</v>
      </c>
      <c r="Q33" s="34">
        <f>BDER!$D27/1000+ajustes!G19</f>
        <v>0</v>
      </c>
      <c r="R33" s="219" t="str">
        <f t="shared" si="242"/>
        <v>N.D.</v>
      </c>
      <c r="S33" s="197">
        <f>BDER!$D49/1000+ajustes!H19</f>
        <v>0</v>
      </c>
      <c r="T33" s="219" t="str">
        <f t="shared" ref="T33:V33" si="243">IF(S$32=0,"N.D.",S33/S$32)</f>
        <v>N.D.</v>
      </c>
      <c r="U33" s="34">
        <f>BDER!$D71/1000+ajustes!I19</f>
        <v>0</v>
      </c>
      <c r="V33" s="219" t="str">
        <f t="shared" si="243"/>
        <v>N.D.</v>
      </c>
      <c r="W33" s="197">
        <f>BDER!$D93/1000+ajustes!J19</f>
        <v>0</v>
      </c>
      <c r="X33" s="219" t="str">
        <f t="shared" ref="X33:Z33" si="244">IF(W$32=0,"N.D.",W33/W$32)</f>
        <v>N.D.</v>
      </c>
      <c r="Y33" s="196">
        <f>BDER!$D115/1000+ajustes!K19</f>
        <v>0</v>
      </c>
      <c r="Z33" s="219" t="str">
        <f t="shared" si="244"/>
        <v>N.D.</v>
      </c>
      <c r="AA33" s="34">
        <f>SUM(O33,Q33,S33,U33,W33,Y33)-AC33</f>
        <v>0</v>
      </c>
      <c r="AB33" s="219" t="str">
        <f t="shared" ref="AB33" si="245">IF(AA$32=0,"N.D.",AA33/AA$32)</f>
        <v>N.D.</v>
      </c>
      <c r="AC33" s="276">
        <f>ELIM!D4/1000</f>
        <v>0</v>
      </c>
      <c r="AE33" s="7" t="s">
        <v>6</v>
      </c>
      <c r="AF33" s="34">
        <f>BDER!$D291/1000+ajustes!L19</f>
        <v>0</v>
      </c>
      <c r="AG33" s="219" t="str">
        <f>IF(AF$32=0,"N.D.",AF33/AF$32)</f>
        <v>N.D.</v>
      </c>
      <c r="AH33" s="34">
        <f>BDER!$D313/1000+ajustes!M19</f>
        <v>0</v>
      </c>
      <c r="AI33" s="219" t="str">
        <f>IF(AH$32=0,"N.D.",AH33/AH$32)</f>
        <v>N.D.</v>
      </c>
      <c r="AJ33" s="34">
        <f>BDER!$D357/1000+ajustes!N19</f>
        <v>0</v>
      </c>
      <c r="AK33" s="219" t="str">
        <f>IF(AJ$32=0,"N.D.",AJ33/AJ$32)</f>
        <v>N.D.</v>
      </c>
      <c r="AL33" s="34">
        <f>BDER!$D335/2000+ajustes!O19</f>
        <v>0</v>
      </c>
      <c r="AM33" s="219" t="str">
        <f>IF(AL$32=0,"N.D.",AL33/AL$32)</f>
        <v>N.D.</v>
      </c>
      <c r="AN33" s="34">
        <f>ajustes!P19</f>
        <v>0</v>
      </c>
      <c r="AO33" s="219" t="str">
        <f>IF(AN$32=0,"N.D.",AN33/AN$32)</f>
        <v>N.D.</v>
      </c>
      <c r="AP33" s="34">
        <f>BDER!$D401/1000+ajustes!Q19</f>
        <v>0</v>
      </c>
      <c r="AQ33" s="219" t="str">
        <f>IF(AP$32=0,"N.D.",AP33/AP$32)</f>
        <v>N.D.</v>
      </c>
      <c r="AR33" s="34">
        <f>BDER!$D379/1000+ajustes!R19</f>
        <v>0</v>
      </c>
      <c r="AS33" s="219" t="str">
        <f>IF(AR$32=0,"N.D.",AR33/AR$32)</f>
        <v>N.D.</v>
      </c>
      <c r="AT33" s="34">
        <f>SUM(AF33,AH33,AJ33,AL33,AP33,AR33,AN33)</f>
        <v>0</v>
      </c>
      <c r="AU33" s="219" t="str">
        <f>IF(AT$32=0,"N.D.",AT33/AT$32)</f>
        <v>N.D.</v>
      </c>
      <c r="AX33" s="7" t="s">
        <v>6</v>
      </c>
      <c r="AY33" s="34">
        <f>BDER!$D445/1000+ajustes!S19</f>
        <v>0</v>
      </c>
      <c r="AZ33" s="219" t="str">
        <f>IF(AY$32=0,"N.D.",AY33/AY$32)</f>
        <v>N.D.</v>
      </c>
      <c r="BA33" s="197">
        <f>BDER!$D423/1000+ajustes!T19</f>
        <v>0</v>
      </c>
      <c r="BB33" s="219" t="str">
        <f>IF(BA$32=0,"N.D.",BA33/BA$32)</f>
        <v>N.D.</v>
      </c>
      <c r="BC33" s="34">
        <f>SUM(AY33,BA33)</f>
        <v>0</v>
      </c>
      <c r="BD33" s="219" t="str">
        <f>IF(BC$32=0,"N.D.",BC33/BC$32)</f>
        <v>N.D.</v>
      </c>
      <c r="BE33" s="187"/>
      <c r="BG33" s="7" t="s">
        <v>164</v>
      </c>
      <c r="BH33" s="196">
        <f>BDER!$D$669/1000+ajustes!U19</f>
        <v>0</v>
      </c>
      <c r="BI33" s="219" t="str">
        <f t="shared" ref="BI33:BK34" si="246">IF(BH$32=0,"N.D.",BH33/BH$32)</f>
        <v>N.D.</v>
      </c>
      <c r="BJ33" s="196">
        <f>BDER!$D467/1000+ajustes!V19</f>
        <v>0</v>
      </c>
      <c r="BK33" s="219" t="str">
        <f t="shared" si="246"/>
        <v>N.D.</v>
      </c>
      <c r="BL33" s="34">
        <f>BDER!$D490/1000+ajustes!W19</f>
        <v>0</v>
      </c>
      <c r="BM33" s="219" t="str">
        <f t="shared" ref="BM33:BO33" si="247">IF(BL$32=0,"N.D.",BL33/BL$32)</f>
        <v>N.D.</v>
      </c>
      <c r="BN33" s="197">
        <f>BDER!$D557/1000+ajustes!X19</f>
        <v>0</v>
      </c>
      <c r="BO33" s="219" t="str">
        <f t="shared" si="247"/>
        <v>N.D.</v>
      </c>
      <c r="BP33" s="34">
        <f>BDER!$D602/1000+ajustes!Y19</f>
        <v>0</v>
      </c>
      <c r="BQ33" s="219" t="str">
        <f t="shared" ref="BQ33:BS33" si="248">IF(BP$32=0,"N.D.",BP33/BP$32)</f>
        <v>N.D.</v>
      </c>
      <c r="BR33" s="207">
        <f>SUM(BJ33,BL33,BN33,BP33)+BH33</f>
        <v>0</v>
      </c>
      <c r="BS33" s="219" t="str">
        <f t="shared" si="248"/>
        <v>N.D.</v>
      </c>
      <c r="BU33" s="7" t="s">
        <v>164</v>
      </c>
      <c r="BV33" s="196">
        <f>BDER!$D513/1000+ajustes!Z19</f>
        <v>0</v>
      </c>
      <c r="BW33" s="219" t="str">
        <f t="shared" ref="BW33:BY33" si="249">IF(BV$32=0,"N.D.",BV33/BV$32)</f>
        <v>N.D.</v>
      </c>
      <c r="BX33" s="34">
        <f>BDER!$D580/1000+ajustes!AA19</f>
        <v>0</v>
      </c>
      <c r="BY33" s="219" t="str">
        <f t="shared" si="249"/>
        <v>N.D.</v>
      </c>
      <c r="BZ33" s="197">
        <f>BDER!$D625/1000+ajustes!AB19</f>
        <v>0</v>
      </c>
      <c r="CA33" s="219" t="str">
        <f t="shared" ref="CA33:CC33" si="250">IF(BZ$32=0,"N.D.",BZ33/BZ$32)</f>
        <v>N.D.</v>
      </c>
      <c r="CB33" s="34">
        <f>BDER!$D535/1000+ajustes!AC19</f>
        <v>0</v>
      </c>
      <c r="CC33" s="219" t="str">
        <f t="shared" si="250"/>
        <v>N.D.</v>
      </c>
      <c r="CD33" s="207">
        <f>BDER!$D647/1000+ajustes!AD19</f>
        <v>0</v>
      </c>
      <c r="CE33" s="219" t="str">
        <f t="shared" ref="CE33:CG33" si="251">IF(CD$32=0,"N.D.",CD33/CD$32)</f>
        <v>N.D.</v>
      </c>
      <c r="CF33" s="207">
        <f>SUM(BV33,BX33,BZ33,CB33,CD33)</f>
        <v>0</v>
      </c>
      <c r="CG33" s="219" t="str">
        <f t="shared" si="251"/>
        <v>N.D.</v>
      </c>
    </row>
    <row r="34" spans="2:85" x14ac:dyDescent="0.35">
      <c r="B34" s="4" t="s">
        <v>7</v>
      </c>
      <c r="C34" s="212">
        <f>C32-C33</f>
        <v>0</v>
      </c>
      <c r="D34" s="22" t="str">
        <f t="shared" si="239"/>
        <v>N.D.</v>
      </c>
      <c r="E34" s="200">
        <f>E32-E33</f>
        <v>0</v>
      </c>
      <c r="F34" s="22" t="str">
        <f t="shared" si="239"/>
        <v>N.D.</v>
      </c>
      <c r="G34" s="209">
        <f>G32-G33</f>
        <v>0</v>
      </c>
      <c r="H34" s="22" t="str">
        <f t="shared" ref="H34" si="252">IF(G$32=0,"N.D.",G34/G$32)</f>
        <v>N.D.</v>
      </c>
      <c r="I34" s="200">
        <f>I32-I33</f>
        <v>0</v>
      </c>
      <c r="J34" s="22" t="str">
        <f t="shared" ref="J34:L34" si="253">IF(I$32=0,"N.D.",I34/I$32)</f>
        <v>N.D.</v>
      </c>
      <c r="K34" s="210">
        <f>K32-K33</f>
        <v>0</v>
      </c>
      <c r="L34" s="22" t="str">
        <f t="shared" si="253"/>
        <v>N.D.</v>
      </c>
      <c r="N34" s="4" t="s">
        <v>7</v>
      </c>
      <c r="O34" s="216">
        <f>O32-O33</f>
        <v>0</v>
      </c>
      <c r="P34" s="22" t="str">
        <f t="shared" ref="P34:R34" si="254">IF(O$32=0,"N.D.",O34/O$32)</f>
        <v>N.D.</v>
      </c>
      <c r="Q34" s="208">
        <f>Q32-Q33</f>
        <v>0</v>
      </c>
      <c r="R34" s="22" t="str">
        <f t="shared" si="254"/>
        <v>N.D.</v>
      </c>
      <c r="S34" s="202">
        <f>S32-S33</f>
        <v>0</v>
      </c>
      <c r="T34" s="22" t="str">
        <f t="shared" ref="T34:V34" si="255">IF(S$32=0,"N.D.",S34/S$32)</f>
        <v>N.D.</v>
      </c>
      <c r="U34" s="208">
        <f>U32-U33</f>
        <v>0</v>
      </c>
      <c r="V34" s="22" t="str">
        <f t="shared" si="255"/>
        <v>N.D.</v>
      </c>
      <c r="W34" s="202">
        <f>W32-W33</f>
        <v>0</v>
      </c>
      <c r="X34" s="22" t="str">
        <f t="shared" ref="X34:Z34" si="256">IF(W$32=0,"N.D.",W34/W$32)</f>
        <v>N.D.</v>
      </c>
      <c r="Y34" s="208">
        <f>Y32-Y33</f>
        <v>0</v>
      </c>
      <c r="Z34" s="22" t="str">
        <f t="shared" si="256"/>
        <v>N.D.</v>
      </c>
      <c r="AA34" s="213">
        <f>AA32-AA33</f>
        <v>0</v>
      </c>
      <c r="AB34" s="22" t="str">
        <f t="shared" ref="AB34" si="257">IF(AA$32=0,"N.D.",AA34/AA$32)</f>
        <v>N.D.</v>
      </c>
      <c r="AC34" s="277"/>
      <c r="AE34" s="4" t="s">
        <v>7</v>
      </c>
      <c r="AF34" s="20">
        <f>AF32-AF33</f>
        <v>0</v>
      </c>
      <c r="AG34" s="22" t="str">
        <f t="shared" ref="AG34:AI34" si="258">IF(AF$32=0,"N.D.",AF34/AF$32)</f>
        <v>N.D.</v>
      </c>
      <c r="AH34" s="20">
        <f>AH32-AH33</f>
        <v>0</v>
      </c>
      <c r="AI34" s="22" t="str">
        <f t="shared" si="258"/>
        <v>N.D.</v>
      </c>
      <c r="AJ34" s="20">
        <f>AJ32-AJ33</f>
        <v>0</v>
      </c>
      <c r="AK34" s="22" t="str">
        <f t="shared" ref="AK34:AM34" si="259">IF(AJ$32=0,"N.D.",AJ34/AJ$32)</f>
        <v>N.D.</v>
      </c>
      <c r="AL34" s="20">
        <f>AL32-AL33</f>
        <v>0</v>
      </c>
      <c r="AM34" s="22" t="str">
        <f t="shared" si="259"/>
        <v>N.D.</v>
      </c>
      <c r="AN34" s="20">
        <f>AN32-AN33</f>
        <v>0</v>
      </c>
      <c r="AO34" s="22" t="str">
        <f t="shared" ref="AO34:AQ34" si="260">IF(AN$32=0,"N.D.",AN34/AN$32)</f>
        <v>N.D.</v>
      </c>
      <c r="AP34" s="20">
        <f>AP32-AP33</f>
        <v>0</v>
      </c>
      <c r="AQ34" s="22" t="str">
        <f t="shared" si="260"/>
        <v>N.D.</v>
      </c>
      <c r="AR34" s="20">
        <f>AR32-AR33</f>
        <v>0</v>
      </c>
      <c r="AS34" s="22" t="str">
        <f t="shared" ref="AS34:AU34" si="261">IF(AR$32=0,"N.D.",AR34/AR$32)</f>
        <v>N.D.</v>
      </c>
      <c r="AT34" s="20">
        <f>AT32-AT33</f>
        <v>0</v>
      </c>
      <c r="AU34" s="22" t="str">
        <f t="shared" si="261"/>
        <v>N.D.</v>
      </c>
      <c r="AX34" s="4" t="s">
        <v>7</v>
      </c>
      <c r="AY34" s="20">
        <f>AY32-AY33</f>
        <v>0</v>
      </c>
      <c r="AZ34" s="22" t="str">
        <f>IF(AY$32=0,"N.D.",AY34/AY$32)</f>
        <v>N.D.</v>
      </c>
      <c r="BA34" s="20">
        <f>BA32-BA33</f>
        <v>0</v>
      </c>
      <c r="BB34" s="22" t="str">
        <f>IF(BA$32=0,"N.D.",BA34/BA$32)</f>
        <v>N.D.</v>
      </c>
      <c r="BC34" s="20">
        <f>BC32-BC33</f>
        <v>0</v>
      </c>
      <c r="BD34" s="22" t="str">
        <f>IF(BC$32=0,"N.D.",BC34/BC$32)</f>
        <v>N.D.</v>
      </c>
      <c r="BE34" s="221"/>
      <c r="BG34" s="4" t="s">
        <v>165</v>
      </c>
      <c r="BH34" s="14">
        <f>BH32-BH33</f>
        <v>0</v>
      </c>
      <c r="BI34" s="22" t="str">
        <f>IF(BH$32=0,"N.D.",BH34/BH$32)</f>
        <v>N.D.</v>
      </c>
      <c r="BJ34" s="20">
        <f>BJ32-BJ33</f>
        <v>0</v>
      </c>
      <c r="BK34" s="22" t="str">
        <f t="shared" si="246"/>
        <v>N.D.</v>
      </c>
      <c r="BL34" s="20">
        <f>BL32-BL33</f>
        <v>0</v>
      </c>
      <c r="BM34" s="22" t="str">
        <f t="shared" ref="BM34:BO34" si="262">IF(BL$32=0,"N.D.",BL34/BL$32)</f>
        <v>N.D.</v>
      </c>
      <c r="BN34" s="20">
        <f>BN32-BN33</f>
        <v>0</v>
      </c>
      <c r="BO34" s="22" t="str">
        <f t="shared" si="262"/>
        <v>N.D.</v>
      </c>
      <c r="BP34" s="20">
        <f>BP32-BP33</f>
        <v>0</v>
      </c>
      <c r="BQ34" s="22" t="str">
        <f t="shared" ref="BQ34:BS34" si="263">IF(BP$32=0,"N.D.",BP34/BP$32)</f>
        <v>N.D.</v>
      </c>
      <c r="BR34" s="14">
        <f>BR32-BR33</f>
        <v>0</v>
      </c>
      <c r="BS34" s="22" t="str">
        <f t="shared" si="263"/>
        <v>N.D.</v>
      </c>
      <c r="BU34" s="4" t="s">
        <v>165</v>
      </c>
      <c r="BV34" s="20">
        <f>BV32-BV33</f>
        <v>0</v>
      </c>
      <c r="BW34" s="22" t="str">
        <f t="shared" ref="BW34:BY34" si="264">IF(BV$32=0,"N.D.",BV34/BV$32)</f>
        <v>N.D.</v>
      </c>
      <c r="BX34" s="20">
        <f>BX32-BX33</f>
        <v>0</v>
      </c>
      <c r="BY34" s="22" t="str">
        <f t="shared" si="264"/>
        <v>N.D.</v>
      </c>
      <c r="BZ34" s="20">
        <f>BZ32-BZ33</f>
        <v>0</v>
      </c>
      <c r="CA34" s="22" t="str">
        <f t="shared" ref="CA34:CC34" si="265">IF(BZ$32=0,"N.D.",BZ34/BZ$32)</f>
        <v>N.D.</v>
      </c>
      <c r="CB34" s="20">
        <f>CB32-CB33</f>
        <v>0</v>
      </c>
      <c r="CC34" s="22" t="str">
        <f t="shared" si="265"/>
        <v>N.D.</v>
      </c>
      <c r="CD34" s="20">
        <f>CD32-CD33</f>
        <v>0</v>
      </c>
      <c r="CE34" s="22" t="str">
        <f t="shared" ref="CE34:CG34" si="266">IF(CD$32=0,"N.D.",CD34/CD$32)</f>
        <v>N.D.</v>
      </c>
      <c r="CF34" s="20">
        <f>CF32-CF33</f>
        <v>0</v>
      </c>
      <c r="CG34" s="22" t="str">
        <f t="shared" si="266"/>
        <v>N.D.</v>
      </c>
    </row>
    <row r="35" spans="2:85" x14ac:dyDescent="0.35">
      <c r="B35" s="1"/>
      <c r="C35" s="217"/>
      <c r="D35" s="30"/>
      <c r="E35" s="217"/>
      <c r="F35" s="30"/>
      <c r="G35" s="217"/>
      <c r="H35" s="30"/>
      <c r="I35" s="217"/>
      <c r="J35" s="30"/>
      <c r="K35" s="217"/>
      <c r="L35" s="30"/>
      <c r="N35" s="1"/>
      <c r="O35" s="217"/>
      <c r="P35" s="30"/>
      <c r="Q35" s="217"/>
      <c r="R35" s="30"/>
      <c r="S35" s="217"/>
      <c r="T35" s="30"/>
      <c r="U35" s="217"/>
      <c r="V35" s="30"/>
      <c r="W35" s="217"/>
      <c r="X35" s="30"/>
      <c r="Y35" s="217"/>
      <c r="Z35" s="30"/>
      <c r="AA35" s="217"/>
      <c r="AB35" s="30"/>
      <c r="AC35" s="275"/>
      <c r="AE35" s="1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X35" s="1"/>
      <c r="AY35" s="30"/>
      <c r="AZ35" s="30"/>
      <c r="BA35" s="30"/>
      <c r="BB35" s="30"/>
      <c r="BC35" s="30"/>
      <c r="BD35" s="30"/>
      <c r="BE35" s="30"/>
      <c r="BG35" s="1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U35" s="1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</row>
    <row r="36" spans="2:85" x14ac:dyDescent="0.35">
      <c r="B36" s="7" t="s">
        <v>8</v>
      </c>
      <c r="C36" s="198">
        <f>BDER!$D161/1000+ajustes!B20</f>
        <v>0</v>
      </c>
      <c r="D36" s="220" t="str">
        <f t="shared" ref="D36:F40" si="267">IF(C$32=0,"N.D.",C36/C$32)</f>
        <v>N.D.</v>
      </c>
      <c r="E36" s="11">
        <f>BDER!$D139/1000+ajustes!C20</f>
        <v>0</v>
      </c>
      <c r="F36" s="220" t="str">
        <f t="shared" si="267"/>
        <v>N.D.</v>
      </c>
      <c r="G36" s="30">
        <f>BDER!$D205/1000+ajustes!D20</f>
        <v>0</v>
      </c>
      <c r="H36" s="220" t="str">
        <f t="shared" ref="H36" si="268">IF(G$32=0,"N.D.",G36/G$32)</f>
        <v>N.D.</v>
      </c>
      <c r="I36" s="11">
        <f>BDER!$D183/1000+ajustes!E20</f>
        <v>0</v>
      </c>
      <c r="J36" s="220" t="str">
        <f t="shared" ref="J36:L36" si="269">IF(I$32=0,"N.D.",I36/I$32)</f>
        <v>N.D.</v>
      </c>
      <c r="K36" s="206">
        <f>SUM(C36,E36,G36,I36)</f>
        <v>0</v>
      </c>
      <c r="L36" s="220" t="str">
        <f t="shared" si="269"/>
        <v>N.D.</v>
      </c>
      <c r="N36" s="7" t="s">
        <v>8</v>
      </c>
      <c r="O36" s="198">
        <f>BDER!$D7/1000+ajustes!F20</f>
        <v>0</v>
      </c>
      <c r="P36" s="220" t="str">
        <f t="shared" ref="P36:R36" si="270">IF(O$32=0,"N.D.",O36/O$32)</f>
        <v>N.D.</v>
      </c>
      <c r="Q36" s="11">
        <f>BDER!$D29/1000+ajustes!G20</f>
        <v>0</v>
      </c>
      <c r="R36" s="220" t="str">
        <f t="shared" si="270"/>
        <v>N.D.</v>
      </c>
      <c r="S36" s="30">
        <f>BDER!$D51/1000+ajustes!H20</f>
        <v>0</v>
      </c>
      <c r="T36" s="220" t="str">
        <f t="shared" ref="T36:V36" si="271">IF(S$32=0,"N.D.",S36/S$32)</f>
        <v>N.D.</v>
      </c>
      <c r="U36" s="11">
        <f>BDER!$D73/1000+ajustes!I20</f>
        <v>0</v>
      </c>
      <c r="V36" s="220" t="str">
        <f t="shared" si="271"/>
        <v>N.D.</v>
      </c>
      <c r="W36" s="30">
        <f>BDER!$D95/1000+ajustes!J20</f>
        <v>0</v>
      </c>
      <c r="X36" s="220" t="str">
        <f t="shared" ref="X36:Z36" si="272">IF(W$32=0,"N.D.",W36/W$32)</f>
        <v>N.D.</v>
      </c>
      <c r="Y36" s="11">
        <f>BDER!$D117/1000+ajustes!K20</f>
        <v>0</v>
      </c>
      <c r="Z36" s="220" t="str">
        <f t="shared" si="272"/>
        <v>N.D.</v>
      </c>
      <c r="AA36" s="206">
        <f>SUM(O36,Q36,S36,U36,W36,Y36)-AC36</f>
        <v>0</v>
      </c>
      <c r="AB36" s="220" t="str">
        <f t="shared" ref="AB36" si="273">IF(AA$32=0,"N.D.",AA36/AA$32)</f>
        <v>N.D.</v>
      </c>
      <c r="AC36" s="276">
        <f>(ELIM!D2+ELIM!D8+ELIM!D10)/1000</f>
        <v>0</v>
      </c>
      <c r="AE36" s="7" t="s">
        <v>8</v>
      </c>
      <c r="AF36" s="8">
        <f>BDER!$D293/1000+ajustes!L20</f>
        <v>0</v>
      </c>
      <c r="AG36" s="220" t="str">
        <f t="shared" ref="AG36:AI36" si="274">IF(AF$32=0,"N.D.",AF36/AF$32)</f>
        <v>N.D.</v>
      </c>
      <c r="AH36" s="8">
        <f>BDER!$D315/1000+ajustes!M20</f>
        <v>0</v>
      </c>
      <c r="AI36" s="220" t="str">
        <f t="shared" si="274"/>
        <v>N.D.</v>
      </c>
      <c r="AJ36" s="8">
        <f>BDER!$D359/1000+ajustes!N20</f>
        <v>0</v>
      </c>
      <c r="AK36" s="220" t="str">
        <f t="shared" ref="AK36:AM36" si="275">IF(AJ$32=0,"N.D.",AJ36/AJ$32)</f>
        <v>N.D.</v>
      </c>
      <c r="AL36" s="8">
        <f>BDER!$D337/2000+ajustes!O20</f>
        <v>0</v>
      </c>
      <c r="AM36" s="220" t="str">
        <f t="shared" si="275"/>
        <v>N.D.</v>
      </c>
      <c r="AN36" s="8">
        <f>ajustes!P20</f>
        <v>0</v>
      </c>
      <c r="AO36" s="220" t="str">
        <f t="shared" ref="AO36:AQ36" si="276">IF(AN$32=0,"N.D.",AN36/AN$32)</f>
        <v>N.D.</v>
      </c>
      <c r="AP36" s="8">
        <f>BDER!$D403/1000+ajustes!Q20</f>
        <v>0</v>
      </c>
      <c r="AQ36" s="220" t="str">
        <f t="shared" si="276"/>
        <v>N.D.</v>
      </c>
      <c r="AR36" s="8">
        <f>BDER!$D381/1000+ajustes!R20</f>
        <v>0</v>
      </c>
      <c r="AS36" s="220" t="str">
        <f t="shared" ref="AS36:AU36" si="277">IF(AR$32=0,"N.D.",AR36/AR$32)</f>
        <v>N.D.</v>
      </c>
      <c r="AT36" s="8">
        <f t="shared" ref="AT36:AT37" si="278">SUM(AF36,AH36,AJ36,AL36,AP36,AR36,AN36)</f>
        <v>0</v>
      </c>
      <c r="AU36" s="220" t="str">
        <f t="shared" si="277"/>
        <v>N.D.</v>
      </c>
      <c r="AX36" s="7" t="s">
        <v>8</v>
      </c>
      <c r="AY36" s="8">
        <f>BDER!$D447/1000+ajustes!S20</f>
        <v>0</v>
      </c>
      <c r="AZ36" s="220" t="str">
        <f>IF(AY$32=0,"N.D.",AY36/AY$32)</f>
        <v>N.D.</v>
      </c>
      <c r="BA36" s="204">
        <f>BDER!$D425/1000+ajustes!T20</f>
        <v>0</v>
      </c>
      <c r="BB36" s="220" t="str">
        <f>IF(BA$32=0,"N.D.",BA36/BA$32)</f>
        <v>N.D.</v>
      </c>
      <c r="BC36" s="204">
        <f>SUM(AY36,BA36)</f>
        <v>0</v>
      </c>
      <c r="BD36" s="220" t="str">
        <f>IF(BC$32=0,"N.D.",BC36/BC$32)</f>
        <v>N.D.</v>
      </c>
      <c r="BE36" s="187"/>
      <c r="BG36" s="7" t="s">
        <v>166</v>
      </c>
      <c r="BH36" s="194">
        <f>BDER!$D$672/1000+ajustes!U20</f>
        <v>0</v>
      </c>
      <c r="BI36" s="220" t="str">
        <f t="shared" ref="BI36:BK40" si="279">IF(BH$32=0,"N.D.",BH36/BH$32)</f>
        <v>N.D.</v>
      </c>
      <c r="BJ36" s="194">
        <f>BDER!$D470/1000+ajustes!V20</f>
        <v>0</v>
      </c>
      <c r="BK36" s="220" t="str">
        <f t="shared" si="279"/>
        <v>N.D.</v>
      </c>
      <c r="BL36" s="8">
        <f>BDER!$D493/1000+ajustes!W20</f>
        <v>0</v>
      </c>
      <c r="BM36" s="220" t="str">
        <f t="shared" ref="BM36:BO36" si="280">IF(BL$32=0,"N.D.",BL36/BL$32)</f>
        <v>N.D.</v>
      </c>
      <c r="BN36" s="195">
        <f>BDER!$D560/1000+ajustes!X20</f>
        <v>0</v>
      </c>
      <c r="BO36" s="220" t="str">
        <f t="shared" si="280"/>
        <v>N.D.</v>
      </c>
      <c r="BP36" s="8">
        <f>BDER!$D605/1000+ajustes!Y20</f>
        <v>0</v>
      </c>
      <c r="BQ36" s="220" t="str">
        <f t="shared" ref="BQ36:BS36" si="281">IF(BP$32=0,"N.D.",BP36/BP$32)</f>
        <v>N.D.</v>
      </c>
      <c r="BR36" s="204">
        <f>SUM(BJ36,BL36,BN36,BP36)+BH36</f>
        <v>0</v>
      </c>
      <c r="BS36" s="220" t="str">
        <f t="shared" si="281"/>
        <v>N.D.</v>
      </c>
      <c r="BU36" s="7" t="s">
        <v>166</v>
      </c>
      <c r="BV36" s="194">
        <f>BDER!$D515/1000+ajustes!Z20</f>
        <v>0</v>
      </c>
      <c r="BW36" s="220" t="str">
        <f t="shared" ref="BW36:BY36" si="282">IF(BV$32=0,"N.D.",BV36/BV$32)</f>
        <v>N.D.</v>
      </c>
      <c r="BX36" s="8">
        <f>BDER!$D582/1000+ajustes!AA20</f>
        <v>0</v>
      </c>
      <c r="BY36" s="220" t="str">
        <f t="shared" si="282"/>
        <v>N.D.</v>
      </c>
      <c r="BZ36" s="195">
        <f>BDER!$D627/1000+ajustes!AB20</f>
        <v>0</v>
      </c>
      <c r="CA36" s="220" t="str">
        <f t="shared" ref="CA36:CC36" si="283">IF(BZ$32=0,"N.D.",BZ36/BZ$32)</f>
        <v>N.D.</v>
      </c>
      <c r="CB36" s="8">
        <f>BDER!$D537/1000+ajustes!AC20</f>
        <v>0</v>
      </c>
      <c r="CC36" s="220" t="str">
        <f t="shared" si="283"/>
        <v>N.D.</v>
      </c>
      <c r="CD36" s="204">
        <f>BDER!$D649/1000+ajustes!AD20</f>
        <v>0</v>
      </c>
      <c r="CE36" s="220" t="str">
        <f t="shared" ref="CE36:CG36" si="284">IF(CD$32=0,"N.D.",CD36/CD$32)</f>
        <v>N.D.</v>
      </c>
      <c r="CF36" s="204">
        <f>SUM(BV36,BX36,BZ36,CB36,CD36)</f>
        <v>0</v>
      </c>
      <c r="CG36" s="220" t="str">
        <f t="shared" si="284"/>
        <v>N.D.</v>
      </c>
    </row>
    <row r="37" spans="2:85" x14ac:dyDescent="0.35">
      <c r="B37" s="7" t="s">
        <v>9</v>
      </c>
      <c r="C37" s="198">
        <f>BDER!$D162/1000+ajustes!B21</f>
        <v>0</v>
      </c>
      <c r="D37" s="219" t="str">
        <f t="shared" si="267"/>
        <v>N.D.</v>
      </c>
      <c r="E37" s="11">
        <f>BDER!$D140/1000+ajustes!C21</f>
        <v>0</v>
      </c>
      <c r="F37" s="219" t="str">
        <f t="shared" si="267"/>
        <v>N.D.</v>
      </c>
      <c r="G37" s="30">
        <f>BDER!$D206/1000+ajustes!D21</f>
        <v>0</v>
      </c>
      <c r="H37" s="219" t="str">
        <f t="shared" ref="H37" si="285">IF(G$32=0,"N.D.",G37/G$32)</f>
        <v>N.D.</v>
      </c>
      <c r="I37" s="11">
        <f>BDER!$D184/1000+ajustes!E21</f>
        <v>0</v>
      </c>
      <c r="J37" s="219" t="str">
        <f t="shared" ref="J37:L37" si="286">IF(I$32=0,"N.D.",I37/I$32)</f>
        <v>N.D.</v>
      </c>
      <c r="K37" s="206">
        <f>SUM(C37,E37,G37,I37)</f>
        <v>0</v>
      </c>
      <c r="L37" s="219" t="str">
        <f t="shared" si="286"/>
        <v>N.D.</v>
      </c>
      <c r="N37" s="7" t="s">
        <v>9</v>
      </c>
      <c r="O37" s="198">
        <f>BDER!$D8/1000+ajustes!F21</f>
        <v>0</v>
      </c>
      <c r="P37" s="219" t="str">
        <f t="shared" ref="P37:R37" si="287">IF(O$32=0,"N.D.",O37/O$32)</f>
        <v>N.D.</v>
      </c>
      <c r="Q37" s="11">
        <f>BDER!$D30/1000+ajustes!G21</f>
        <v>0</v>
      </c>
      <c r="R37" s="219" t="str">
        <f t="shared" si="287"/>
        <v>N.D.</v>
      </c>
      <c r="S37" s="30">
        <f>BDER!$D52/1000+ajustes!H21</f>
        <v>0</v>
      </c>
      <c r="T37" s="219" t="str">
        <f t="shared" ref="T37:V37" si="288">IF(S$32=0,"N.D.",S37/S$32)</f>
        <v>N.D.</v>
      </c>
      <c r="U37" s="11">
        <f>BDER!$D74/1000+ajustes!I21</f>
        <v>0</v>
      </c>
      <c r="V37" s="219" t="str">
        <f t="shared" si="288"/>
        <v>N.D.</v>
      </c>
      <c r="W37" s="30">
        <f>BDER!$D96/1000+ajustes!J21</f>
        <v>0</v>
      </c>
      <c r="X37" s="219" t="str">
        <f t="shared" ref="X37:Z37" si="289">IF(W$32=0,"N.D.",W37/W$32)</f>
        <v>N.D.</v>
      </c>
      <c r="Y37" s="11">
        <f>BDER!$D118/1000+ajustes!K21</f>
        <v>0</v>
      </c>
      <c r="Z37" s="219" t="str">
        <f t="shared" si="289"/>
        <v>N.D.</v>
      </c>
      <c r="AA37" s="206">
        <f>SUM(O37,Q37,S37,U37,W37,Y37)-AC37</f>
        <v>0</v>
      </c>
      <c r="AB37" s="219" t="str">
        <f t="shared" ref="AB37" si="290">IF(AA$32=0,"N.D.",AA37/AA$32)</f>
        <v>N.D.</v>
      </c>
      <c r="AC37" s="276">
        <f>ELIM!D6/1000</f>
        <v>0</v>
      </c>
      <c r="AD37" s="201"/>
      <c r="AE37" s="7" t="s">
        <v>9</v>
      </c>
      <c r="AF37" s="11">
        <f>BDER!$D294/1000+BDER!$D289/1000+ajustes!L21</f>
        <v>0</v>
      </c>
      <c r="AG37" s="219" t="str">
        <f t="shared" ref="AG37:AI37" si="291">IF(AF$32=0,"N.D.",AF37/AF$32)</f>
        <v>N.D.</v>
      </c>
      <c r="AH37" s="11">
        <f>BDER!$D316/1000-BDER!$D311/1000+ajustes!M21</f>
        <v>0</v>
      </c>
      <c r="AI37" s="219" t="str">
        <f t="shared" si="291"/>
        <v>N.D.</v>
      </c>
      <c r="AJ37" s="11">
        <f>BDER!$D360/1000-BDER!$D355/1000+ajustes!N21</f>
        <v>0</v>
      </c>
      <c r="AK37" s="219" t="str">
        <f t="shared" ref="AK37:AM37" si="292">IF(AJ$32=0,"N.D.",AJ37/AJ$32)</f>
        <v>N.D.</v>
      </c>
      <c r="AL37" s="11">
        <f>BDER!$D338/2000+BDER!$D333/2000+ajustes!O21</f>
        <v>0</v>
      </c>
      <c r="AM37" s="219" t="str">
        <f t="shared" si="292"/>
        <v>N.D.</v>
      </c>
      <c r="AN37" s="11">
        <f>ajustes!P21</f>
        <v>0</v>
      </c>
      <c r="AO37" s="219" t="str">
        <f t="shared" ref="AO37:AQ37" si="293">IF(AN$32=0,"N.D.",AN37/AN$32)</f>
        <v>N.D.</v>
      </c>
      <c r="AP37" s="11">
        <f>BDER!$D404/1000+ajustes!Q21</f>
        <v>0</v>
      </c>
      <c r="AQ37" s="219" t="str">
        <f t="shared" si="293"/>
        <v>N.D.</v>
      </c>
      <c r="AR37" s="11">
        <f>BDER!$D382/1000+BDER!$D377/1000+ajustes!R21</f>
        <v>0</v>
      </c>
      <c r="AS37" s="219" t="str">
        <f t="shared" ref="AS37:AU37" si="294">IF(AR$32=0,"N.D.",AR37/AR$32)</f>
        <v>N.D.</v>
      </c>
      <c r="AT37" s="11">
        <f t="shared" si="278"/>
        <v>0</v>
      </c>
      <c r="AU37" s="219" t="str">
        <f t="shared" si="294"/>
        <v>N.D.</v>
      </c>
      <c r="AX37" s="7" t="s">
        <v>9</v>
      </c>
      <c r="AY37" s="11">
        <f>BDER!$D448/1000+ajustes!S21</f>
        <v>0</v>
      </c>
      <c r="AZ37" s="219" t="str">
        <f>IF(AY$32=0,"N.D.",AY37/AY$32)</f>
        <v>N.D.</v>
      </c>
      <c r="BA37" s="206">
        <f>BDER!$D426/1000+ajustes!T21</f>
        <v>0</v>
      </c>
      <c r="BB37" s="219" t="str">
        <f>IF(BA$32=0,"N.D.",BA37/BA$32)</f>
        <v>N.D.</v>
      </c>
      <c r="BC37" s="206">
        <f>SUM(AY37,BA37)</f>
        <v>0</v>
      </c>
      <c r="BD37" s="219" t="str">
        <f>IF(BC$32=0,"N.D.",BC37/BC$32)</f>
        <v>N.D.</v>
      </c>
      <c r="BE37" s="187"/>
      <c r="BG37" s="7" t="s">
        <v>167</v>
      </c>
      <c r="BH37" s="198">
        <f>BDER!$D$673/1000+ajustes!U21</f>
        <v>0</v>
      </c>
      <c r="BI37" s="219" t="str">
        <f t="shared" si="279"/>
        <v>N.D.</v>
      </c>
      <c r="BJ37" s="198">
        <f>BDER!$D471/1000+ajustes!V21</f>
        <v>0</v>
      </c>
      <c r="BK37" s="219" t="str">
        <f t="shared" si="279"/>
        <v>N.D.</v>
      </c>
      <c r="BL37" s="11">
        <f>BDER!$D494/1000+ajustes!W21</f>
        <v>0</v>
      </c>
      <c r="BM37" s="219" t="str">
        <f t="shared" ref="BM37:BO37" si="295">IF(BL$32=0,"N.D.",BL37/BL$32)</f>
        <v>N.D.</v>
      </c>
      <c r="BN37" s="30">
        <f>BDER!$D561/1000+ajustes!X21</f>
        <v>0</v>
      </c>
      <c r="BO37" s="219" t="str">
        <f t="shared" si="295"/>
        <v>N.D.</v>
      </c>
      <c r="BP37" s="11">
        <f>BDER!$D606/1000+ajustes!Y21</f>
        <v>0</v>
      </c>
      <c r="BQ37" s="219" t="str">
        <f t="shared" ref="BQ37:BS37" si="296">IF(BP$32=0,"N.D.",BP37/BP$32)</f>
        <v>N.D.</v>
      </c>
      <c r="BR37" s="206">
        <f>SUM(BJ37,BL37,BN37,BP37)+BH37</f>
        <v>0</v>
      </c>
      <c r="BS37" s="219" t="str">
        <f t="shared" si="296"/>
        <v>N.D.</v>
      </c>
      <c r="BU37" s="7" t="s">
        <v>167</v>
      </c>
      <c r="BV37" s="198">
        <f>BDER!$D516/1000+ajustes!Z21</f>
        <v>0</v>
      </c>
      <c r="BW37" s="219" t="str">
        <f t="shared" ref="BW37:BY37" si="297">IF(BV$32=0,"N.D.",BV37/BV$32)</f>
        <v>N.D.</v>
      </c>
      <c r="BX37" s="11">
        <f>BDER!$D583/1000+ajustes!AA21</f>
        <v>0</v>
      </c>
      <c r="BY37" s="219" t="str">
        <f t="shared" si="297"/>
        <v>N.D.</v>
      </c>
      <c r="BZ37" s="30">
        <f>BDER!$D628/1000+ajustes!AB21</f>
        <v>0</v>
      </c>
      <c r="CA37" s="219" t="str">
        <f t="shared" ref="CA37:CC37" si="298">IF(BZ$32=0,"N.D.",BZ37/BZ$32)</f>
        <v>N.D.</v>
      </c>
      <c r="CB37" s="11">
        <f>BDER!$D538/1000+ajustes!AC21</f>
        <v>0</v>
      </c>
      <c r="CC37" s="219" t="str">
        <f t="shared" si="298"/>
        <v>N.D.</v>
      </c>
      <c r="CD37" s="206">
        <f>BDER!$D650/1000+ajustes!AD21</f>
        <v>0</v>
      </c>
      <c r="CE37" s="219" t="str">
        <f t="shared" ref="CE37:CG37" si="299">IF(CD$32=0,"N.D.",CD37/CD$32)</f>
        <v>N.D.</v>
      </c>
      <c r="CF37" s="206">
        <f>SUM(BV37,BX37,BZ37,CB37,CD37)</f>
        <v>0</v>
      </c>
      <c r="CG37" s="219" t="str">
        <f t="shared" si="299"/>
        <v>N.D.</v>
      </c>
    </row>
    <row r="38" spans="2:85" x14ac:dyDescent="0.35">
      <c r="B38" s="7" t="s">
        <v>10</v>
      </c>
      <c r="C38" s="196">
        <f>BDER!$D163/1000+ajustes!B22</f>
        <v>0</v>
      </c>
      <c r="D38" s="219" t="str">
        <f t="shared" si="267"/>
        <v>N.D.</v>
      </c>
      <c r="E38" s="34">
        <f>BDER!$D141/1000+ajustes!C22</f>
        <v>0</v>
      </c>
      <c r="F38" s="219" t="str">
        <f t="shared" si="267"/>
        <v>N.D.</v>
      </c>
      <c r="G38" s="197">
        <f>BDER!$D207/1000+ajustes!D22</f>
        <v>0</v>
      </c>
      <c r="H38" s="219" t="str">
        <f t="shared" ref="H38" si="300">IF(G$32=0,"N.D.",G38/G$32)</f>
        <v>N.D.</v>
      </c>
      <c r="I38" s="34">
        <f>BDER!$D185/1000+ajustes!E22</f>
        <v>0</v>
      </c>
      <c r="J38" s="219" t="str">
        <f t="shared" ref="J38:L38" si="301">IF(I$32=0,"N.D.",I38/I$32)</f>
        <v>N.D.</v>
      </c>
      <c r="K38" s="207">
        <f>SUM(C38,E38,G38,I38)</f>
        <v>0</v>
      </c>
      <c r="L38" s="219" t="str">
        <f t="shared" si="301"/>
        <v>N.D.</v>
      </c>
      <c r="N38" s="7" t="s">
        <v>10</v>
      </c>
      <c r="O38" s="196">
        <f>BDER!$D9/1000+ajustes!F22</f>
        <v>0</v>
      </c>
      <c r="P38" s="219" t="str">
        <f t="shared" ref="P38:R38" si="302">IF(O$32=0,"N.D.",O38/O$32)</f>
        <v>N.D.</v>
      </c>
      <c r="Q38" s="34">
        <f>BDER!$D31/1000+ajustes!G22</f>
        <v>0</v>
      </c>
      <c r="R38" s="219" t="str">
        <f t="shared" si="302"/>
        <v>N.D.</v>
      </c>
      <c r="S38" s="197">
        <f>BDER!$D53/1000+ajustes!H22</f>
        <v>0</v>
      </c>
      <c r="T38" s="219" t="str">
        <f t="shared" ref="T38:V38" si="303">IF(S$32=0,"N.D.",S38/S$32)</f>
        <v>N.D.</v>
      </c>
      <c r="U38" s="34">
        <f>BDER!$D75/1000+ajustes!I22</f>
        <v>0</v>
      </c>
      <c r="V38" s="219" t="str">
        <f t="shared" si="303"/>
        <v>N.D.</v>
      </c>
      <c r="W38" s="197">
        <f>BDER!$D97/1000+ajustes!J22</f>
        <v>0</v>
      </c>
      <c r="X38" s="219" t="str">
        <f t="shared" ref="X38:Z38" si="304">IF(W$32=0,"N.D.",W38/W$32)</f>
        <v>N.D.</v>
      </c>
      <c r="Y38" s="34">
        <f>BDER!$D119/1000+ajustes!K22</f>
        <v>0</v>
      </c>
      <c r="Z38" s="219" t="str">
        <f t="shared" si="304"/>
        <v>N.D.</v>
      </c>
      <c r="AA38" s="207">
        <f>SUM(O38,Q38,S38,U38,W38,Y38)</f>
        <v>0</v>
      </c>
      <c r="AB38" s="219" t="str">
        <f t="shared" ref="AB38" si="305">IF(AA$32=0,"N.D.",AA38/AA$32)</f>
        <v>N.D.</v>
      </c>
      <c r="AC38" s="276"/>
      <c r="AE38" s="7" t="s">
        <v>10</v>
      </c>
      <c r="AF38" s="11">
        <f>BDER!$D295/1000+ajustes!L22</f>
        <v>0</v>
      </c>
      <c r="AG38" s="219" t="str">
        <f t="shared" ref="AG38:AI38" si="306">IF(AF$32=0,"N.D.",AF38/AF$32)</f>
        <v>N.D.</v>
      </c>
      <c r="AH38" s="11">
        <f>BDER!$D317/1000+ajustes!M22</f>
        <v>0</v>
      </c>
      <c r="AI38" s="219" t="str">
        <f t="shared" si="306"/>
        <v>N.D.</v>
      </c>
      <c r="AJ38" s="11">
        <f>BDER!$D361/1000+ajustes!N22</f>
        <v>0</v>
      </c>
      <c r="AK38" s="219" t="str">
        <f t="shared" ref="AK38:AM38" si="307">IF(AJ$32=0,"N.D.",AJ38/AJ$32)</f>
        <v>N.D.</v>
      </c>
      <c r="AL38" s="11">
        <f>BDER!$D339/2000+ajustes!O22</f>
        <v>0</v>
      </c>
      <c r="AM38" s="219" t="str">
        <f t="shared" si="307"/>
        <v>N.D.</v>
      </c>
      <c r="AN38" s="11">
        <f>ajustes!P22</f>
        <v>0</v>
      </c>
      <c r="AO38" s="219" t="str">
        <f t="shared" ref="AO38:AQ38" si="308">IF(AN$32=0,"N.D.",AN38/AN$32)</f>
        <v>N.D.</v>
      </c>
      <c r="AP38" s="11">
        <f>BDER!$D405/1000+ajustes!Q22</f>
        <v>0</v>
      </c>
      <c r="AQ38" s="219" t="str">
        <f t="shared" si="308"/>
        <v>N.D.</v>
      </c>
      <c r="AR38" s="11">
        <f>BDER!$D383/1000+ajustes!R22</f>
        <v>0</v>
      </c>
      <c r="AS38" s="219" t="str">
        <f t="shared" ref="AS38:AU38" si="309">IF(AR$32=0,"N.D.",AR38/AR$32)</f>
        <v>N.D.</v>
      </c>
      <c r="AT38" s="11">
        <f>SUM(AF38,AH38,AJ38,AL38,AP38,AR38,AN38)</f>
        <v>0</v>
      </c>
      <c r="AU38" s="219" t="str">
        <f t="shared" si="309"/>
        <v>N.D.</v>
      </c>
      <c r="AX38" s="7" t="s">
        <v>10</v>
      </c>
      <c r="AY38" s="34">
        <f>BDER!$D449/1000+ajustes!S22</f>
        <v>0</v>
      </c>
      <c r="AZ38" s="219" t="str">
        <f>IF(AY$32=0,"N.D.",AY38/AY$32)</f>
        <v>N.D.</v>
      </c>
      <c r="BA38" s="207">
        <f>BDER!$D427/1000+ajustes!T22</f>
        <v>0</v>
      </c>
      <c r="BB38" s="219" t="str">
        <f>IF(BA$32=0,"N.D.",BA38/BA$32)</f>
        <v>N.D.</v>
      </c>
      <c r="BC38" s="206">
        <f>SUM(AY38,BA38)</f>
        <v>0</v>
      </c>
      <c r="BD38" s="219" t="str">
        <f>IF(BC$32=0,"N.D.",BC38/BC$32)</f>
        <v>N.D.</v>
      </c>
      <c r="BE38" s="187"/>
      <c r="BG38" s="7" t="s">
        <v>168</v>
      </c>
      <c r="BH38" s="198">
        <f>BDER!$D$674/1000+ajustes!U22</f>
        <v>0</v>
      </c>
      <c r="BI38" s="219" t="str">
        <f t="shared" si="279"/>
        <v>N.D.</v>
      </c>
      <c r="BJ38" s="196">
        <f>BDER!$D472/1000+ajustes!V22</f>
        <v>0</v>
      </c>
      <c r="BK38" s="219" t="str">
        <f t="shared" si="279"/>
        <v>N.D.</v>
      </c>
      <c r="BL38" s="34">
        <f>BDER!$D495/1000+ajustes!W22</f>
        <v>0</v>
      </c>
      <c r="BM38" s="219" t="str">
        <f t="shared" ref="BM38:BO38" si="310">IF(BL$32=0,"N.D.",BL38/BL$32)</f>
        <v>N.D.</v>
      </c>
      <c r="BN38" s="197">
        <f>BDER!$D562/1000+ajustes!X22</f>
        <v>0</v>
      </c>
      <c r="BO38" s="219" t="str">
        <f t="shared" si="310"/>
        <v>N.D.</v>
      </c>
      <c r="BP38" s="34">
        <f>BDER!$D607/1000+ajustes!Y22</f>
        <v>0</v>
      </c>
      <c r="BQ38" s="219" t="str">
        <f t="shared" ref="BQ38:BS38" si="311">IF(BP$32=0,"N.D.",BP38/BP$32)</f>
        <v>N.D.</v>
      </c>
      <c r="BR38" s="206">
        <f>SUM(BJ38,BL38,BN38,BP38)+BH38</f>
        <v>0</v>
      </c>
      <c r="BS38" s="219" t="str">
        <f t="shared" si="311"/>
        <v>N.D.</v>
      </c>
      <c r="BU38" s="7" t="s">
        <v>168</v>
      </c>
      <c r="BV38" s="196">
        <f>BDER!$D517/1000+ajustes!Z22</f>
        <v>0</v>
      </c>
      <c r="BW38" s="219" t="str">
        <f t="shared" ref="BW38:BY38" si="312">IF(BV$32=0,"N.D.",BV38/BV$32)</f>
        <v>N.D.</v>
      </c>
      <c r="BX38" s="34">
        <f>BDER!$D584/1000+ajustes!AA22</f>
        <v>0</v>
      </c>
      <c r="BY38" s="219" t="str">
        <f t="shared" si="312"/>
        <v>N.D.</v>
      </c>
      <c r="BZ38" s="197">
        <f>BDER!$D629/1000+ajustes!AB22</f>
        <v>0</v>
      </c>
      <c r="CA38" s="219" t="str">
        <f t="shared" ref="CA38:CC38" si="313">IF(BZ$32=0,"N.D.",BZ38/BZ$32)</f>
        <v>N.D.</v>
      </c>
      <c r="CB38" s="34">
        <f>BDER!$D539/1000+ajustes!AC22</f>
        <v>0</v>
      </c>
      <c r="CC38" s="219" t="str">
        <f t="shared" si="313"/>
        <v>N.D.</v>
      </c>
      <c r="CD38" s="207">
        <f>BDER!$D651/1000+ajustes!AD22</f>
        <v>0</v>
      </c>
      <c r="CE38" s="219" t="str">
        <f t="shared" ref="CE38:CG38" si="314">IF(CD$32=0,"N.D.",CD38/CD$32)</f>
        <v>N.D.</v>
      </c>
      <c r="CF38" s="206">
        <f>SUM(BV38,BX38,BZ38,CB38,CD38)</f>
        <v>0</v>
      </c>
      <c r="CG38" s="219" t="str">
        <f t="shared" si="314"/>
        <v>N.D.</v>
      </c>
    </row>
    <row r="39" spans="2:85" x14ac:dyDescent="0.35">
      <c r="B39" s="4" t="s">
        <v>11</v>
      </c>
      <c r="C39" s="216">
        <f>SUM(C36:C38)</f>
        <v>0</v>
      </c>
      <c r="D39" s="22" t="str">
        <f t="shared" si="267"/>
        <v>N.D.</v>
      </c>
      <c r="E39" s="208">
        <f>SUM(E36:E38)</f>
        <v>0</v>
      </c>
      <c r="F39" s="22" t="str">
        <f t="shared" si="267"/>
        <v>N.D.</v>
      </c>
      <c r="G39" s="202">
        <f>SUM(G36:G38)</f>
        <v>0</v>
      </c>
      <c r="H39" s="22" t="str">
        <f t="shared" ref="H39" si="315">IF(G$32=0,"N.D.",G39/G$32)</f>
        <v>N.D.</v>
      </c>
      <c r="I39" s="208">
        <f>SUM(I36:I38)</f>
        <v>0</v>
      </c>
      <c r="J39" s="22" t="str">
        <f t="shared" ref="J39:L39" si="316">IF(I$32=0,"N.D.",I39/I$32)</f>
        <v>N.D.</v>
      </c>
      <c r="K39" s="213">
        <f>SUM(K36:K38)</f>
        <v>0</v>
      </c>
      <c r="L39" s="22" t="str">
        <f t="shared" si="316"/>
        <v>N.D.</v>
      </c>
      <c r="N39" s="4" t="s">
        <v>11</v>
      </c>
      <c r="O39" s="216">
        <f>SUM(O36:O38)</f>
        <v>0</v>
      </c>
      <c r="P39" s="22" t="str">
        <f t="shared" ref="P39:R39" si="317">IF(O$32=0,"N.D.",O39/O$32)</f>
        <v>N.D.</v>
      </c>
      <c r="Q39" s="208">
        <f>SUM(Q36:Q38)</f>
        <v>0</v>
      </c>
      <c r="R39" s="22" t="str">
        <f t="shared" si="317"/>
        <v>N.D.</v>
      </c>
      <c r="S39" s="202">
        <f>SUM(S36:S38)</f>
        <v>0</v>
      </c>
      <c r="T39" s="22" t="str">
        <f t="shared" ref="T39:V39" si="318">IF(S$32=0,"N.D.",S39/S$32)</f>
        <v>N.D.</v>
      </c>
      <c r="U39" s="208">
        <f>SUM(U36:U38)</f>
        <v>0</v>
      </c>
      <c r="V39" s="22" t="str">
        <f t="shared" si="318"/>
        <v>N.D.</v>
      </c>
      <c r="W39" s="202">
        <f>SUM(W36:W38)</f>
        <v>0</v>
      </c>
      <c r="X39" s="22" t="str">
        <f t="shared" ref="X39:Z39" si="319">IF(W$32=0,"N.D.",W39/W$32)</f>
        <v>N.D.</v>
      </c>
      <c r="Y39" s="208">
        <f>SUM(Y36:Y38)</f>
        <v>0</v>
      </c>
      <c r="Z39" s="22" t="str">
        <f t="shared" si="319"/>
        <v>N.D.</v>
      </c>
      <c r="AA39" s="213">
        <f>SUM(AA36:AA38)</f>
        <v>0</v>
      </c>
      <c r="AB39" s="22" t="str">
        <f t="shared" ref="AB39" si="320">IF(AA$32=0,"N.D.",AA39/AA$32)</f>
        <v>N.D.</v>
      </c>
      <c r="AC39" s="277"/>
      <c r="AE39" s="4" t="s">
        <v>11</v>
      </c>
      <c r="AF39" s="14">
        <f>SUM(AF36:AF38)</f>
        <v>0</v>
      </c>
      <c r="AG39" s="22" t="str">
        <f t="shared" ref="AG39:AI39" si="321">IF(AF$32=0,"N.D.",AF39/AF$32)</f>
        <v>N.D.</v>
      </c>
      <c r="AH39" s="14">
        <f>SUM(AH36:AH38)</f>
        <v>0</v>
      </c>
      <c r="AI39" s="22" t="str">
        <f t="shared" si="321"/>
        <v>N.D.</v>
      </c>
      <c r="AJ39" s="14">
        <f>SUM(AJ36:AJ38)</f>
        <v>0</v>
      </c>
      <c r="AK39" s="22" t="str">
        <f t="shared" ref="AK39:AM39" si="322">IF(AJ$32=0,"N.D.",AJ39/AJ$32)</f>
        <v>N.D.</v>
      </c>
      <c r="AL39" s="14">
        <f>SUM(AL36:AL38)</f>
        <v>0</v>
      </c>
      <c r="AM39" s="22" t="str">
        <f t="shared" si="322"/>
        <v>N.D.</v>
      </c>
      <c r="AN39" s="14">
        <f>SUM(AN36:AN38)</f>
        <v>0</v>
      </c>
      <c r="AO39" s="22" t="str">
        <f t="shared" ref="AO39:AQ39" si="323">IF(AN$32=0,"N.D.",AN39/AN$32)</f>
        <v>N.D.</v>
      </c>
      <c r="AP39" s="14">
        <f>SUM(AP36:AP38)</f>
        <v>0</v>
      </c>
      <c r="AQ39" s="22" t="str">
        <f t="shared" si="323"/>
        <v>N.D.</v>
      </c>
      <c r="AR39" s="14">
        <f>SUM(AR36:AR38)</f>
        <v>0</v>
      </c>
      <c r="AS39" s="22" t="str">
        <f t="shared" ref="AS39:AU39" si="324">IF(AR$32=0,"N.D.",AR39/AR$32)</f>
        <v>N.D.</v>
      </c>
      <c r="AT39" s="14">
        <f>SUM(AT36:AT38)</f>
        <v>0</v>
      </c>
      <c r="AU39" s="22" t="str">
        <f t="shared" si="324"/>
        <v>N.D.</v>
      </c>
      <c r="AX39" s="4" t="s">
        <v>11</v>
      </c>
      <c r="AY39" s="208">
        <f>SUM(AY36:AY38)</f>
        <v>0</v>
      </c>
      <c r="AZ39" s="22" t="str">
        <f>IF(AY$32=0,"N.D.",AY39/AY$32)</f>
        <v>N.D.</v>
      </c>
      <c r="BA39" s="208">
        <f>SUM(BA36:BA38)</f>
        <v>0</v>
      </c>
      <c r="BB39" s="22" t="str">
        <f>IF(BA$32=0,"N.D.",BA39/BA$32)</f>
        <v>N.D.</v>
      </c>
      <c r="BC39" s="14">
        <f>SUM(BC36:BC38)</f>
        <v>0</v>
      </c>
      <c r="BD39" s="22" t="str">
        <f>IF(BC$32=0,"N.D.",BC39/BC$32)</f>
        <v>N.D.</v>
      </c>
      <c r="BE39" s="221"/>
      <c r="BG39" s="4" t="s">
        <v>169</v>
      </c>
      <c r="BH39" s="14">
        <f>SUM(BH36:BH38)</f>
        <v>0</v>
      </c>
      <c r="BI39" s="22" t="str">
        <f t="shared" si="279"/>
        <v>N.D.</v>
      </c>
      <c r="BJ39" s="208">
        <f>SUM(BJ36:BJ38)</f>
        <v>0</v>
      </c>
      <c r="BK39" s="22" t="str">
        <f t="shared" si="279"/>
        <v>N.D.</v>
      </c>
      <c r="BL39" s="208">
        <f>SUM(BL36:BL38)</f>
        <v>0</v>
      </c>
      <c r="BM39" s="22" t="str">
        <f t="shared" ref="BM39:BO39" si="325">IF(BL$32=0,"N.D.",BL39/BL$32)</f>
        <v>N.D.</v>
      </c>
      <c r="BN39" s="208">
        <f>SUM(BN36:BN38)</f>
        <v>0</v>
      </c>
      <c r="BO39" s="22" t="str">
        <f t="shared" si="325"/>
        <v>N.D.</v>
      </c>
      <c r="BP39" s="208">
        <f>SUM(BP36:BP38)</f>
        <v>0</v>
      </c>
      <c r="BQ39" s="22" t="str">
        <f t="shared" ref="BQ39:BS39" si="326">IF(BP$32=0,"N.D.",BP39/BP$32)</f>
        <v>N.D.</v>
      </c>
      <c r="BR39" s="14">
        <f>SUM(BR36:BR38)</f>
        <v>0</v>
      </c>
      <c r="BS39" s="22" t="str">
        <f t="shared" si="326"/>
        <v>N.D.</v>
      </c>
      <c r="BU39" s="4" t="s">
        <v>169</v>
      </c>
      <c r="BV39" s="208">
        <f>SUM(BV36:BV38)</f>
        <v>0</v>
      </c>
      <c r="BW39" s="22" t="str">
        <f t="shared" ref="BW39:BY39" si="327">IF(BV$32=0,"N.D.",BV39/BV$32)</f>
        <v>N.D.</v>
      </c>
      <c r="BX39" s="208">
        <f>SUM(BX36:BX38)</f>
        <v>0</v>
      </c>
      <c r="BY39" s="22" t="str">
        <f t="shared" si="327"/>
        <v>N.D.</v>
      </c>
      <c r="BZ39" s="208">
        <f>SUM(BZ36:BZ38)</f>
        <v>0</v>
      </c>
      <c r="CA39" s="22" t="str">
        <f t="shared" ref="CA39:CC39" si="328">IF(BZ$32=0,"N.D.",BZ39/BZ$32)</f>
        <v>N.D.</v>
      </c>
      <c r="CB39" s="208">
        <f>SUM(CB36:CB38)</f>
        <v>0</v>
      </c>
      <c r="CC39" s="22" t="str">
        <f t="shared" si="328"/>
        <v>N.D.</v>
      </c>
      <c r="CD39" s="208">
        <f>SUM(CD36:CD38)</f>
        <v>0</v>
      </c>
      <c r="CE39" s="22" t="str">
        <f t="shared" ref="CE39:CG39" si="329">IF(CD$32=0,"N.D.",CD39/CD$32)</f>
        <v>N.D.</v>
      </c>
      <c r="CF39" s="14">
        <f>SUM(CF36:CF38)</f>
        <v>0</v>
      </c>
      <c r="CG39" s="22" t="str">
        <f t="shared" si="329"/>
        <v>N.D.</v>
      </c>
    </row>
    <row r="40" spans="2:85" x14ac:dyDescent="0.35">
      <c r="B40" s="4" t="s">
        <v>12</v>
      </c>
      <c r="C40" s="212">
        <f>C34-C39</f>
        <v>0</v>
      </c>
      <c r="D40" s="22" t="str">
        <f t="shared" si="267"/>
        <v>N.D.</v>
      </c>
      <c r="E40" s="200">
        <f>E34-E39</f>
        <v>0</v>
      </c>
      <c r="F40" s="22" t="str">
        <f t="shared" si="267"/>
        <v>N.D.</v>
      </c>
      <c r="G40" s="209">
        <f>G34-G39</f>
        <v>0</v>
      </c>
      <c r="H40" s="22" t="str">
        <f t="shared" ref="H40" si="330">IF(G$32=0,"N.D.",G40/G$32)</f>
        <v>N.D.</v>
      </c>
      <c r="I40" s="200">
        <f>I34-I39</f>
        <v>0</v>
      </c>
      <c r="J40" s="22" t="str">
        <f t="shared" ref="J40:L40" si="331">IF(I$32=0,"N.D.",I40/I$32)</f>
        <v>N.D.</v>
      </c>
      <c r="K40" s="210">
        <f>K34-K39</f>
        <v>0</v>
      </c>
      <c r="L40" s="22" t="str">
        <f t="shared" si="331"/>
        <v>N.D.</v>
      </c>
      <c r="N40" s="4" t="s">
        <v>12</v>
      </c>
      <c r="O40" s="212">
        <f>O34-O39</f>
        <v>0</v>
      </c>
      <c r="P40" s="22" t="str">
        <f t="shared" ref="P40:R40" si="332">IF(O$32=0,"N.D.",O40/O$32)</f>
        <v>N.D.</v>
      </c>
      <c r="Q40" s="200">
        <f>Q34-Q39</f>
        <v>0</v>
      </c>
      <c r="R40" s="22" t="str">
        <f t="shared" si="332"/>
        <v>N.D.</v>
      </c>
      <c r="S40" s="209">
        <f>S34-S39</f>
        <v>0</v>
      </c>
      <c r="T40" s="22" t="str">
        <f t="shared" ref="T40:V40" si="333">IF(S$32=0,"N.D.",S40/S$32)</f>
        <v>N.D.</v>
      </c>
      <c r="U40" s="200">
        <f>U34-U39</f>
        <v>0</v>
      </c>
      <c r="V40" s="22" t="str">
        <f t="shared" si="333"/>
        <v>N.D.</v>
      </c>
      <c r="W40" s="209">
        <f>W34-W39</f>
        <v>0</v>
      </c>
      <c r="X40" s="22" t="str">
        <f t="shared" ref="X40:Z40" si="334">IF(W$32=0,"N.D.",W40/W$32)</f>
        <v>N.D.</v>
      </c>
      <c r="Y40" s="200">
        <f>Y34-Y39</f>
        <v>0</v>
      </c>
      <c r="Z40" s="22" t="str">
        <f t="shared" si="334"/>
        <v>N.D.</v>
      </c>
      <c r="AA40" s="210">
        <f>AA34-AA39</f>
        <v>0</v>
      </c>
      <c r="AB40" s="22" t="str">
        <f t="shared" ref="AB40" si="335">IF(AA$32=0,"N.D.",AA40/AA$32)</f>
        <v>N.D.</v>
      </c>
      <c r="AC40" s="277"/>
      <c r="AE40" s="4" t="s">
        <v>12</v>
      </c>
      <c r="AF40" s="20">
        <f>AF34-AF39</f>
        <v>0</v>
      </c>
      <c r="AG40" s="22" t="str">
        <f t="shared" ref="AG40:AI40" si="336">IF(AF$32=0,"N.D.",AF40/AF$32)</f>
        <v>N.D.</v>
      </c>
      <c r="AH40" s="20">
        <f>AH34-AH39</f>
        <v>0</v>
      </c>
      <c r="AI40" s="22" t="str">
        <f t="shared" si="336"/>
        <v>N.D.</v>
      </c>
      <c r="AJ40" s="20">
        <f>AJ34-AJ39</f>
        <v>0</v>
      </c>
      <c r="AK40" s="22" t="str">
        <f t="shared" ref="AK40:AM40" si="337">IF(AJ$32=0,"N.D.",AJ40/AJ$32)</f>
        <v>N.D.</v>
      </c>
      <c r="AL40" s="20">
        <f>AL34-AL39</f>
        <v>0</v>
      </c>
      <c r="AM40" s="22" t="str">
        <f t="shared" si="337"/>
        <v>N.D.</v>
      </c>
      <c r="AN40" s="20">
        <f>AN34-AN39</f>
        <v>0</v>
      </c>
      <c r="AO40" s="22" t="str">
        <f t="shared" ref="AO40:AQ40" si="338">IF(AN$32=0,"N.D.",AN40/AN$32)</f>
        <v>N.D.</v>
      </c>
      <c r="AP40" s="20">
        <f>AP34-AP39</f>
        <v>0</v>
      </c>
      <c r="AQ40" s="22" t="str">
        <f t="shared" si="338"/>
        <v>N.D.</v>
      </c>
      <c r="AR40" s="20">
        <f>AR34-AR39</f>
        <v>0</v>
      </c>
      <c r="AS40" s="22" t="str">
        <f t="shared" ref="AS40:AU40" si="339">IF(AR$32=0,"N.D.",AR40/AR$32)</f>
        <v>N.D.</v>
      </c>
      <c r="AT40" s="20">
        <f>AT34-AT39</f>
        <v>0</v>
      </c>
      <c r="AU40" s="22" t="str">
        <f t="shared" si="339"/>
        <v>N.D.</v>
      </c>
      <c r="AX40" s="4" t="s">
        <v>12</v>
      </c>
      <c r="AY40" s="14">
        <f>AY34-AY39</f>
        <v>0</v>
      </c>
      <c r="AZ40" s="22" t="str">
        <f>IF(AY$32=0,"N.D.",AY40/AY$32)</f>
        <v>N.D.</v>
      </c>
      <c r="BA40" s="14">
        <f>BA34-BA39</f>
        <v>0</v>
      </c>
      <c r="BB40" s="22" t="str">
        <f>IF(BA$32=0,"N.D.",BA40/BA$32)</f>
        <v>N.D.</v>
      </c>
      <c r="BC40" s="20">
        <f>BC34-BC39</f>
        <v>0</v>
      </c>
      <c r="BD40" s="22" t="str">
        <f>IF(BC$32=0,"N.D.",BC40/BC$32)</f>
        <v>N.D.</v>
      </c>
      <c r="BE40" s="221"/>
      <c r="BG40" s="4" t="s">
        <v>170</v>
      </c>
      <c r="BH40" s="20">
        <f>BH34-BH39</f>
        <v>0</v>
      </c>
      <c r="BI40" s="22" t="str">
        <f t="shared" si="279"/>
        <v>N.D.</v>
      </c>
      <c r="BJ40" s="14">
        <f>BJ34-BJ39</f>
        <v>0</v>
      </c>
      <c r="BK40" s="22" t="str">
        <f t="shared" si="279"/>
        <v>N.D.</v>
      </c>
      <c r="BL40" s="14">
        <f>BL34-BL39</f>
        <v>0</v>
      </c>
      <c r="BM40" s="22" t="str">
        <f t="shared" ref="BM40:BO40" si="340">IF(BL$32=0,"N.D.",BL40/BL$32)</f>
        <v>N.D.</v>
      </c>
      <c r="BN40" s="14">
        <f>BN34-BN39</f>
        <v>0</v>
      </c>
      <c r="BO40" s="22" t="str">
        <f t="shared" si="340"/>
        <v>N.D.</v>
      </c>
      <c r="BP40" s="14">
        <f>BP34-BP39</f>
        <v>0</v>
      </c>
      <c r="BQ40" s="22" t="str">
        <f t="shared" ref="BQ40:BS40" si="341">IF(BP$32=0,"N.D.",BP40/BP$32)</f>
        <v>N.D.</v>
      </c>
      <c r="BR40" s="20">
        <f>BR34-BR39</f>
        <v>0</v>
      </c>
      <c r="BS40" s="22" t="str">
        <f t="shared" si="341"/>
        <v>N.D.</v>
      </c>
      <c r="BU40" s="4" t="s">
        <v>170</v>
      </c>
      <c r="BV40" s="14">
        <f>BV34-BV39</f>
        <v>0</v>
      </c>
      <c r="BW40" s="22" t="str">
        <f t="shared" ref="BW40:BY40" si="342">IF(BV$32=0,"N.D.",BV40/BV$32)</f>
        <v>N.D.</v>
      </c>
      <c r="BX40" s="14">
        <f>BX34-BX39</f>
        <v>0</v>
      </c>
      <c r="BY40" s="22" t="str">
        <f t="shared" si="342"/>
        <v>N.D.</v>
      </c>
      <c r="BZ40" s="14">
        <f>BZ34-BZ39</f>
        <v>0</v>
      </c>
      <c r="CA40" s="22" t="str">
        <f t="shared" ref="CA40:CC40" si="343">IF(BZ$32=0,"N.D.",BZ40/BZ$32)</f>
        <v>N.D.</v>
      </c>
      <c r="CB40" s="14">
        <f>CB34-CB39</f>
        <v>0</v>
      </c>
      <c r="CC40" s="22" t="str">
        <f t="shared" si="343"/>
        <v>N.D.</v>
      </c>
      <c r="CD40" s="14">
        <f>CD34-CD39</f>
        <v>0</v>
      </c>
      <c r="CE40" s="22" t="str">
        <f t="shared" ref="CE40:CG40" si="344">IF(CD$32=0,"N.D.",CD40/CD$32)</f>
        <v>N.D.</v>
      </c>
      <c r="CF40" s="20">
        <f>CF34-CF39</f>
        <v>0</v>
      </c>
      <c r="CG40" s="22" t="str">
        <f t="shared" si="344"/>
        <v>N.D.</v>
      </c>
    </row>
    <row r="41" spans="2:85" x14ac:dyDescent="0.35">
      <c r="B41" s="1"/>
      <c r="C41" s="217"/>
      <c r="D41" s="30"/>
      <c r="E41" s="217"/>
      <c r="F41" s="30"/>
      <c r="G41" s="217"/>
      <c r="H41" s="30"/>
      <c r="I41" s="217"/>
      <c r="J41" s="30"/>
      <c r="K41" s="217"/>
      <c r="L41" s="30"/>
      <c r="N41" s="1"/>
      <c r="O41" s="217"/>
      <c r="P41" s="30"/>
      <c r="Q41" s="217"/>
      <c r="R41" s="30"/>
      <c r="S41" s="217"/>
      <c r="T41" s="30"/>
      <c r="U41" s="217"/>
      <c r="V41" s="30"/>
      <c r="W41" s="217"/>
      <c r="X41" s="30"/>
      <c r="Y41" s="217"/>
      <c r="Z41" s="30"/>
      <c r="AA41" s="217"/>
      <c r="AB41" s="30"/>
      <c r="AC41" s="275"/>
      <c r="AE41" s="1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X41" s="1"/>
      <c r="AY41" s="30"/>
      <c r="AZ41" s="30"/>
      <c r="BA41" s="30"/>
      <c r="BB41" s="30"/>
      <c r="BC41" s="30"/>
      <c r="BD41" s="30"/>
      <c r="BE41" s="30"/>
      <c r="BG41" s="1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U41" s="1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2:85" x14ac:dyDescent="0.35">
      <c r="B42" s="7" t="s">
        <v>13</v>
      </c>
      <c r="C42" s="198">
        <f>BDER!$D166/1000+ajustes!B23</f>
        <v>0</v>
      </c>
      <c r="D42" s="220" t="str">
        <f t="shared" ref="D42:F48" si="345">IF(C$32=0,"N.D.",C42/C$32)</f>
        <v>N.D.</v>
      </c>
      <c r="E42" s="11">
        <f>BDER!$D144/1000+ajustes!C23</f>
        <v>0</v>
      </c>
      <c r="F42" s="220" t="str">
        <f t="shared" si="345"/>
        <v>N.D.</v>
      </c>
      <c r="G42" s="30">
        <f>BDER!$D210/1000+ajustes!D23</f>
        <v>0</v>
      </c>
      <c r="H42" s="220" t="str">
        <f t="shared" ref="H42" si="346">IF(G$32=0,"N.D.",G42/G$32)</f>
        <v>N.D.</v>
      </c>
      <c r="I42" s="11">
        <f>BDER!$D188/1000+ajustes!E23</f>
        <v>0</v>
      </c>
      <c r="J42" s="220" t="str">
        <f t="shared" ref="J42:L42" si="347">IF(I$32=0,"N.D.",I42/I$32)</f>
        <v>N.D.</v>
      </c>
      <c r="K42" s="206">
        <f t="shared" ref="K42:K46" si="348">SUM(C42,E42,G42,I42)</f>
        <v>0</v>
      </c>
      <c r="L42" s="220" t="str">
        <f t="shared" si="347"/>
        <v>N.D.</v>
      </c>
      <c r="N42" s="7" t="s">
        <v>13</v>
      </c>
      <c r="O42" s="198">
        <f>BDER!$D12/1000+ajustes!F23</f>
        <v>0</v>
      </c>
      <c r="P42" s="220" t="str">
        <f t="shared" ref="P42:R42" si="349">IF(O$32=0,"N.D.",O42/O$32)</f>
        <v>N.D.</v>
      </c>
      <c r="Q42" s="11">
        <f>BDER!$D34/1000+ajustes!G23</f>
        <v>0</v>
      </c>
      <c r="R42" s="220" t="str">
        <f t="shared" si="349"/>
        <v>N.D.</v>
      </c>
      <c r="S42" s="30">
        <f>BDER!$D56/1000+ajustes!H23</f>
        <v>0</v>
      </c>
      <c r="T42" s="220" t="str">
        <f t="shared" ref="T42:V42" si="350">IF(S$32=0,"N.D.",S42/S$32)</f>
        <v>N.D.</v>
      </c>
      <c r="U42" s="11">
        <f>BDER!$D78/1000+ajustes!I23</f>
        <v>0</v>
      </c>
      <c r="V42" s="220" t="str">
        <f t="shared" si="350"/>
        <v>N.D.</v>
      </c>
      <c r="W42" s="30">
        <f>BDER!$D100/1000+ajustes!J23</f>
        <v>0</v>
      </c>
      <c r="X42" s="220" t="str">
        <f t="shared" ref="X42:Z42" si="351">IF(W$32=0,"N.D.",W42/W$32)</f>
        <v>N.D.</v>
      </c>
      <c r="Y42" s="11">
        <f>BDER!$D122/1000+ajustes!K23</f>
        <v>0</v>
      </c>
      <c r="Z42" s="220" t="str">
        <f t="shared" si="351"/>
        <v>N.D.</v>
      </c>
      <c r="AA42" s="206">
        <f t="shared" ref="AA42:AA46" si="352">SUM(O42,Q42,S42,U42,W42,Y42)</f>
        <v>0</v>
      </c>
      <c r="AB42" s="220" t="str">
        <f t="shared" ref="AB42" si="353">IF(AA$32=0,"N.D.",AA42/AA$32)</f>
        <v>N.D.</v>
      </c>
      <c r="AC42" s="276"/>
      <c r="AE42" s="7" t="s">
        <v>13</v>
      </c>
      <c r="AF42" s="8">
        <f>BDER!$D298/1000+ajustes!L23</f>
        <v>0</v>
      </c>
      <c r="AG42" s="220" t="str">
        <f t="shared" ref="AG42:AI42" si="354">IF(AF$32=0,"N.D.",AF42/AF$32)</f>
        <v>N.D.</v>
      </c>
      <c r="AH42" s="8">
        <f>BDER!$D320/1000+ajustes!M23</f>
        <v>0</v>
      </c>
      <c r="AI42" s="220" t="str">
        <f t="shared" si="354"/>
        <v>N.D.</v>
      </c>
      <c r="AJ42" s="8">
        <f>BDER!$D364/1000+ajustes!N23</f>
        <v>0</v>
      </c>
      <c r="AK42" s="220" t="str">
        <f t="shared" ref="AK42:AM42" si="355">IF(AJ$32=0,"N.D.",AJ42/AJ$32)</f>
        <v>N.D.</v>
      </c>
      <c r="AL42" s="8">
        <f>BDER!$D342/2000+ajustes!O23</f>
        <v>0</v>
      </c>
      <c r="AM42" s="220" t="str">
        <f t="shared" si="355"/>
        <v>N.D.</v>
      </c>
      <c r="AN42" s="8">
        <f>ajustes!P23</f>
        <v>0</v>
      </c>
      <c r="AO42" s="220" t="str">
        <f t="shared" ref="AO42:AQ42" si="356">IF(AN$32=0,"N.D.",AN42/AN$32)</f>
        <v>N.D.</v>
      </c>
      <c r="AP42" s="8">
        <f>BDER!$D408/1000+ajustes!Q23</f>
        <v>0</v>
      </c>
      <c r="AQ42" s="220" t="str">
        <f t="shared" si="356"/>
        <v>N.D.</v>
      </c>
      <c r="AR42" s="8">
        <f>BDER!$D386/1000+ajustes!R23</f>
        <v>0</v>
      </c>
      <c r="AS42" s="220" t="str">
        <f t="shared" ref="AS42:AU42" si="357">IF(AR$32=0,"N.D.",AR42/AR$32)</f>
        <v>N.D.</v>
      </c>
      <c r="AT42" s="8">
        <f>SUM(AF42,AH42,AJ42,AL42,AP42,AR42,AN42)</f>
        <v>0</v>
      </c>
      <c r="AU42" s="220" t="str">
        <f t="shared" si="357"/>
        <v>N.D.</v>
      </c>
      <c r="AX42" s="7" t="s">
        <v>13</v>
      </c>
      <c r="AY42" s="8">
        <f>BDER!$D452/1000+ajustes!S23</f>
        <v>0</v>
      </c>
      <c r="AZ42" s="220" t="str">
        <f t="shared" ref="AZ42:AZ48" si="358">IF(AY$32=0,"N.D.",AY42/AY$32)</f>
        <v>N.D.</v>
      </c>
      <c r="BA42" s="204">
        <f>BDER!$D430/1000+ajustes!T23</f>
        <v>0</v>
      </c>
      <c r="BB42" s="220" t="str">
        <f t="shared" ref="BB42:BB48" si="359">IF(BA$32=0,"N.D.",BA42/BA$32)</f>
        <v>N.D.</v>
      </c>
      <c r="BC42" s="204">
        <f t="shared" ref="BC42:BC46" si="360">SUM(AY42,BA42)</f>
        <v>0</v>
      </c>
      <c r="BD42" s="220" t="str">
        <f t="shared" ref="BD42:BD48" si="361">IF(BC$32=0,"N.D.",BC42/BC$32)</f>
        <v>N.D.</v>
      </c>
      <c r="BE42" s="187"/>
      <c r="BG42" s="7" t="s">
        <v>171</v>
      </c>
      <c r="BH42" s="194">
        <f>BDER!$D$678/1000+ajustes!U24</f>
        <v>0</v>
      </c>
      <c r="BI42" s="220" t="str">
        <f t="shared" ref="BI42:BK46" si="362">IF(BH$32=0,"N.D.",BH42/BH$32)</f>
        <v>N.D.</v>
      </c>
      <c r="BJ42" s="194">
        <f>BDER!$D476/1000+ajustes!V24</f>
        <v>0</v>
      </c>
      <c r="BK42" s="220" t="str">
        <f t="shared" si="362"/>
        <v>N.D.</v>
      </c>
      <c r="BL42" s="8">
        <f>BDER!$D499/1000+ajustes!W24</f>
        <v>0</v>
      </c>
      <c r="BM42" s="220" t="str">
        <f t="shared" ref="BM42:BO42" si="363">IF(BL$32=0,"N.D.",BL42/BL$32)</f>
        <v>N.D.</v>
      </c>
      <c r="BN42" s="195">
        <f>BDER!$D566/1000+ajustes!X24</f>
        <v>0</v>
      </c>
      <c r="BO42" s="220" t="str">
        <f t="shared" si="363"/>
        <v>N.D.</v>
      </c>
      <c r="BP42" s="8">
        <f>BDER!$D611/1000+ajustes!Y24</f>
        <v>0</v>
      </c>
      <c r="BQ42" s="220" t="str">
        <f t="shared" ref="BQ42:BS42" si="364">IF(BP$32=0,"N.D.",BP42/BP$32)</f>
        <v>N.D.</v>
      </c>
      <c r="BR42" s="204">
        <f>SUM(BJ42,BL42,BN42,BP42)+BH42</f>
        <v>0</v>
      </c>
      <c r="BS42" s="220" t="str">
        <f t="shared" si="364"/>
        <v>N.D.</v>
      </c>
      <c r="BU42" s="7" t="s">
        <v>171</v>
      </c>
      <c r="BV42" s="194">
        <f>BDER!$D521/1000+ajustes!Z24</f>
        <v>0</v>
      </c>
      <c r="BW42" s="220" t="str">
        <f t="shared" ref="BW42:BY42" si="365">IF(BV$32=0,"N.D.",BV42/BV$32)</f>
        <v>N.D.</v>
      </c>
      <c r="BX42" s="8">
        <f>BDER!$D588/1000+ajustes!AA24</f>
        <v>0</v>
      </c>
      <c r="BY42" s="220" t="str">
        <f t="shared" si="365"/>
        <v>N.D.</v>
      </c>
      <c r="BZ42" s="195">
        <f>BDER!$D633/1000+ajustes!AB24</f>
        <v>0</v>
      </c>
      <c r="CA42" s="220" t="str">
        <f t="shared" ref="CA42:CC42" si="366">IF(BZ$32=0,"N.D.",BZ42/BZ$32)</f>
        <v>N.D.</v>
      </c>
      <c r="CB42" s="8">
        <f>BDER!$D543/1000+ajustes!AC24</f>
        <v>0</v>
      </c>
      <c r="CC42" s="220" t="str">
        <f t="shared" si="366"/>
        <v>N.D.</v>
      </c>
      <c r="CD42" s="204">
        <f>BDER!$D655/1000+ajustes!AD24</f>
        <v>0</v>
      </c>
      <c r="CE42" s="220" t="str">
        <f t="shared" ref="CE42:CG42" si="367">IF(CD$32=0,"N.D.",CD42/CD$32)</f>
        <v>N.D.</v>
      </c>
      <c r="CF42" s="204">
        <f>SUM(BV42,BX42,BZ42,CB42,CD42)</f>
        <v>0</v>
      </c>
      <c r="CG42" s="220" t="str">
        <f t="shared" si="367"/>
        <v>N.D.</v>
      </c>
    </row>
    <row r="43" spans="2:85" x14ac:dyDescent="0.35">
      <c r="B43" s="7" t="s">
        <v>14</v>
      </c>
      <c r="C43" s="198">
        <f>BDER!$D167/1000+ajustes!B24</f>
        <v>0</v>
      </c>
      <c r="D43" s="219" t="str">
        <f t="shared" si="345"/>
        <v>N.D.</v>
      </c>
      <c r="E43" s="11">
        <f>BDER!$D145/1000+ajustes!C24</f>
        <v>0</v>
      </c>
      <c r="F43" s="219" t="str">
        <f t="shared" si="345"/>
        <v>N.D.</v>
      </c>
      <c r="G43" s="30">
        <f>BDER!$D211/1000+ajustes!D24</f>
        <v>0</v>
      </c>
      <c r="H43" s="219" t="str">
        <f t="shared" ref="H43" si="368">IF(G$32=0,"N.D.",G43/G$32)</f>
        <v>N.D.</v>
      </c>
      <c r="I43" s="11">
        <f>BDER!$D189/1000+ajustes!E24</f>
        <v>0</v>
      </c>
      <c r="J43" s="219" t="str">
        <f t="shared" ref="J43:L43" si="369">IF(I$32=0,"N.D.",I43/I$32)</f>
        <v>N.D.</v>
      </c>
      <c r="K43" s="206">
        <f t="shared" si="348"/>
        <v>0</v>
      </c>
      <c r="L43" s="219" t="str">
        <f t="shared" si="369"/>
        <v>N.D.</v>
      </c>
      <c r="N43" s="7" t="s">
        <v>14</v>
      </c>
      <c r="O43" s="198">
        <f>BDER!$D13/1000+ajustes!F24</f>
        <v>0</v>
      </c>
      <c r="P43" s="219" t="str">
        <f t="shared" ref="P43:R43" si="370">IF(O$32=0,"N.D.",O43/O$32)</f>
        <v>N.D.</v>
      </c>
      <c r="Q43" s="11">
        <f>BDER!$D35/1000+ajustes!G24</f>
        <v>0</v>
      </c>
      <c r="R43" s="219" t="str">
        <f t="shared" si="370"/>
        <v>N.D.</v>
      </c>
      <c r="S43" s="30">
        <f>BDER!$D57/1000+ajustes!H24</f>
        <v>0</v>
      </c>
      <c r="T43" s="219" t="str">
        <f t="shared" ref="T43:V43" si="371">IF(S$32=0,"N.D.",S43/S$32)</f>
        <v>N.D.</v>
      </c>
      <c r="U43" s="11">
        <f>BDER!$D79/1000+ajustes!I24</f>
        <v>0</v>
      </c>
      <c r="V43" s="219" t="str">
        <f t="shared" si="371"/>
        <v>N.D.</v>
      </c>
      <c r="W43" s="30">
        <f>BDER!$D101/1000+ajustes!J24</f>
        <v>0</v>
      </c>
      <c r="X43" s="219" t="str">
        <f t="shared" ref="X43:Z43" si="372">IF(W$32=0,"N.D.",W43/W$32)</f>
        <v>N.D.</v>
      </c>
      <c r="Y43" s="11">
        <f>BDER!$D123/1000+ajustes!K24</f>
        <v>0</v>
      </c>
      <c r="Z43" s="219" t="str">
        <f t="shared" si="372"/>
        <v>N.D.</v>
      </c>
      <c r="AA43" s="206">
        <f t="shared" si="352"/>
        <v>0</v>
      </c>
      <c r="AB43" s="219" t="str">
        <f t="shared" ref="AB43" si="373">IF(AA$32=0,"N.D.",AA43/AA$32)</f>
        <v>N.D.</v>
      </c>
      <c r="AC43" s="276"/>
      <c r="AE43" s="7" t="s">
        <v>14</v>
      </c>
      <c r="AF43" s="11">
        <f>BDER!$D299/1000+ajustes!L24</f>
        <v>0</v>
      </c>
      <c r="AG43" s="219" t="str">
        <f t="shared" ref="AG43:AI43" si="374">IF(AF$32=0,"N.D.",AF43/AF$32)</f>
        <v>N.D.</v>
      </c>
      <c r="AH43" s="11">
        <f>BDER!$D321/1000+ajustes!M24</f>
        <v>0</v>
      </c>
      <c r="AI43" s="219" t="str">
        <f t="shared" si="374"/>
        <v>N.D.</v>
      </c>
      <c r="AJ43" s="11">
        <f>BDER!$D365/1000+ajustes!N24</f>
        <v>0</v>
      </c>
      <c r="AK43" s="219" t="str">
        <f t="shared" ref="AK43:AM43" si="375">IF(AJ$32=0,"N.D.",AJ43/AJ$32)</f>
        <v>N.D.</v>
      </c>
      <c r="AL43" s="11">
        <f>BDER!$D343/2000+ajustes!O24</f>
        <v>0</v>
      </c>
      <c r="AM43" s="219" t="str">
        <f t="shared" si="375"/>
        <v>N.D.</v>
      </c>
      <c r="AN43" s="11">
        <f>ajustes!P24</f>
        <v>0</v>
      </c>
      <c r="AO43" s="219" t="str">
        <f t="shared" ref="AO43:AQ43" si="376">IF(AN$32=0,"N.D.",AN43/AN$32)</f>
        <v>N.D.</v>
      </c>
      <c r="AP43" s="11">
        <f>BDER!$D409/1000+ajustes!Q24</f>
        <v>0</v>
      </c>
      <c r="AQ43" s="219" t="str">
        <f t="shared" si="376"/>
        <v>N.D.</v>
      </c>
      <c r="AR43" s="11">
        <f>BDER!$D387/1000+ajustes!R24</f>
        <v>0</v>
      </c>
      <c r="AS43" s="219" t="str">
        <f t="shared" ref="AS43:AU43" si="377">IF(AR$32=0,"N.D.",AR43/AR$32)</f>
        <v>N.D.</v>
      </c>
      <c r="AT43" s="11">
        <f t="shared" ref="AT43:AT46" si="378">SUM(AF43,AH43,AJ43,AL43,AP43,AR43,AN43)</f>
        <v>0</v>
      </c>
      <c r="AU43" s="219" t="str">
        <f t="shared" si="377"/>
        <v>N.D.</v>
      </c>
      <c r="AX43" s="7" t="s">
        <v>14</v>
      </c>
      <c r="AY43" s="11">
        <f>BDER!$D453/1000+ajustes!S24</f>
        <v>0</v>
      </c>
      <c r="AZ43" s="219" t="str">
        <f t="shared" si="358"/>
        <v>N.D.</v>
      </c>
      <c r="BA43" s="206">
        <f>BDER!$D431/1000+ajustes!T24</f>
        <v>0</v>
      </c>
      <c r="BB43" s="219" t="str">
        <f t="shared" si="359"/>
        <v>N.D.</v>
      </c>
      <c r="BC43" s="206">
        <f t="shared" si="360"/>
        <v>0</v>
      </c>
      <c r="BD43" s="219" t="str">
        <f t="shared" si="361"/>
        <v>N.D.</v>
      </c>
      <c r="BE43" s="187"/>
      <c r="BG43" s="7" t="s">
        <v>172</v>
      </c>
      <c r="BH43" s="198">
        <f>BDER!$D$679/1000+ajustes!U25</f>
        <v>0</v>
      </c>
      <c r="BI43" s="219" t="str">
        <f t="shared" si="362"/>
        <v>N.D.</v>
      </c>
      <c r="BJ43" s="198">
        <f>BDER!$D477/1000+ajustes!V25</f>
        <v>0</v>
      </c>
      <c r="BK43" s="219" t="str">
        <f t="shared" si="362"/>
        <v>N.D.</v>
      </c>
      <c r="BL43" s="11">
        <f>BDER!$D500/1000+ajustes!W25</f>
        <v>0</v>
      </c>
      <c r="BM43" s="219" t="str">
        <f t="shared" ref="BM43:BO43" si="379">IF(BL$32=0,"N.D.",BL43/BL$32)</f>
        <v>N.D.</v>
      </c>
      <c r="BN43" s="30">
        <f>BDER!$D567/1000+ajustes!X25</f>
        <v>0</v>
      </c>
      <c r="BO43" s="219" t="str">
        <f t="shared" si="379"/>
        <v>N.D.</v>
      </c>
      <c r="BP43" s="11">
        <f>BDER!$D612/1000+ajustes!Y25</f>
        <v>0</v>
      </c>
      <c r="BQ43" s="219" t="str">
        <f t="shared" ref="BQ43:BS43" si="380">IF(BP$32=0,"N.D.",BP43/BP$32)</f>
        <v>N.D.</v>
      </c>
      <c r="BR43" s="206">
        <f t="shared" ref="BR43:BR44" si="381">SUM(BJ43,BL43,BN43,BP43)+BH43</f>
        <v>0</v>
      </c>
      <c r="BS43" s="219" t="str">
        <f t="shared" si="380"/>
        <v>N.D.</v>
      </c>
      <c r="BU43" s="7" t="s">
        <v>172</v>
      </c>
      <c r="BV43" s="198">
        <f>BDER!$D522/1000+ajustes!Z25</f>
        <v>0</v>
      </c>
      <c r="BW43" s="219" t="str">
        <f t="shared" ref="BW43:BY43" si="382">IF(BV$32=0,"N.D.",BV43/BV$32)</f>
        <v>N.D.</v>
      </c>
      <c r="BX43" s="11">
        <f>BDER!$D589/1000+ajustes!AA25</f>
        <v>0</v>
      </c>
      <c r="BY43" s="219" t="str">
        <f t="shared" si="382"/>
        <v>N.D.</v>
      </c>
      <c r="BZ43" s="30">
        <f>BDER!$D634/1000+ajustes!AB25</f>
        <v>0</v>
      </c>
      <c r="CA43" s="219" t="str">
        <f t="shared" ref="CA43:CC43" si="383">IF(BZ$32=0,"N.D.",BZ43/BZ$32)</f>
        <v>N.D.</v>
      </c>
      <c r="CB43" s="11">
        <f>BDER!$D544/1000+ajustes!AC25</f>
        <v>0</v>
      </c>
      <c r="CC43" s="219" t="str">
        <f t="shared" si="383"/>
        <v>N.D.</v>
      </c>
      <c r="CD43" s="206">
        <f>BDER!$D656/1000+ajustes!AD25</f>
        <v>0</v>
      </c>
      <c r="CE43" s="219" t="str">
        <f t="shared" ref="CE43:CG43" si="384">IF(CD$32=0,"N.D.",CD43/CD$32)</f>
        <v>N.D.</v>
      </c>
      <c r="CF43" s="206">
        <f>SUM(BV43,BX43,BZ43,CB43,CD43)</f>
        <v>0</v>
      </c>
      <c r="CG43" s="219" t="str">
        <f t="shared" si="384"/>
        <v>N.D.</v>
      </c>
    </row>
    <row r="44" spans="2:85" x14ac:dyDescent="0.35">
      <c r="B44" s="7" t="s">
        <v>15</v>
      </c>
      <c r="C44" s="198">
        <f>BDER!$D168/1000+ajustes!B25</f>
        <v>0</v>
      </c>
      <c r="D44" s="219" t="str">
        <f t="shared" si="345"/>
        <v>N.D.</v>
      </c>
      <c r="E44" s="11">
        <f>BDER!$D146/1000+ajustes!C25</f>
        <v>0</v>
      </c>
      <c r="F44" s="219" t="str">
        <f t="shared" si="345"/>
        <v>N.D.</v>
      </c>
      <c r="G44" s="30">
        <f>BDER!$D212/1000+ajustes!D25</f>
        <v>0</v>
      </c>
      <c r="H44" s="219" t="str">
        <f t="shared" ref="H44" si="385">IF(G$32=0,"N.D.",G44/G$32)</f>
        <v>N.D.</v>
      </c>
      <c r="I44" s="11">
        <f>BDER!$D190/1000+ajustes!E25</f>
        <v>0</v>
      </c>
      <c r="J44" s="219" t="str">
        <f t="shared" ref="J44:L44" si="386">IF(I$32=0,"N.D.",I44/I$32)</f>
        <v>N.D.</v>
      </c>
      <c r="K44" s="206">
        <f t="shared" si="348"/>
        <v>0</v>
      </c>
      <c r="L44" s="219" t="str">
        <f t="shared" si="386"/>
        <v>N.D.</v>
      </c>
      <c r="N44" s="7" t="s">
        <v>15</v>
      </c>
      <c r="O44" s="198">
        <f>BDER!$D14/1000+ajustes!F25</f>
        <v>0</v>
      </c>
      <c r="P44" s="219" t="str">
        <f t="shared" ref="P44:R44" si="387">IF(O$32=0,"N.D.",O44/O$32)</f>
        <v>N.D.</v>
      </c>
      <c r="Q44" s="11">
        <f>BDER!$D36/1000+ajustes!G25</f>
        <v>0</v>
      </c>
      <c r="R44" s="219" t="str">
        <f t="shared" si="387"/>
        <v>N.D.</v>
      </c>
      <c r="S44" s="30">
        <f>BDER!$D58/1000+ajustes!H25</f>
        <v>0</v>
      </c>
      <c r="T44" s="219" t="str">
        <f t="shared" ref="T44:V44" si="388">IF(S$32=0,"N.D.",S44/S$32)</f>
        <v>N.D.</v>
      </c>
      <c r="U44" s="11">
        <f>BDER!$D80/1000+ajustes!I25</f>
        <v>0</v>
      </c>
      <c r="V44" s="219" t="str">
        <f t="shared" si="388"/>
        <v>N.D.</v>
      </c>
      <c r="W44" s="30">
        <f>BDER!$D102/1000+ajustes!J25</f>
        <v>0</v>
      </c>
      <c r="X44" s="219" t="str">
        <f t="shared" ref="X44:Z44" si="389">IF(W$32=0,"N.D.",W44/W$32)</f>
        <v>N.D.</v>
      </c>
      <c r="Y44" s="11">
        <f>BDER!$D124/1000+ajustes!K25</f>
        <v>0</v>
      </c>
      <c r="Z44" s="219" t="str">
        <f t="shared" si="389"/>
        <v>N.D.</v>
      </c>
      <c r="AA44" s="206">
        <f t="shared" si="352"/>
        <v>0</v>
      </c>
      <c r="AB44" s="219" t="str">
        <f t="shared" ref="AB44" si="390">IF(AA$32=0,"N.D.",AA44/AA$32)</f>
        <v>N.D.</v>
      </c>
      <c r="AC44" s="276"/>
      <c r="AE44" s="7" t="s">
        <v>15</v>
      </c>
      <c r="AF44" s="11">
        <f>BDER!$D300/1000+ajustes!L25</f>
        <v>0</v>
      </c>
      <c r="AG44" s="219" t="str">
        <f t="shared" ref="AG44:AI44" si="391">IF(AF$32=0,"N.D.",AF44/AF$32)</f>
        <v>N.D.</v>
      </c>
      <c r="AH44" s="11">
        <f>BDER!$D322/1000+ajustes!M25</f>
        <v>0</v>
      </c>
      <c r="AI44" s="219" t="str">
        <f t="shared" si="391"/>
        <v>N.D.</v>
      </c>
      <c r="AJ44" s="11">
        <f>BDER!$D366/1000+ajustes!N25</f>
        <v>0</v>
      </c>
      <c r="AK44" s="219" t="str">
        <f t="shared" ref="AK44:AM44" si="392">IF(AJ$32=0,"N.D.",AJ44/AJ$32)</f>
        <v>N.D.</v>
      </c>
      <c r="AL44" s="11">
        <f>BDER!$D344/2000+ajustes!O25</f>
        <v>0</v>
      </c>
      <c r="AM44" s="219" t="str">
        <f t="shared" si="392"/>
        <v>N.D.</v>
      </c>
      <c r="AN44" s="11">
        <f>ajustes!P25</f>
        <v>0</v>
      </c>
      <c r="AO44" s="219" t="str">
        <f t="shared" ref="AO44:AQ44" si="393">IF(AN$32=0,"N.D.",AN44/AN$32)</f>
        <v>N.D.</v>
      </c>
      <c r="AP44" s="11">
        <f>BDER!$D410/1000+ajustes!Q25</f>
        <v>0</v>
      </c>
      <c r="AQ44" s="219" t="str">
        <f t="shared" si="393"/>
        <v>N.D.</v>
      </c>
      <c r="AR44" s="11">
        <f>BDER!$D388/1000+ajustes!R25</f>
        <v>0</v>
      </c>
      <c r="AS44" s="219" t="str">
        <f t="shared" ref="AS44:AU44" si="394">IF(AR$32=0,"N.D.",AR44/AR$32)</f>
        <v>N.D.</v>
      </c>
      <c r="AT44" s="11">
        <f>SUM(AF44,AH44,AJ44,AL44,AP44,AR44,AN44)</f>
        <v>0</v>
      </c>
      <c r="AU44" s="219" t="str">
        <f t="shared" si="394"/>
        <v>N.D.</v>
      </c>
      <c r="AX44" s="7" t="s">
        <v>15</v>
      </c>
      <c r="AY44" s="11">
        <f>BDER!$D454/1000+ajustes!S25</f>
        <v>0</v>
      </c>
      <c r="AZ44" s="219" t="str">
        <f t="shared" si="358"/>
        <v>N.D.</v>
      </c>
      <c r="BA44" s="206">
        <f>BDER!$D432/1000+ajustes!T25</f>
        <v>0</v>
      </c>
      <c r="BB44" s="219" t="str">
        <f t="shared" si="359"/>
        <v>N.D.</v>
      </c>
      <c r="BC44" s="206">
        <f t="shared" si="360"/>
        <v>0</v>
      </c>
      <c r="BD44" s="219" t="str">
        <f t="shared" si="361"/>
        <v>N.D.</v>
      </c>
      <c r="BE44" s="187"/>
      <c r="BG44" s="7" t="s">
        <v>173</v>
      </c>
      <c r="BH44" s="198">
        <f>BDER!$D$680/1000+ajustes!U26</f>
        <v>0</v>
      </c>
      <c r="BI44" s="219" t="str">
        <f t="shared" si="362"/>
        <v>N.D.</v>
      </c>
      <c r="BJ44" s="196">
        <f>BDER!$D478/1000+ajustes!V26</f>
        <v>0</v>
      </c>
      <c r="BK44" s="219" t="str">
        <f t="shared" si="362"/>
        <v>N.D.</v>
      </c>
      <c r="BL44" s="34">
        <f>BDER!$D501/1000+ajustes!W26</f>
        <v>0</v>
      </c>
      <c r="BM44" s="219" t="str">
        <f t="shared" ref="BM44:BO44" si="395">IF(BL$32=0,"N.D.",BL44/BL$32)</f>
        <v>N.D.</v>
      </c>
      <c r="BN44" s="197">
        <f>BDER!$D568/1000+ajustes!X26</f>
        <v>0</v>
      </c>
      <c r="BO44" s="219" t="str">
        <f t="shared" si="395"/>
        <v>N.D.</v>
      </c>
      <c r="BP44" s="34">
        <f>BDER!$D613/1000+ajustes!Y26</f>
        <v>0</v>
      </c>
      <c r="BQ44" s="219" t="str">
        <f t="shared" ref="BQ44:BS44" si="396">IF(BP$32=0,"N.D.",BP44/BP$32)</f>
        <v>N.D.</v>
      </c>
      <c r="BR44" s="206">
        <f t="shared" si="381"/>
        <v>0</v>
      </c>
      <c r="BS44" s="219" t="str">
        <f t="shared" si="396"/>
        <v>N.D.</v>
      </c>
      <c r="BU44" s="7" t="s">
        <v>173</v>
      </c>
      <c r="BV44" s="196">
        <f>BDER!$D523/1000+ajustes!Z26</f>
        <v>0</v>
      </c>
      <c r="BW44" s="219" t="str">
        <f t="shared" ref="BW44:BY44" si="397">IF(BV$32=0,"N.D.",BV44/BV$32)</f>
        <v>N.D.</v>
      </c>
      <c r="BX44" s="34">
        <f>BDER!$D590/1000+ajustes!AA26</f>
        <v>0</v>
      </c>
      <c r="BY44" s="219" t="str">
        <f t="shared" si="397"/>
        <v>N.D.</v>
      </c>
      <c r="BZ44" s="197">
        <f>BDER!$D635/1000+ajustes!AB26</f>
        <v>0</v>
      </c>
      <c r="CA44" s="219" t="str">
        <f t="shared" ref="CA44:CC44" si="398">IF(BZ$32=0,"N.D.",BZ44/BZ$32)</f>
        <v>N.D.</v>
      </c>
      <c r="CB44" s="34">
        <f>BDER!$D545/1000+ajustes!AC26</f>
        <v>0</v>
      </c>
      <c r="CC44" s="219" t="str">
        <f t="shared" si="398"/>
        <v>N.D.</v>
      </c>
      <c r="CD44" s="207">
        <f>BDER!$D657/1000+ajustes!AD26</f>
        <v>0</v>
      </c>
      <c r="CE44" s="219" t="str">
        <f t="shared" ref="CE44:CG44" si="399">IF(CD$32=0,"N.D.",CD44/CD$32)</f>
        <v>N.D.</v>
      </c>
      <c r="CF44" s="206">
        <f>SUM(BV44,BX44,BZ44,CB44,CD44)</f>
        <v>0</v>
      </c>
      <c r="CG44" s="219" t="str">
        <f t="shared" si="399"/>
        <v>N.D.</v>
      </c>
    </row>
    <row r="45" spans="2:85" x14ac:dyDescent="0.35">
      <c r="B45" s="7" t="s">
        <v>16</v>
      </c>
      <c r="C45" s="198">
        <f>BDER!$D169/1000-BDER!$D169/1000+ajustes!B26</f>
        <v>0</v>
      </c>
      <c r="D45" s="219" t="str">
        <f t="shared" si="345"/>
        <v>N.D.</v>
      </c>
      <c r="E45" s="11">
        <f>BDER!$D147/1000+ajustes!C26</f>
        <v>0</v>
      </c>
      <c r="F45" s="219" t="str">
        <f t="shared" si="345"/>
        <v>N.D.</v>
      </c>
      <c r="G45" s="30">
        <f>BDER!$D213/1000+ajustes!D26</f>
        <v>0</v>
      </c>
      <c r="H45" s="219" t="str">
        <f t="shared" ref="H45" si="400">IF(G$32=0,"N.D.",G45/G$32)</f>
        <v>N.D.</v>
      </c>
      <c r="I45" s="11">
        <f>BDER!$D191/1000+ajustes!E26</f>
        <v>0</v>
      </c>
      <c r="J45" s="219" t="str">
        <f t="shared" ref="J45:L45" si="401">IF(I$32=0,"N.D.",I45/I$32)</f>
        <v>N.D.</v>
      </c>
      <c r="K45" s="206">
        <f t="shared" si="348"/>
        <v>0</v>
      </c>
      <c r="L45" s="219" t="str">
        <f t="shared" si="401"/>
        <v>N.D.</v>
      </c>
      <c r="N45" s="7" t="s">
        <v>16</v>
      </c>
      <c r="O45" s="198">
        <f>BDER!$D15/1000+ajustes!F26</f>
        <v>0</v>
      </c>
      <c r="P45" s="219" t="str">
        <f t="shared" ref="P45:R45" si="402">IF(O$32=0,"N.D.",O45/O$32)</f>
        <v>N.D.</v>
      </c>
      <c r="Q45" s="11">
        <f>BDER!$D37/1000+ajustes!G26</f>
        <v>0</v>
      </c>
      <c r="R45" s="219" t="str">
        <f t="shared" si="402"/>
        <v>N.D.</v>
      </c>
      <c r="S45" s="30">
        <f>BDER!$D59/1000+ajustes!H26</f>
        <v>0</v>
      </c>
      <c r="T45" s="219" t="str">
        <f t="shared" ref="T45:V45" si="403">IF(S$32=0,"N.D.",S45/S$32)</f>
        <v>N.D.</v>
      </c>
      <c r="U45" s="11">
        <f>BDER!$D81/1000+ajustes!I26</f>
        <v>0</v>
      </c>
      <c r="V45" s="219" t="str">
        <f t="shared" si="403"/>
        <v>N.D.</v>
      </c>
      <c r="W45" s="30">
        <f>BDER!$D103/1000+ajustes!J26</f>
        <v>0</v>
      </c>
      <c r="X45" s="219" t="str">
        <f t="shared" ref="X45:Z45" si="404">IF(W$32=0,"N.D.",W45/W$32)</f>
        <v>N.D.</v>
      </c>
      <c r="Y45" s="11">
        <f>BDER!$D125/1000+ajustes!K26</f>
        <v>0</v>
      </c>
      <c r="Z45" s="219" t="str">
        <f t="shared" si="404"/>
        <v>N.D.</v>
      </c>
      <c r="AA45" s="206">
        <f t="shared" si="352"/>
        <v>0</v>
      </c>
      <c r="AB45" s="219" t="str">
        <f t="shared" ref="AB45" si="405">IF(AA$32=0,"N.D.",AA45/AA$32)</f>
        <v>N.D.</v>
      </c>
      <c r="AC45" s="276"/>
      <c r="AE45" s="7" t="s">
        <v>16</v>
      </c>
      <c r="AF45" s="11">
        <f>BDER!$D301/1000+ajustes!L26</f>
        <v>0</v>
      </c>
      <c r="AG45" s="219" t="str">
        <f t="shared" ref="AG45:AI45" si="406">IF(AF$32=0,"N.D.",AF45/AF$32)</f>
        <v>N.D.</v>
      </c>
      <c r="AH45" s="11">
        <f>BDER!$D323/1000+ajustes!M26</f>
        <v>0</v>
      </c>
      <c r="AI45" s="219" t="str">
        <f t="shared" si="406"/>
        <v>N.D.</v>
      </c>
      <c r="AJ45" s="11">
        <f>BDER!$D367/1000+ajustes!N26</f>
        <v>0</v>
      </c>
      <c r="AK45" s="219" t="str">
        <f t="shared" ref="AK45:AM45" si="407">IF(AJ$32=0,"N.D.",AJ45/AJ$32)</f>
        <v>N.D.</v>
      </c>
      <c r="AL45" s="11">
        <f>BDER!$D345/2000+ajustes!O26</f>
        <v>0</v>
      </c>
      <c r="AM45" s="219" t="str">
        <f t="shared" si="407"/>
        <v>N.D.</v>
      </c>
      <c r="AN45" s="11">
        <f>ajustes!P26</f>
        <v>0</v>
      </c>
      <c r="AO45" s="219" t="str">
        <f t="shared" ref="AO45:AQ45" si="408">IF(AN$32=0,"N.D.",AN45/AN$32)</f>
        <v>N.D.</v>
      </c>
      <c r="AP45" s="11">
        <f>BDER!$D411/1000+ajustes!Q26</f>
        <v>0</v>
      </c>
      <c r="AQ45" s="219" t="str">
        <f t="shared" si="408"/>
        <v>N.D.</v>
      </c>
      <c r="AR45" s="11">
        <f>BDER!$D389/1000+ajustes!R26</f>
        <v>0</v>
      </c>
      <c r="AS45" s="219" t="str">
        <f t="shared" ref="AS45:AU45" si="409">IF(AR$32=0,"N.D.",AR45/AR$32)</f>
        <v>N.D.</v>
      </c>
      <c r="AT45" s="11">
        <f t="shared" si="378"/>
        <v>0</v>
      </c>
      <c r="AU45" s="219" t="str">
        <f t="shared" si="409"/>
        <v>N.D.</v>
      </c>
      <c r="AX45" s="7" t="s">
        <v>16</v>
      </c>
      <c r="AY45" s="11">
        <f>BDER!$D455/1000+ajustes!S26</f>
        <v>0</v>
      </c>
      <c r="AZ45" s="219" t="str">
        <f t="shared" si="358"/>
        <v>N.D.</v>
      </c>
      <c r="BA45" s="206">
        <f>BDER!$D433/1000+ajustes!T26</f>
        <v>0</v>
      </c>
      <c r="BB45" s="219" t="str">
        <f t="shared" si="359"/>
        <v>N.D.</v>
      </c>
      <c r="BC45" s="206">
        <f t="shared" si="360"/>
        <v>0</v>
      </c>
      <c r="BD45" s="219" t="str">
        <f t="shared" si="361"/>
        <v>N.D.</v>
      </c>
      <c r="BE45" s="187"/>
      <c r="BG45" s="7" t="s">
        <v>174</v>
      </c>
      <c r="BH45" s="14">
        <f>BH42+BH43</f>
        <v>0</v>
      </c>
      <c r="BI45" s="22" t="str">
        <f t="shared" si="362"/>
        <v>N.D.</v>
      </c>
      <c r="BJ45" s="208">
        <f>BJ42+BJ43</f>
        <v>0</v>
      </c>
      <c r="BK45" s="22" t="str">
        <f t="shared" si="362"/>
        <v>N.D.</v>
      </c>
      <c r="BL45" s="208">
        <f>BL42+BL43</f>
        <v>0</v>
      </c>
      <c r="BM45" s="22" t="str">
        <f t="shared" ref="BM45:BO45" si="410">IF(BL$32=0,"N.D.",BL45/BL$32)</f>
        <v>N.D.</v>
      </c>
      <c r="BN45" s="208">
        <f>BN42+BN43</f>
        <v>0</v>
      </c>
      <c r="BO45" s="22" t="str">
        <f t="shared" si="410"/>
        <v>N.D.</v>
      </c>
      <c r="BP45" s="208">
        <f>BP42+BP43</f>
        <v>0</v>
      </c>
      <c r="BQ45" s="22" t="str">
        <f t="shared" ref="BQ45:BS45" si="411">IF(BP$32=0,"N.D.",BP45/BP$32)</f>
        <v>N.D.</v>
      </c>
      <c r="BR45" s="14">
        <f>BR42+BR43</f>
        <v>0</v>
      </c>
      <c r="BS45" s="22" t="str">
        <f t="shared" si="411"/>
        <v>N.D.</v>
      </c>
      <c r="BU45" s="7" t="s">
        <v>174</v>
      </c>
      <c r="BV45" s="208">
        <f>BV42+BV43</f>
        <v>0</v>
      </c>
      <c r="BW45" s="22" t="str">
        <f t="shared" ref="BW45:BY45" si="412">IF(BV$32=0,"N.D.",BV45/BV$32)</f>
        <v>N.D.</v>
      </c>
      <c r="BX45" s="208">
        <f>BX42+BX43</f>
        <v>0</v>
      </c>
      <c r="BY45" s="22" t="str">
        <f t="shared" si="412"/>
        <v>N.D.</v>
      </c>
      <c r="BZ45" s="208">
        <f>BZ42+BZ43</f>
        <v>0</v>
      </c>
      <c r="CA45" s="22" t="str">
        <f t="shared" ref="CA45:CC45" si="413">IF(BZ$32=0,"N.D.",BZ45/BZ$32)</f>
        <v>N.D.</v>
      </c>
      <c r="CB45" s="208">
        <f>CB42+CB43</f>
        <v>0</v>
      </c>
      <c r="CC45" s="22" t="str">
        <f t="shared" si="413"/>
        <v>N.D.</v>
      </c>
      <c r="CD45" s="208">
        <f>CD42+CD43</f>
        <v>0</v>
      </c>
      <c r="CE45" s="22" t="str">
        <f t="shared" ref="CE45:CG45" si="414">IF(CD$32=0,"N.D.",CD45/CD$32)</f>
        <v>N.D.</v>
      </c>
      <c r="CF45" s="14">
        <f>CF42+CF43</f>
        <v>0</v>
      </c>
      <c r="CG45" s="22" t="str">
        <f t="shared" si="414"/>
        <v>N.D.</v>
      </c>
    </row>
    <row r="46" spans="2:85" x14ac:dyDescent="0.35">
      <c r="B46" s="7" t="s">
        <v>144</v>
      </c>
      <c r="C46" s="196">
        <f>BDER!$D170/1000+ajustes!B27</f>
        <v>0</v>
      </c>
      <c r="D46" s="219" t="str">
        <f t="shared" si="345"/>
        <v>N.D.</v>
      </c>
      <c r="E46" s="34">
        <f>BDER!$D148/1000+ajustes!C27</f>
        <v>0</v>
      </c>
      <c r="F46" s="219" t="str">
        <f t="shared" si="345"/>
        <v>N.D.</v>
      </c>
      <c r="G46" s="197">
        <f>BDER!$D214/1000+ajustes!D27</f>
        <v>0</v>
      </c>
      <c r="H46" s="219" t="str">
        <f t="shared" ref="H46" si="415">IF(G$32=0,"N.D.",G46/G$32)</f>
        <v>N.D.</v>
      </c>
      <c r="I46" s="34">
        <f>BDER!$D192/1000+ajustes!E27</f>
        <v>0</v>
      </c>
      <c r="J46" s="219" t="str">
        <f t="shared" ref="J46:L46" si="416">IF(I$32=0,"N.D.",I46/I$32)</f>
        <v>N.D.</v>
      </c>
      <c r="K46" s="207">
        <f t="shared" si="348"/>
        <v>0</v>
      </c>
      <c r="L46" s="219" t="str">
        <f t="shared" si="416"/>
        <v>N.D.</v>
      </c>
      <c r="N46" s="7" t="s">
        <v>144</v>
      </c>
      <c r="O46" s="196">
        <f>BDER!$D16/1000+ajustes!F27</f>
        <v>0</v>
      </c>
      <c r="P46" s="219" t="str">
        <f t="shared" ref="P46:R46" si="417">IF(O$32=0,"N.D.",O46/O$32)</f>
        <v>N.D.</v>
      </c>
      <c r="Q46" s="34">
        <f>BDER!$D38/1000+ajustes!G27</f>
        <v>0</v>
      </c>
      <c r="R46" s="219" t="str">
        <f t="shared" si="417"/>
        <v>N.D.</v>
      </c>
      <c r="S46" s="197">
        <f>BDER!$D60/1000+ajustes!H27</f>
        <v>0</v>
      </c>
      <c r="T46" s="219" t="str">
        <f t="shared" ref="T46:V46" si="418">IF(S$32=0,"N.D.",S46/S$32)</f>
        <v>N.D.</v>
      </c>
      <c r="U46" s="34">
        <f>BDER!$D82/1000+ajustes!I27</f>
        <v>0</v>
      </c>
      <c r="V46" s="219" t="str">
        <f t="shared" si="418"/>
        <v>N.D.</v>
      </c>
      <c r="W46" s="197">
        <f>BDER!$D104/1000+ajustes!J27</f>
        <v>0</v>
      </c>
      <c r="X46" s="219" t="str">
        <f t="shared" ref="X46:Z46" si="419">IF(W$32=0,"N.D.",W46/W$32)</f>
        <v>N.D.</v>
      </c>
      <c r="Y46" s="34">
        <f>BDER!$D126/1000+ajustes!K27</f>
        <v>0</v>
      </c>
      <c r="Z46" s="219" t="str">
        <f t="shared" si="419"/>
        <v>N.D.</v>
      </c>
      <c r="AA46" s="207">
        <f t="shared" si="352"/>
        <v>0</v>
      </c>
      <c r="AB46" s="219" t="str">
        <f t="shared" ref="AB46" si="420">IF(AA$32=0,"N.D.",AA46/AA$32)</f>
        <v>N.D.</v>
      </c>
      <c r="AC46" s="276"/>
      <c r="AE46" s="7" t="s">
        <v>144</v>
      </c>
      <c r="AF46" s="11">
        <f>BDER!$D302/1000+ajustes!L27</f>
        <v>0</v>
      </c>
      <c r="AG46" s="219" t="str">
        <f t="shared" ref="AG46:AI46" si="421">IF(AF$32=0,"N.D.",AF46/AF$32)</f>
        <v>N.D.</v>
      </c>
      <c r="AH46" s="11">
        <f>BDER!$D324/1000+ajustes!M27</f>
        <v>0</v>
      </c>
      <c r="AI46" s="219" t="str">
        <f t="shared" si="421"/>
        <v>N.D.</v>
      </c>
      <c r="AJ46" s="11">
        <f>BDER!$D368/1000+ajustes!N27</f>
        <v>0</v>
      </c>
      <c r="AK46" s="219" t="str">
        <f t="shared" ref="AK46:AM46" si="422">IF(AJ$32=0,"N.D.",AJ46/AJ$32)</f>
        <v>N.D.</v>
      </c>
      <c r="AL46" s="11">
        <f>BDER!$D346/2000+ajustes!O27</f>
        <v>0</v>
      </c>
      <c r="AM46" s="219" t="str">
        <f t="shared" si="422"/>
        <v>N.D.</v>
      </c>
      <c r="AN46" s="11">
        <f>ajustes!P27</f>
        <v>0</v>
      </c>
      <c r="AO46" s="219" t="str">
        <f t="shared" ref="AO46:AQ46" si="423">IF(AN$32=0,"N.D.",AN46/AN$32)</f>
        <v>N.D.</v>
      </c>
      <c r="AP46" s="11">
        <f>BDER!$D412/1000+ajustes!Q27</f>
        <v>0</v>
      </c>
      <c r="AQ46" s="219" t="str">
        <f t="shared" si="423"/>
        <v>N.D.</v>
      </c>
      <c r="AR46" s="11">
        <f>BDER!$D390/1000+ajustes!R27</f>
        <v>0</v>
      </c>
      <c r="AS46" s="219" t="str">
        <f t="shared" ref="AS46:AU46" si="424">IF(AR$32=0,"N.D.",AR46/AR$32)</f>
        <v>N.D.</v>
      </c>
      <c r="AT46" s="11">
        <f t="shared" si="378"/>
        <v>0</v>
      </c>
      <c r="AU46" s="219" t="str">
        <f t="shared" si="424"/>
        <v>N.D.</v>
      </c>
      <c r="AX46" s="7" t="s">
        <v>144</v>
      </c>
      <c r="AY46" s="34">
        <f>BDER!$D456/1000+ajustes!S27</f>
        <v>0</v>
      </c>
      <c r="AZ46" s="219" t="str">
        <f t="shared" si="358"/>
        <v>N.D.</v>
      </c>
      <c r="BA46" s="207">
        <f>BDER!$D434/1000+ajustes!T27</f>
        <v>0</v>
      </c>
      <c r="BB46" s="219" t="str">
        <f t="shared" si="359"/>
        <v>N.D.</v>
      </c>
      <c r="BC46" s="206">
        <f t="shared" si="360"/>
        <v>0</v>
      </c>
      <c r="BD46" s="219" t="str">
        <f t="shared" si="361"/>
        <v>N.D.</v>
      </c>
      <c r="BE46" s="187"/>
      <c r="BG46" s="7" t="s">
        <v>175</v>
      </c>
      <c r="BH46" s="14">
        <f>BH40-BH45</f>
        <v>0</v>
      </c>
      <c r="BI46" s="22" t="str">
        <f t="shared" si="362"/>
        <v>N.D.</v>
      </c>
      <c r="BJ46" s="14">
        <f>BJ40-BJ45</f>
        <v>0</v>
      </c>
      <c r="BK46" s="22" t="str">
        <f t="shared" si="362"/>
        <v>N.D.</v>
      </c>
      <c r="BL46" s="14">
        <f>BL40-BL45</f>
        <v>0</v>
      </c>
      <c r="BM46" s="22" t="str">
        <f t="shared" ref="BM46:BO46" si="425">IF(BL$32=0,"N.D.",BL46/BL$32)</f>
        <v>N.D.</v>
      </c>
      <c r="BN46" s="14">
        <f>BN40-BN45</f>
        <v>0</v>
      </c>
      <c r="BO46" s="22" t="str">
        <f t="shared" si="425"/>
        <v>N.D.</v>
      </c>
      <c r="BP46" s="14">
        <f>BP40-BP45</f>
        <v>0</v>
      </c>
      <c r="BQ46" s="22" t="str">
        <f t="shared" ref="BQ46:BS46" si="426">IF(BP$32=0,"N.D.",BP46/BP$32)</f>
        <v>N.D.</v>
      </c>
      <c r="BR46" s="14">
        <f>BR40-BR45</f>
        <v>0</v>
      </c>
      <c r="BS46" s="22" t="str">
        <f t="shared" si="426"/>
        <v>N.D.</v>
      </c>
      <c r="BU46" s="7" t="s">
        <v>175</v>
      </c>
      <c r="BV46" s="14">
        <f>BV40-BV45</f>
        <v>0</v>
      </c>
      <c r="BW46" s="22" t="str">
        <f t="shared" ref="BW46:BY46" si="427">IF(BV$32=0,"N.D.",BV46/BV$32)</f>
        <v>N.D.</v>
      </c>
      <c r="BX46" s="14">
        <f>BX40-BX45</f>
        <v>0</v>
      </c>
      <c r="BY46" s="22" t="str">
        <f t="shared" si="427"/>
        <v>N.D.</v>
      </c>
      <c r="BZ46" s="14">
        <f>BZ40-BZ45</f>
        <v>0</v>
      </c>
      <c r="CA46" s="22" t="str">
        <f t="shared" ref="CA46:CC46" si="428">IF(BZ$32=0,"N.D.",BZ46/BZ$32)</f>
        <v>N.D.</v>
      </c>
      <c r="CB46" s="14">
        <f>CB40-CB45</f>
        <v>0</v>
      </c>
      <c r="CC46" s="22" t="str">
        <f t="shared" si="428"/>
        <v>N.D.</v>
      </c>
      <c r="CD46" s="14">
        <f>CD40-CD45</f>
        <v>0</v>
      </c>
      <c r="CE46" s="22" t="str">
        <f t="shared" ref="CE46:CG46" si="429">IF(CD$32=0,"N.D.",CD46/CD$32)</f>
        <v>N.D.</v>
      </c>
      <c r="CF46" s="14">
        <f>CF40-CF45</f>
        <v>0</v>
      </c>
      <c r="CG46" s="22" t="str">
        <f t="shared" si="429"/>
        <v>N.D.</v>
      </c>
    </row>
    <row r="47" spans="2:85" x14ac:dyDescent="0.35">
      <c r="B47" s="4" t="s">
        <v>17</v>
      </c>
      <c r="C47" s="216">
        <f>C42+C43+C44-C45</f>
        <v>0</v>
      </c>
      <c r="D47" s="22" t="str">
        <f t="shared" si="345"/>
        <v>N.D.</v>
      </c>
      <c r="E47" s="208">
        <f>E42+E43+E44-E45</f>
        <v>0</v>
      </c>
      <c r="F47" s="22" t="str">
        <f t="shared" si="345"/>
        <v>N.D.</v>
      </c>
      <c r="G47" s="202">
        <f>G42+G43+G44-G45</f>
        <v>0</v>
      </c>
      <c r="H47" s="22" t="str">
        <f t="shared" ref="H47" si="430">IF(G$32=0,"N.D.",G47/G$32)</f>
        <v>N.D.</v>
      </c>
      <c r="I47" s="208">
        <f>I42+I43+I44-I45</f>
        <v>0</v>
      </c>
      <c r="J47" s="22" t="str">
        <f t="shared" ref="J47:L47" si="431">IF(I$32=0,"N.D.",I47/I$32)</f>
        <v>N.D.</v>
      </c>
      <c r="K47" s="213">
        <f>K42+K43+K44-K45</f>
        <v>0</v>
      </c>
      <c r="L47" s="22" t="str">
        <f t="shared" si="431"/>
        <v>N.D.</v>
      </c>
      <c r="N47" s="4" t="s">
        <v>17</v>
      </c>
      <c r="O47" s="216">
        <f>O42+O43+O44-O45</f>
        <v>0</v>
      </c>
      <c r="P47" s="22" t="str">
        <f t="shared" ref="P47:R47" si="432">IF(O$32=0,"N.D.",O47/O$32)</f>
        <v>N.D.</v>
      </c>
      <c r="Q47" s="208">
        <f>Q42+Q43+Q44-Q45</f>
        <v>0</v>
      </c>
      <c r="R47" s="22" t="str">
        <f t="shared" si="432"/>
        <v>N.D.</v>
      </c>
      <c r="S47" s="202">
        <f>S42+S43+S44-S45</f>
        <v>0</v>
      </c>
      <c r="T47" s="22" t="str">
        <f t="shared" ref="T47:V47" si="433">IF(S$32=0,"N.D.",S47/S$32)</f>
        <v>N.D.</v>
      </c>
      <c r="U47" s="208">
        <f>U42+U43+U44-U45</f>
        <v>0</v>
      </c>
      <c r="V47" s="22" t="str">
        <f t="shared" si="433"/>
        <v>N.D.</v>
      </c>
      <c r="W47" s="202">
        <f>W42+W43+W44-W45</f>
        <v>0</v>
      </c>
      <c r="X47" s="22" t="str">
        <f t="shared" ref="X47:Z47" si="434">IF(W$32=0,"N.D.",W47/W$32)</f>
        <v>N.D.</v>
      </c>
      <c r="Y47" s="208">
        <f>Y42+Y43+Y44-Y45</f>
        <v>0</v>
      </c>
      <c r="Z47" s="22" t="str">
        <f t="shared" si="434"/>
        <v>N.D.</v>
      </c>
      <c r="AA47" s="213">
        <f>AA42+AA43+AA44-AA45</f>
        <v>0</v>
      </c>
      <c r="AB47" s="22" t="str">
        <f t="shared" ref="AB47" si="435">IF(AA$32=0,"N.D.",AA47/AA$32)</f>
        <v>N.D.</v>
      </c>
      <c r="AC47" s="277"/>
      <c r="AE47" s="4" t="s">
        <v>17</v>
      </c>
      <c r="AF47" s="14">
        <f>AF42+AF43+AF44-AF45</f>
        <v>0</v>
      </c>
      <c r="AG47" s="22" t="str">
        <f t="shared" ref="AG47:AI47" si="436">IF(AF$32=0,"N.D.",AF47/AF$32)</f>
        <v>N.D.</v>
      </c>
      <c r="AH47" s="14">
        <f>AH42+AH43+AH44-AH45</f>
        <v>0</v>
      </c>
      <c r="AI47" s="22" t="str">
        <f t="shared" si="436"/>
        <v>N.D.</v>
      </c>
      <c r="AJ47" s="14">
        <f>AJ42+AJ43+AJ44-AJ45</f>
        <v>0</v>
      </c>
      <c r="AK47" s="22" t="str">
        <f t="shared" ref="AK47:AM47" si="437">IF(AJ$32=0,"N.D.",AJ47/AJ$32)</f>
        <v>N.D.</v>
      </c>
      <c r="AL47" s="14">
        <f>AL42+AL43+AL44-AL45</f>
        <v>0</v>
      </c>
      <c r="AM47" s="22" t="str">
        <f t="shared" si="437"/>
        <v>N.D.</v>
      </c>
      <c r="AN47" s="14">
        <f>AN42+AN43+AN44-AN45</f>
        <v>0</v>
      </c>
      <c r="AO47" s="22" t="str">
        <f t="shared" ref="AO47:AQ47" si="438">IF(AN$32=0,"N.D.",AN47/AN$32)</f>
        <v>N.D.</v>
      </c>
      <c r="AP47" s="14">
        <f>AP42+AP43+AP44-AP45</f>
        <v>0</v>
      </c>
      <c r="AQ47" s="22" t="str">
        <f t="shared" si="438"/>
        <v>N.D.</v>
      </c>
      <c r="AR47" s="14">
        <f>AR42+AR43+AR44-AR45</f>
        <v>0</v>
      </c>
      <c r="AS47" s="22" t="str">
        <f t="shared" ref="AS47:AU47" si="439">IF(AR$32=0,"N.D.",AR47/AR$32)</f>
        <v>N.D.</v>
      </c>
      <c r="AT47" s="14">
        <f>AT42+AT43+AT44-AT45</f>
        <v>0</v>
      </c>
      <c r="AU47" s="22" t="str">
        <f t="shared" si="439"/>
        <v>N.D.</v>
      </c>
      <c r="AX47" s="4" t="s">
        <v>17</v>
      </c>
      <c r="AY47" s="208">
        <f>AY42+AY43+AY44-AY45</f>
        <v>0</v>
      </c>
      <c r="AZ47" s="22" t="str">
        <f t="shared" si="358"/>
        <v>N.D.</v>
      </c>
      <c r="BA47" s="208">
        <f>BA42+BA43+BA44-BA45</f>
        <v>0</v>
      </c>
      <c r="BB47" s="22" t="str">
        <f t="shared" si="359"/>
        <v>N.D.</v>
      </c>
      <c r="BC47" s="14">
        <f>BC42+BC43+BC44-BC45</f>
        <v>0</v>
      </c>
      <c r="BD47" s="22" t="str">
        <f t="shared" si="361"/>
        <v>N.D.</v>
      </c>
      <c r="BE47" s="221"/>
      <c r="BG47" s="4"/>
      <c r="BI47" s="187"/>
      <c r="BK47" s="187"/>
      <c r="BM47" s="187"/>
      <c r="BO47" s="187"/>
      <c r="BQ47" s="187"/>
      <c r="BS47" s="187"/>
      <c r="BU47" s="4"/>
      <c r="BW47" s="187"/>
      <c r="BY47" s="187"/>
      <c r="CA47" s="187"/>
      <c r="CC47" s="187"/>
      <c r="CE47" s="187"/>
      <c r="CG47" s="187"/>
    </row>
    <row r="48" spans="2:85" x14ac:dyDescent="0.35">
      <c r="B48" s="4" t="s">
        <v>18</v>
      </c>
      <c r="C48" s="212">
        <f>C40-C47</f>
        <v>0</v>
      </c>
      <c r="D48" s="22" t="str">
        <f t="shared" si="345"/>
        <v>N.D.</v>
      </c>
      <c r="E48" s="200">
        <f>E40-E47</f>
        <v>0</v>
      </c>
      <c r="F48" s="22" t="str">
        <f t="shared" si="345"/>
        <v>N.D.</v>
      </c>
      <c r="G48" s="209">
        <f>G40-G47</f>
        <v>0</v>
      </c>
      <c r="H48" s="22" t="str">
        <f t="shared" ref="H48" si="440">IF(G$32=0,"N.D.",G48/G$32)</f>
        <v>N.D.</v>
      </c>
      <c r="I48" s="200">
        <f>I40-I47</f>
        <v>0</v>
      </c>
      <c r="J48" s="22" t="str">
        <f t="shared" ref="J48:L48" si="441">IF(I$32=0,"N.D.",I48/I$32)</f>
        <v>N.D.</v>
      </c>
      <c r="K48" s="210">
        <f>K40-K47</f>
        <v>0</v>
      </c>
      <c r="L48" s="22" t="str">
        <f t="shared" si="441"/>
        <v>N.D.</v>
      </c>
      <c r="N48" s="4" t="s">
        <v>18</v>
      </c>
      <c r="O48" s="212">
        <f>O40-O47</f>
        <v>0</v>
      </c>
      <c r="P48" s="22" t="str">
        <f t="shared" ref="P48:R48" si="442">IF(O$32=0,"N.D.",O48/O$32)</f>
        <v>N.D.</v>
      </c>
      <c r="Q48" s="200">
        <f>Q40-Q47</f>
        <v>0</v>
      </c>
      <c r="R48" s="22" t="str">
        <f t="shared" si="442"/>
        <v>N.D.</v>
      </c>
      <c r="S48" s="209">
        <f>S40-S47</f>
        <v>0</v>
      </c>
      <c r="T48" s="22" t="str">
        <f t="shared" ref="T48:V48" si="443">IF(S$32=0,"N.D.",S48/S$32)</f>
        <v>N.D.</v>
      </c>
      <c r="U48" s="200">
        <f>U40-U47</f>
        <v>0</v>
      </c>
      <c r="V48" s="22" t="str">
        <f t="shared" si="443"/>
        <v>N.D.</v>
      </c>
      <c r="W48" s="209">
        <f>W40-W47</f>
        <v>0</v>
      </c>
      <c r="X48" s="22" t="str">
        <f t="shared" ref="X48:Z48" si="444">IF(W$32=0,"N.D.",W48/W$32)</f>
        <v>N.D.</v>
      </c>
      <c r="Y48" s="200">
        <f>Y40-Y47</f>
        <v>0</v>
      </c>
      <c r="Z48" s="22" t="str">
        <f t="shared" si="444"/>
        <v>N.D.</v>
      </c>
      <c r="AA48" s="210">
        <f>AA40-AA47</f>
        <v>0</v>
      </c>
      <c r="AB48" s="22" t="str">
        <f t="shared" ref="AB48" si="445">IF(AA$32=0,"N.D.",AA48/AA$32)</f>
        <v>N.D.</v>
      </c>
      <c r="AC48" s="277"/>
      <c r="AE48" s="4" t="s">
        <v>18</v>
      </c>
      <c r="AF48" s="14">
        <f>AF40-AF47</f>
        <v>0</v>
      </c>
      <c r="AG48" s="22" t="str">
        <f t="shared" ref="AG48:AI48" si="446">IF(AF$32=0,"N.D.",AF48/AF$32)</f>
        <v>N.D.</v>
      </c>
      <c r="AH48" s="14">
        <f>AH40-AH47</f>
        <v>0</v>
      </c>
      <c r="AI48" s="22" t="str">
        <f t="shared" si="446"/>
        <v>N.D.</v>
      </c>
      <c r="AJ48" s="14">
        <f>AJ40-AJ47</f>
        <v>0</v>
      </c>
      <c r="AK48" s="22" t="str">
        <f t="shared" ref="AK48:AM48" si="447">IF(AJ$32=0,"N.D.",AJ48/AJ$32)</f>
        <v>N.D.</v>
      </c>
      <c r="AL48" s="14">
        <f>AL40-AL47</f>
        <v>0</v>
      </c>
      <c r="AM48" s="22" t="str">
        <f t="shared" si="447"/>
        <v>N.D.</v>
      </c>
      <c r="AN48" s="14">
        <f>AN40-AN47</f>
        <v>0</v>
      </c>
      <c r="AO48" s="22" t="str">
        <f t="shared" ref="AO48:AQ48" si="448">IF(AN$32=0,"N.D.",AN48/AN$32)</f>
        <v>N.D.</v>
      </c>
      <c r="AP48" s="14">
        <f>AP40-AP47</f>
        <v>0</v>
      </c>
      <c r="AQ48" s="22" t="str">
        <f t="shared" si="448"/>
        <v>N.D.</v>
      </c>
      <c r="AR48" s="14">
        <f>AR40-AR47</f>
        <v>0</v>
      </c>
      <c r="AS48" s="22" t="str">
        <f t="shared" ref="AS48:AU48" si="449">IF(AR$32=0,"N.D.",AR48/AR$32)</f>
        <v>N.D.</v>
      </c>
      <c r="AT48" s="14">
        <f>AT40-AT47</f>
        <v>0</v>
      </c>
      <c r="AU48" s="22" t="str">
        <f t="shared" si="449"/>
        <v>N.D.</v>
      </c>
      <c r="AX48" s="4" t="s">
        <v>18</v>
      </c>
      <c r="AY48" s="14">
        <f>AY40-AY47</f>
        <v>0</v>
      </c>
      <c r="AZ48" s="22" t="str">
        <f t="shared" si="358"/>
        <v>N.D.</v>
      </c>
      <c r="BA48" s="14">
        <f>BA40-BA47</f>
        <v>0</v>
      </c>
      <c r="BB48" s="22" t="str">
        <f t="shared" si="359"/>
        <v>N.D.</v>
      </c>
      <c r="BC48" s="14">
        <f>BC40-BC47</f>
        <v>0</v>
      </c>
      <c r="BD48" s="22" t="str">
        <f t="shared" si="361"/>
        <v>N.D.</v>
      </c>
      <c r="BE48" s="221"/>
      <c r="BG48" s="7" t="s">
        <v>179</v>
      </c>
      <c r="BH48" s="194">
        <f>BDER!$D$685/1000+ajustes!U28</f>
        <v>0</v>
      </c>
      <c r="BI48" s="220" t="str">
        <f t="shared" ref="BI48:BK51" si="450">IF(BH$32=0,"N.D.",BH48/BH$32)</f>
        <v>N.D.</v>
      </c>
      <c r="BJ48" s="195">
        <f>BDER!$D482/1000+ajustes!V28</f>
        <v>0</v>
      </c>
      <c r="BK48" s="220" t="str">
        <f t="shared" si="450"/>
        <v>N.D.</v>
      </c>
      <c r="BL48" s="8">
        <f>BDER!$D505/1000+ajustes!W28</f>
        <v>0</v>
      </c>
      <c r="BM48" s="220" t="str">
        <f t="shared" ref="BM48:BO48" si="451">IF(BL$32=0,"N.D.",BL48/BL$32)</f>
        <v>N.D.</v>
      </c>
      <c r="BN48" s="195">
        <f>BDER!$D572/1000+ajustes!X28</f>
        <v>0</v>
      </c>
      <c r="BO48" s="220" t="str">
        <f t="shared" si="451"/>
        <v>N.D.</v>
      </c>
      <c r="BP48" s="8">
        <f>BDER!$D617/1000+ajustes!Y28</f>
        <v>0</v>
      </c>
      <c r="BQ48" s="220" t="str">
        <f t="shared" ref="BQ48:BS48" si="452">IF(BP$32=0,"N.D.",BP48/BP$32)</f>
        <v>N.D.</v>
      </c>
      <c r="BR48" s="204">
        <f t="shared" ref="BR48:BR49" si="453">SUM(BJ48,BL48,BN48,BP48)+BH48</f>
        <v>0</v>
      </c>
      <c r="BS48" s="220" t="str">
        <f t="shared" si="452"/>
        <v>N.D.</v>
      </c>
      <c r="BU48" s="7" t="s">
        <v>179</v>
      </c>
      <c r="BV48" s="194">
        <f>BDER!$D527/1000+ajustes!Z28</f>
        <v>0</v>
      </c>
      <c r="BW48" s="220" t="str">
        <f t="shared" ref="BW48:BY48" si="454">IF(BV$32=0,"N.D.",BV48/BV$32)</f>
        <v>N.D.</v>
      </c>
      <c r="BX48" s="8">
        <f>BDER!$D595/1000+ajustes!AA28</f>
        <v>0</v>
      </c>
      <c r="BY48" s="220" t="str">
        <f t="shared" si="454"/>
        <v>N.D.</v>
      </c>
      <c r="BZ48" s="195">
        <f>BDER!$D640/1000+ajustes!AB28</f>
        <v>0</v>
      </c>
      <c r="CA48" s="220" t="str">
        <f t="shared" ref="CA48:CC48" si="455">IF(BZ$32=0,"N.D.",BZ48/BZ$32)</f>
        <v>N.D.</v>
      </c>
      <c r="CB48" s="8">
        <f>BDER!$D550/1000+ajustes!AC28</f>
        <v>0</v>
      </c>
      <c r="CC48" s="220" t="str">
        <f t="shared" si="455"/>
        <v>N.D.</v>
      </c>
      <c r="CD48" s="204">
        <f>BDER!$D662/1000+ajustes!AD28</f>
        <v>0</v>
      </c>
      <c r="CE48" s="220" t="str">
        <f t="shared" ref="CE48:CG48" si="456">IF(CD$32=0,"N.D.",CD48/CD$32)</f>
        <v>N.D.</v>
      </c>
      <c r="CF48" s="204">
        <f>SUM(BV48,BX48,BZ48,CB48,CD48)</f>
        <v>0</v>
      </c>
      <c r="CG48" s="220" t="str">
        <f t="shared" si="456"/>
        <v>N.D.</v>
      </c>
    </row>
    <row r="49" spans="2:85" x14ac:dyDescent="0.35">
      <c r="B49" s="1"/>
      <c r="C49" s="217"/>
      <c r="D49" s="30"/>
      <c r="E49" s="217"/>
      <c r="F49" s="30"/>
      <c r="G49" s="217"/>
      <c r="H49" s="30"/>
      <c r="I49" s="217"/>
      <c r="J49" s="30"/>
      <c r="K49" s="217"/>
      <c r="L49" s="30"/>
      <c r="N49" s="1"/>
      <c r="O49" s="217"/>
      <c r="P49" s="30"/>
      <c r="Q49" s="217"/>
      <c r="R49" s="30"/>
      <c r="S49" s="217"/>
      <c r="T49" s="30"/>
      <c r="U49" s="217"/>
      <c r="V49" s="30"/>
      <c r="W49" s="217"/>
      <c r="X49" s="30"/>
      <c r="Y49" s="217"/>
      <c r="Z49" s="30"/>
      <c r="AA49" s="217"/>
      <c r="AB49" s="30"/>
      <c r="AC49" s="275"/>
      <c r="AE49" s="1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X49" s="1"/>
      <c r="AY49" s="30"/>
      <c r="AZ49" s="30"/>
      <c r="BA49" s="30"/>
      <c r="BB49" s="30"/>
      <c r="BC49" s="30"/>
      <c r="BD49" s="30"/>
      <c r="BE49" s="30"/>
      <c r="BG49" s="1" t="s">
        <v>176</v>
      </c>
      <c r="BH49" s="198">
        <f>BDER!$D$684/1000+ajustes!U29</f>
        <v>0</v>
      </c>
      <c r="BI49" s="190" t="str">
        <f t="shared" si="450"/>
        <v>N.D.</v>
      </c>
      <c r="BJ49" s="197">
        <f>BDER!$D483/1000+ajustes!V29</f>
        <v>0</v>
      </c>
      <c r="BK49" s="190" t="str">
        <f t="shared" si="450"/>
        <v>N.D.</v>
      </c>
      <c r="BL49" s="34">
        <f>BDER!$D506/1000+ajustes!W29</f>
        <v>0</v>
      </c>
      <c r="BM49" s="190" t="str">
        <f t="shared" ref="BM49:BO49" si="457">IF(BL$32=0,"N.D.",BL49/BL$32)</f>
        <v>N.D.</v>
      </c>
      <c r="BN49" s="197">
        <f>BDER!$D573/1000+ajustes!X29</f>
        <v>0</v>
      </c>
      <c r="BO49" s="190" t="str">
        <f t="shared" si="457"/>
        <v>N.D.</v>
      </c>
      <c r="BP49" s="34">
        <f>BDER!$D618/1000+ajustes!Y29</f>
        <v>0</v>
      </c>
      <c r="BQ49" s="190" t="str">
        <f t="shared" ref="BQ49:BS49" si="458">IF(BP$32=0,"N.D.",BP49/BP$32)</f>
        <v>N.D.</v>
      </c>
      <c r="BR49" s="206">
        <f t="shared" si="453"/>
        <v>0</v>
      </c>
      <c r="BS49" s="190" t="str">
        <f t="shared" si="458"/>
        <v>N.D.</v>
      </c>
      <c r="BU49" s="1" t="s">
        <v>176</v>
      </c>
      <c r="BV49" s="196">
        <f>BDER!$D528/1000+ajustes!Z29</f>
        <v>0</v>
      </c>
      <c r="BW49" s="190" t="str">
        <f t="shared" ref="BW49:BY49" si="459">IF(BV$32=0,"N.D.",BV49/BV$32)</f>
        <v>N.D.</v>
      </c>
      <c r="BX49" s="34">
        <f>BDER!$D594/1000+ajustes!AA29</f>
        <v>0</v>
      </c>
      <c r="BY49" s="190" t="str">
        <f t="shared" si="459"/>
        <v>N.D.</v>
      </c>
      <c r="BZ49" s="197">
        <f>BDER!$D639/1000+ajustes!AB29</f>
        <v>0</v>
      </c>
      <c r="CA49" s="190" t="str">
        <f t="shared" ref="CA49:CC49" si="460">IF(BZ$32=0,"N.D.",BZ49/BZ$32)</f>
        <v>N.D.</v>
      </c>
      <c r="CB49" s="34">
        <f>BDER!$D549/1000+ajustes!AC29</f>
        <v>0</v>
      </c>
      <c r="CC49" s="190" t="str">
        <f t="shared" si="460"/>
        <v>N.D.</v>
      </c>
      <c r="CD49" s="207">
        <f>BDER!$D661/1000+ajustes!AD29</f>
        <v>0</v>
      </c>
      <c r="CE49" s="190" t="str">
        <f t="shared" ref="CE49:CG49" si="461">IF(CD$32=0,"N.D.",CD49/CD$32)</f>
        <v>N.D.</v>
      </c>
      <c r="CF49" s="206">
        <f>SUM(BV49,BX49,BZ49,CB49,CD49)</f>
        <v>0</v>
      </c>
      <c r="CG49" s="190" t="str">
        <f t="shared" si="461"/>
        <v>N.D.</v>
      </c>
    </row>
    <row r="50" spans="2:85" x14ac:dyDescent="0.35">
      <c r="B50" s="7" t="s">
        <v>19</v>
      </c>
      <c r="C50" s="198">
        <f>BDER!$D173/1000+ajustes!B28</f>
        <v>0</v>
      </c>
      <c r="D50" s="220" t="str">
        <f t="shared" ref="D50:F53" si="462">IF(C$32=0,"N.D.",C50/C$32)</f>
        <v>N.D.</v>
      </c>
      <c r="E50" s="11">
        <f>BDER!$D151/1000+ajustes!C28</f>
        <v>0</v>
      </c>
      <c r="F50" s="220" t="str">
        <f t="shared" si="462"/>
        <v>N.D.</v>
      </c>
      <c r="G50" s="30">
        <f>BDER!$D217/1000+ajustes!D28</f>
        <v>0</v>
      </c>
      <c r="H50" s="220" t="str">
        <f t="shared" ref="H50" si="463">IF(G$32=0,"N.D.",G50/G$32)</f>
        <v>N.D.</v>
      </c>
      <c r="I50" s="11">
        <f>BDER!$D195/1000+ajustes!E28</f>
        <v>0</v>
      </c>
      <c r="J50" s="220" t="str">
        <f t="shared" ref="J50:L50" si="464">IF(I$32=0,"N.D.",I50/I$32)</f>
        <v>N.D.</v>
      </c>
      <c r="K50" s="206">
        <f>SUM(C50,E50,G50,I50)</f>
        <v>0</v>
      </c>
      <c r="L50" s="220" t="str">
        <f t="shared" si="464"/>
        <v>N.D.</v>
      </c>
      <c r="N50" s="7" t="s">
        <v>19</v>
      </c>
      <c r="O50" s="198">
        <f>BDER!$D19/1000+ajustes!F28</f>
        <v>0</v>
      </c>
      <c r="P50" s="220" t="str">
        <f t="shared" ref="P50:R50" si="465">IF(O$32=0,"N.D.",O50/O$32)</f>
        <v>N.D.</v>
      </c>
      <c r="Q50" s="11">
        <f>BDER!$D41/1000+ajustes!G28</f>
        <v>0</v>
      </c>
      <c r="R50" s="220" t="str">
        <f t="shared" si="465"/>
        <v>N.D.</v>
      </c>
      <c r="S50" s="30">
        <f>BDER!$D63/1000+ajustes!H28</f>
        <v>0</v>
      </c>
      <c r="T50" s="220" t="str">
        <f t="shared" ref="T50:V50" si="466">IF(S$32=0,"N.D.",S50/S$32)</f>
        <v>N.D.</v>
      </c>
      <c r="U50" s="11">
        <f>BDER!$D85/1000+ajustes!I28</f>
        <v>0</v>
      </c>
      <c r="V50" s="220" t="str">
        <f t="shared" si="466"/>
        <v>N.D.</v>
      </c>
      <c r="W50" s="30">
        <f>BDER!$D107/1000+ajustes!J28</f>
        <v>0</v>
      </c>
      <c r="X50" s="220" t="str">
        <f t="shared" ref="X50:Z50" si="467">IF(W$32=0,"N.D.",W50/W$32)</f>
        <v>N.D.</v>
      </c>
      <c r="Y50" s="11">
        <f>BDER!$D129/1000+ajustes!K28</f>
        <v>0</v>
      </c>
      <c r="Z50" s="220" t="str">
        <f t="shared" si="467"/>
        <v>N.D.</v>
      </c>
      <c r="AA50" s="206">
        <f>SUM(O50,Q50,S50,U50,W50,Y50)</f>
        <v>0</v>
      </c>
      <c r="AB50" s="220" t="str">
        <f t="shared" ref="AB50" si="468">IF(AA$32=0,"N.D.",AA50/AA$32)</f>
        <v>N.D.</v>
      </c>
      <c r="AC50" s="276"/>
      <c r="AE50" s="7" t="s">
        <v>19</v>
      </c>
      <c r="AF50" s="8">
        <f>BDER!$D305/1000+ajustes!L28</f>
        <v>0</v>
      </c>
      <c r="AG50" s="220" t="str">
        <f t="shared" ref="AG50:AI50" si="469">IF(AF$32=0,"N.D.",AF50/AF$32)</f>
        <v>N.D.</v>
      </c>
      <c r="AH50" s="8">
        <f>BDER!$D327/1000+ajustes!M28</f>
        <v>0</v>
      </c>
      <c r="AI50" s="220" t="str">
        <f t="shared" si="469"/>
        <v>N.D.</v>
      </c>
      <c r="AJ50" s="8">
        <f>BDER!$D371/1000+ajustes!N28</f>
        <v>0</v>
      </c>
      <c r="AK50" s="220" t="str">
        <f t="shared" ref="AK50:AM50" si="470">IF(AJ$32=0,"N.D.",AJ50/AJ$32)</f>
        <v>N.D.</v>
      </c>
      <c r="AL50" s="8">
        <f>BDER!$D349/2000+ajustes!O28</f>
        <v>0</v>
      </c>
      <c r="AM50" s="220" t="str">
        <f t="shared" si="470"/>
        <v>N.D.</v>
      </c>
      <c r="AN50" s="8">
        <f>ajustes!P28</f>
        <v>0</v>
      </c>
      <c r="AO50" s="220" t="str">
        <f t="shared" ref="AO50:AQ50" si="471">IF(AN$32=0,"N.D.",AN50/AN$32)</f>
        <v>N.D.</v>
      </c>
      <c r="AP50" s="8">
        <f>BDER!$D415/1000+ajustes!Q28</f>
        <v>0</v>
      </c>
      <c r="AQ50" s="220" t="str">
        <f t="shared" si="471"/>
        <v>N.D.</v>
      </c>
      <c r="AR50" s="8">
        <f>BDER!$D393/1000+ajustes!R28</f>
        <v>0</v>
      </c>
      <c r="AS50" s="220" t="str">
        <f t="shared" ref="AS50:AU50" si="472">IF(AR$32=0,"N.D.",AR50/AR$32)</f>
        <v>N.D.</v>
      </c>
      <c r="AT50" s="8">
        <f t="shared" ref="AT50:AT51" si="473">SUM(AF50,AH50,AJ50,AL50,AP50,AR50,AN50)</f>
        <v>0</v>
      </c>
      <c r="AU50" s="220" t="str">
        <f t="shared" si="472"/>
        <v>N.D.</v>
      </c>
      <c r="AX50" s="7" t="s">
        <v>19</v>
      </c>
      <c r="AY50" s="8">
        <f>BDER!$D459/1000+ajustes!S28</f>
        <v>0</v>
      </c>
      <c r="AZ50" s="220" t="str">
        <f>IF(AY$32=0,"N.D.",AY50/AY$32)</f>
        <v>N.D.</v>
      </c>
      <c r="BA50" s="204">
        <f>BDER!$D437/1000+ajustes!T28</f>
        <v>0</v>
      </c>
      <c r="BB50" s="220" t="str">
        <f>IF(BA$32=0,"N.D.",BA50/BA$32)</f>
        <v>N.D.</v>
      </c>
      <c r="BC50" s="204">
        <f>SUM(AY50,BA50)</f>
        <v>0</v>
      </c>
      <c r="BD50" s="220" t="str">
        <f>IF(BC$32=0,"N.D.",BC50/BC$32)</f>
        <v>N.D.</v>
      </c>
      <c r="BE50" s="187"/>
      <c r="BG50" s="4" t="s">
        <v>177</v>
      </c>
      <c r="BH50" s="14">
        <f>BH46-BH48-BH49</f>
        <v>0</v>
      </c>
      <c r="BI50" s="35" t="str">
        <f t="shared" si="450"/>
        <v>N.D.</v>
      </c>
      <c r="BJ50" s="208">
        <f>BJ46-BJ48-BJ49</f>
        <v>0</v>
      </c>
      <c r="BK50" s="35" t="str">
        <f t="shared" si="450"/>
        <v>N.D.</v>
      </c>
      <c r="BL50" s="208">
        <f>BL46-BL48-BL49</f>
        <v>0</v>
      </c>
      <c r="BM50" s="35" t="str">
        <f t="shared" ref="BM50:BO50" si="474">IF(BL$32=0,"N.D.",BL50/BL$32)</f>
        <v>N.D.</v>
      </c>
      <c r="BN50" s="208">
        <f>BN46-BN48-BN49</f>
        <v>0</v>
      </c>
      <c r="BO50" s="35" t="str">
        <f t="shared" si="474"/>
        <v>N.D.</v>
      </c>
      <c r="BP50" s="208">
        <f>BP46-BP48-BP49</f>
        <v>0</v>
      </c>
      <c r="BQ50" s="35" t="str">
        <f t="shared" ref="BQ50:BS50" si="475">IF(BP$32=0,"N.D.",BP50/BP$32)</f>
        <v>N.D.</v>
      </c>
      <c r="BR50" s="14">
        <f>BR46-BR48-BR49</f>
        <v>0</v>
      </c>
      <c r="BS50" s="35" t="str">
        <f t="shared" si="475"/>
        <v>N.D.</v>
      </c>
      <c r="BU50" s="4" t="s">
        <v>177</v>
      </c>
      <c r="BV50" s="208">
        <f>BV46-BV48-BV49</f>
        <v>0</v>
      </c>
      <c r="BW50" s="35" t="str">
        <f t="shared" ref="BW50:BY50" si="476">IF(BV$32=0,"N.D.",BV50/BV$32)</f>
        <v>N.D.</v>
      </c>
      <c r="BX50" s="208">
        <f>BX46-BX48-BX49</f>
        <v>0</v>
      </c>
      <c r="BY50" s="35" t="str">
        <f t="shared" si="476"/>
        <v>N.D.</v>
      </c>
      <c r="BZ50" s="208">
        <f>BZ46-BZ48-BZ49</f>
        <v>0</v>
      </c>
      <c r="CA50" s="35" t="str">
        <f t="shared" ref="CA50:CC50" si="477">IF(BZ$32=0,"N.D.",BZ50/BZ$32)</f>
        <v>N.D.</v>
      </c>
      <c r="CB50" s="208">
        <f>CB46-CB48-CB49</f>
        <v>0</v>
      </c>
      <c r="CC50" s="35" t="str">
        <f t="shared" si="477"/>
        <v>N.D.</v>
      </c>
      <c r="CD50" s="208">
        <f>CD46-CD48-CD49</f>
        <v>0</v>
      </c>
      <c r="CE50" s="35" t="str">
        <f t="shared" ref="CE50:CG50" si="478">IF(CD$32=0,"N.D.",CD50/CD$32)</f>
        <v>N.D.</v>
      </c>
      <c r="CF50" s="14">
        <f>CF46-CF48-CF49</f>
        <v>0</v>
      </c>
      <c r="CG50" s="35" t="str">
        <f t="shared" si="478"/>
        <v>N.D.</v>
      </c>
    </row>
    <row r="51" spans="2:85" x14ac:dyDescent="0.35">
      <c r="B51" s="7" t="s">
        <v>43</v>
      </c>
      <c r="C51" s="196">
        <f>BDER!$D174/1000+ajustes!B29</f>
        <v>0</v>
      </c>
      <c r="D51" s="219" t="str">
        <f t="shared" si="462"/>
        <v>N.D.</v>
      </c>
      <c r="E51" s="34">
        <f>BDER!$D152/1000+ajustes!C29</f>
        <v>0</v>
      </c>
      <c r="F51" s="219" t="str">
        <f t="shared" si="462"/>
        <v>N.D.</v>
      </c>
      <c r="G51" s="197">
        <f>BDER!$D218/1000+ajustes!D29</f>
        <v>0</v>
      </c>
      <c r="H51" s="219" t="str">
        <f t="shared" ref="H51" si="479">IF(G$32=0,"N.D.",G51/G$32)</f>
        <v>N.D.</v>
      </c>
      <c r="I51" s="34">
        <f>BDER!$D196/1000+ajustes!E29</f>
        <v>0</v>
      </c>
      <c r="J51" s="219" t="str">
        <f t="shared" ref="J51:L51" si="480">IF(I$32=0,"N.D.",I51/I$32)</f>
        <v>N.D.</v>
      </c>
      <c r="K51" s="207">
        <f>SUM(C51,E51,G51,I51)</f>
        <v>0</v>
      </c>
      <c r="L51" s="219" t="str">
        <f t="shared" si="480"/>
        <v>N.D.</v>
      </c>
      <c r="N51" s="7" t="s">
        <v>43</v>
      </c>
      <c r="O51" s="196">
        <f>BDER!$D20/1000+ajustes!F29</f>
        <v>0</v>
      </c>
      <c r="P51" s="219" t="str">
        <f t="shared" ref="P51:R51" si="481">IF(O$32=0,"N.D.",O51/O$32)</f>
        <v>N.D.</v>
      </c>
      <c r="Q51" s="34">
        <f>BDER!$D42/1000+ajustes!G29</f>
        <v>0</v>
      </c>
      <c r="R51" s="219" t="str">
        <f t="shared" si="481"/>
        <v>N.D.</v>
      </c>
      <c r="S51" s="197">
        <f>BDER!$D64/1000+ajustes!H29</f>
        <v>0</v>
      </c>
      <c r="T51" s="219" t="str">
        <f t="shared" ref="T51:V51" si="482">IF(S$32=0,"N.D.",S51/S$32)</f>
        <v>N.D.</v>
      </c>
      <c r="U51" s="34">
        <f>BDER!$D86/1000+ajustes!I29</f>
        <v>0</v>
      </c>
      <c r="V51" s="219" t="str">
        <f t="shared" si="482"/>
        <v>N.D.</v>
      </c>
      <c r="W51" s="197">
        <f>BDER!$D108/1000+ajustes!J29</f>
        <v>0</v>
      </c>
      <c r="X51" s="219" t="str">
        <f t="shared" ref="X51:Z51" si="483">IF(W$32=0,"N.D.",W51/W$32)</f>
        <v>N.D.</v>
      </c>
      <c r="Y51" s="34">
        <f>BDER!$D130/1000+ajustes!K29</f>
        <v>0</v>
      </c>
      <c r="Z51" s="219" t="str">
        <f t="shared" si="483"/>
        <v>N.D.</v>
      </c>
      <c r="AA51" s="207">
        <f>SUM(O51,Q51,S51,U51,W51,Y51)</f>
        <v>0</v>
      </c>
      <c r="AB51" s="219" t="str">
        <f t="shared" ref="AB51" si="484">IF(AA$32=0,"N.D.",AA51/AA$32)</f>
        <v>N.D.</v>
      </c>
      <c r="AC51" s="276"/>
      <c r="AE51" s="7" t="s">
        <v>43</v>
      </c>
      <c r="AF51" s="11">
        <f>BDER!$D306/1000+ajustes!L29</f>
        <v>0</v>
      </c>
      <c r="AG51" s="219" t="str">
        <f t="shared" ref="AG51:AI51" si="485">IF(AF$32=0,"N.D.",AF51/AF$32)</f>
        <v>N.D.</v>
      </c>
      <c r="AH51" s="11">
        <f>BDER!$D328/1000+ajustes!M29</f>
        <v>0</v>
      </c>
      <c r="AI51" s="219" t="str">
        <f t="shared" si="485"/>
        <v>N.D.</v>
      </c>
      <c r="AJ51" s="11">
        <f>BDER!$D372/1000+ajustes!N29</f>
        <v>0</v>
      </c>
      <c r="AK51" s="219" t="str">
        <f t="shared" ref="AK51:AM51" si="486">IF(AJ$32=0,"N.D.",AJ51/AJ$32)</f>
        <v>N.D.</v>
      </c>
      <c r="AL51" s="11">
        <f>BDER!$D350/2000+ajustes!O29</f>
        <v>0</v>
      </c>
      <c r="AM51" s="219" t="str">
        <f t="shared" si="486"/>
        <v>N.D.</v>
      </c>
      <c r="AN51" s="11">
        <f>ajustes!P29</f>
        <v>0</v>
      </c>
      <c r="AO51" s="219" t="str">
        <f t="shared" ref="AO51:AQ51" si="487">IF(AN$32=0,"N.D.",AN51/AN$32)</f>
        <v>N.D.</v>
      </c>
      <c r="AP51" s="11">
        <f>BDER!$D416/1000+ajustes!Q29</f>
        <v>0</v>
      </c>
      <c r="AQ51" s="219" t="str">
        <f t="shared" si="487"/>
        <v>N.D.</v>
      </c>
      <c r="AR51" s="11">
        <f>BDER!$D394/1000+ajustes!R29</f>
        <v>0</v>
      </c>
      <c r="AS51" s="219" t="str">
        <f t="shared" ref="AS51:AU51" si="488">IF(AR$32=0,"N.D.",AR51/AR$32)</f>
        <v>N.D.</v>
      </c>
      <c r="AT51" s="11">
        <f t="shared" si="473"/>
        <v>0</v>
      </c>
      <c r="AU51" s="219" t="str">
        <f t="shared" si="488"/>
        <v>N.D.</v>
      </c>
      <c r="AX51" s="7" t="s">
        <v>43</v>
      </c>
      <c r="AY51" s="34">
        <f>BDER!$D460/1000+ajustes!S29</f>
        <v>0</v>
      </c>
      <c r="AZ51" s="219" t="str">
        <f>IF(AY$32=0,"N.D.",AY51/AY$32)</f>
        <v>N.D.</v>
      </c>
      <c r="BA51" s="207">
        <f>BDER!$D438/1000+ajustes!T29</f>
        <v>0</v>
      </c>
      <c r="BB51" s="219" t="str">
        <f>IF(BA$32=0,"N.D.",BA51/BA$32)</f>
        <v>N.D.</v>
      </c>
      <c r="BC51" s="206">
        <f>SUM(AY51,BA51)</f>
        <v>0</v>
      </c>
      <c r="BD51" s="219" t="str">
        <f>IF(BC$32=0,"N.D.",BC51/BC$32)</f>
        <v>N.D.</v>
      </c>
      <c r="BE51" s="187"/>
      <c r="BG51" s="4" t="s">
        <v>178</v>
      </c>
      <c r="BH51" s="20">
        <f>BH40+BH38</f>
        <v>0</v>
      </c>
      <c r="BI51" s="22" t="str">
        <f t="shared" si="450"/>
        <v>N.D.</v>
      </c>
      <c r="BJ51" s="14">
        <f>BJ40+BJ38</f>
        <v>0</v>
      </c>
      <c r="BK51" s="22" t="str">
        <f t="shared" si="450"/>
        <v>N.D.</v>
      </c>
      <c r="BL51" s="14">
        <f>BL40+BL38</f>
        <v>0</v>
      </c>
      <c r="BM51" s="22" t="str">
        <f t="shared" ref="BM51:BO51" si="489">IF(BL$32=0,"N.D.",BL51/BL$32)</f>
        <v>N.D.</v>
      </c>
      <c r="BN51" s="14">
        <f>BN40+BN38</f>
        <v>0</v>
      </c>
      <c r="BO51" s="22" t="str">
        <f t="shared" si="489"/>
        <v>N.D.</v>
      </c>
      <c r="BP51" s="14">
        <f>BP40+BP38</f>
        <v>0</v>
      </c>
      <c r="BQ51" s="22" t="str">
        <f t="shared" ref="BQ51:BS51" si="490">IF(BP$32=0,"N.D.",BP51/BP$32)</f>
        <v>N.D.</v>
      </c>
      <c r="BR51" s="20">
        <f>BR40+BR38</f>
        <v>0</v>
      </c>
      <c r="BS51" s="22" t="str">
        <f t="shared" si="490"/>
        <v>N.D.</v>
      </c>
      <c r="BU51" s="4" t="s">
        <v>178</v>
      </c>
      <c r="BV51" s="14">
        <f>BV40+BV38</f>
        <v>0</v>
      </c>
      <c r="BW51" s="22" t="str">
        <f t="shared" ref="BW51:BY51" si="491">IF(BV$32=0,"N.D.",BV51/BV$32)</f>
        <v>N.D.</v>
      </c>
      <c r="BX51" s="14">
        <f>BX40+BX38</f>
        <v>0</v>
      </c>
      <c r="BY51" s="22" t="str">
        <f t="shared" si="491"/>
        <v>N.D.</v>
      </c>
      <c r="BZ51" s="14">
        <f>BZ40+BZ38</f>
        <v>0</v>
      </c>
      <c r="CA51" s="22" t="str">
        <f t="shared" ref="CA51:CC51" si="492">IF(BZ$32=0,"N.D.",BZ51/BZ$32)</f>
        <v>N.D.</v>
      </c>
      <c r="CB51" s="14">
        <f>CB40+CB38</f>
        <v>0</v>
      </c>
      <c r="CC51" s="22" t="str">
        <f t="shared" si="492"/>
        <v>N.D.</v>
      </c>
      <c r="CD51" s="14">
        <f>CD40+CD38</f>
        <v>0</v>
      </c>
      <c r="CE51" s="22" t="str">
        <f t="shared" ref="CE51:CG51" si="493">IF(CD$32=0,"N.D.",CD51/CD$32)</f>
        <v>N.D.</v>
      </c>
      <c r="CF51" s="20">
        <f>CF40+CF38</f>
        <v>0</v>
      </c>
      <c r="CG51" s="22" t="str">
        <f t="shared" si="493"/>
        <v>N.D.</v>
      </c>
    </row>
    <row r="52" spans="2:85" x14ac:dyDescent="0.35">
      <c r="B52" s="4" t="s">
        <v>21</v>
      </c>
      <c r="C52" s="216">
        <f>C48-C50</f>
        <v>0</v>
      </c>
      <c r="D52" s="22" t="str">
        <f t="shared" si="462"/>
        <v>N.D.</v>
      </c>
      <c r="E52" s="208">
        <f>E48-E50</f>
        <v>0</v>
      </c>
      <c r="F52" s="22" t="str">
        <f t="shared" si="462"/>
        <v>N.D.</v>
      </c>
      <c r="G52" s="202">
        <f>G48-G50</f>
        <v>0</v>
      </c>
      <c r="H52" s="22" t="str">
        <f t="shared" ref="H52" si="494">IF(G$32=0,"N.D.",G52/G$32)</f>
        <v>N.D.</v>
      </c>
      <c r="I52" s="208">
        <f>I48-I50</f>
        <v>0</v>
      </c>
      <c r="J52" s="22" t="str">
        <f t="shared" ref="J52:L52" si="495">IF(I$32=0,"N.D.",I52/I$32)</f>
        <v>N.D.</v>
      </c>
      <c r="K52" s="213">
        <f>K48-K50</f>
        <v>0</v>
      </c>
      <c r="L52" s="22" t="str">
        <f t="shared" si="495"/>
        <v>N.D.</v>
      </c>
      <c r="N52" s="4" t="s">
        <v>21</v>
      </c>
      <c r="O52" s="216">
        <f>O48-O50</f>
        <v>0</v>
      </c>
      <c r="P52" s="22" t="str">
        <f t="shared" ref="P52:R52" si="496">IF(O$32=0,"N.D.",O52/O$32)</f>
        <v>N.D.</v>
      </c>
      <c r="Q52" s="208">
        <f>Q48-Q50</f>
        <v>0</v>
      </c>
      <c r="R52" s="22" t="str">
        <f t="shared" si="496"/>
        <v>N.D.</v>
      </c>
      <c r="S52" s="202">
        <f>S48-S50</f>
        <v>0</v>
      </c>
      <c r="T52" s="22" t="str">
        <f t="shared" ref="T52:V52" si="497">IF(S$32=0,"N.D.",S52/S$32)</f>
        <v>N.D.</v>
      </c>
      <c r="U52" s="208">
        <f>U48-U50</f>
        <v>0</v>
      </c>
      <c r="V52" s="22" t="str">
        <f t="shared" si="497"/>
        <v>N.D.</v>
      </c>
      <c r="W52" s="202">
        <f>W48-W50</f>
        <v>0</v>
      </c>
      <c r="X52" s="22" t="str">
        <f t="shared" ref="X52:Z52" si="498">IF(W$32=0,"N.D.",W52/W$32)</f>
        <v>N.D.</v>
      </c>
      <c r="Y52" s="208">
        <f>Y48-Y50</f>
        <v>0</v>
      </c>
      <c r="Z52" s="22" t="str">
        <f t="shared" si="498"/>
        <v>N.D.</v>
      </c>
      <c r="AA52" s="213">
        <f>AA48-AA50</f>
        <v>0</v>
      </c>
      <c r="AB52" s="22" t="str">
        <f t="shared" ref="AB52" si="499">IF(AA$32=0,"N.D.",AA52/AA$32)</f>
        <v>N.D.</v>
      </c>
      <c r="AC52" s="277"/>
      <c r="AE52" s="4" t="s">
        <v>21</v>
      </c>
      <c r="AF52" s="14">
        <f>AF48-AF50</f>
        <v>0</v>
      </c>
      <c r="AG52" s="22" t="str">
        <f t="shared" ref="AG52:AI52" si="500">IF(AF$32=0,"N.D.",AF52/AF$32)</f>
        <v>N.D.</v>
      </c>
      <c r="AH52" s="14">
        <f>AH48-AH50</f>
        <v>0</v>
      </c>
      <c r="AI52" s="22" t="str">
        <f t="shared" si="500"/>
        <v>N.D.</v>
      </c>
      <c r="AJ52" s="14">
        <f>AJ48-AJ50</f>
        <v>0</v>
      </c>
      <c r="AK52" s="22" t="str">
        <f t="shared" ref="AK52:AM52" si="501">IF(AJ$32=0,"N.D.",AJ52/AJ$32)</f>
        <v>N.D.</v>
      </c>
      <c r="AL52" s="14">
        <f>AL48-AL50</f>
        <v>0</v>
      </c>
      <c r="AM52" s="22" t="str">
        <f t="shared" si="501"/>
        <v>N.D.</v>
      </c>
      <c r="AN52" s="14">
        <f>AN48-AN50</f>
        <v>0</v>
      </c>
      <c r="AO52" s="22" t="str">
        <f t="shared" ref="AO52:AQ52" si="502">IF(AN$32=0,"N.D.",AN52/AN$32)</f>
        <v>N.D.</v>
      </c>
      <c r="AP52" s="14">
        <f>AP48-AP50</f>
        <v>0</v>
      </c>
      <c r="AQ52" s="22" t="str">
        <f t="shared" si="502"/>
        <v>N.D.</v>
      </c>
      <c r="AR52" s="14">
        <f>AR48-AR50</f>
        <v>0</v>
      </c>
      <c r="AS52" s="22" t="str">
        <f t="shared" ref="AS52:AU52" si="503">IF(AR$32=0,"N.D.",AR52/AR$32)</f>
        <v>N.D.</v>
      </c>
      <c r="AT52" s="14">
        <f>AT48-AT50</f>
        <v>0</v>
      </c>
      <c r="AU52" s="22" t="str">
        <f t="shared" si="503"/>
        <v>N.D.</v>
      </c>
      <c r="AX52" s="4" t="s">
        <v>21</v>
      </c>
      <c r="AY52" s="208">
        <f>AY48-AY50</f>
        <v>0</v>
      </c>
      <c r="AZ52" s="22" t="str">
        <f>IF(AY$32=0,"N.D.",AY52/AY$32)</f>
        <v>N.D.</v>
      </c>
      <c r="BA52" s="208">
        <f>BA48-BA50</f>
        <v>0</v>
      </c>
      <c r="BB52" s="22" t="str">
        <f>IF(BA$32=0,"N.D.",BA52/BA$32)</f>
        <v>N.D.</v>
      </c>
      <c r="BC52" s="14">
        <f>BC48-BC50</f>
        <v>0</v>
      </c>
      <c r="BD52" s="22" t="str">
        <f>IF(BC$32=0,"N.D.",BC52/BC$32)</f>
        <v>N.D.</v>
      </c>
      <c r="BE52" s="221"/>
    </row>
    <row r="53" spans="2:85" x14ac:dyDescent="0.35">
      <c r="B53" s="4" t="s">
        <v>22</v>
      </c>
      <c r="C53" s="215">
        <f>C40+C38</f>
        <v>0</v>
      </c>
      <c r="D53" s="22" t="str">
        <f t="shared" si="462"/>
        <v>N.D.</v>
      </c>
      <c r="E53" s="14">
        <f>E40+E38</f>
        <v>0</v>
      </c>
      <c r="F53" s="22" t="str">
        <f t="shared" si="462"/>
        <v>N.D.</v>
      </c>
      <c r="G53" s="31">
        <f>G40+G38</f>
        <v>0</v>
      </c>
      <c r="H53" s="22" t="str">
        <f t="shared" ref="H53" si="504">IF(G$32=0,"N.D.",G53/G$32)</f>
        <v>N.D.</v>
      </c>
      <c r="I53" s="14">
        <f>I40+I38</f>
        <v>0</v>
      </c>
      <c r="J53" s="22" t="str">
        <f t="shared" ref="J53:L53" si="505">IF(I$32=0,"N.D.",I53/I$32)</f>
        <v>N.D.</v>
      </c>
      <c r="K53" s="214">
        <f>K40+K38</f>
        <v>0</v>
      </c>
      <c r="L53" s="22" t="str">
        <f t="shared" si="505"/>
        <v>N.D.</v>
      </c>
      <c r="N53" s="4" t="s">
        <v>22</v>
      </c>
      <c r="O53" s="215">
        <f>O40+O38</f>
        <v>0</v>
      </c>
      <c r="P53" s="22" t="str">
        <f t="shared" ref="P53:R53" si="506">IF(O$32=0,"N.D.",O53/O$32)</f>
        <v>N.D.</v>
      </c>
      <c r="Q53" s="14">
        <f>Q40+Q38</f>
        <v>0</v>
      </c>
      <c r="R53" s="22" t="str">
        <f t="shared" si="506"/>
        <v>N.D.</v>
      </c>
      <c r="S53" s="31">
        <f>S40+S38</f>
        <v>0</v>
      </c>
      <c r="T53" s="22" t="str">
        <f t="shared" ref="T53:V53" si="507">IF(S$32=0,"N.D.",S53/S$32)</f>
        <v>N.D.</v>
      </c>
      <c r="U53" s="14">
        <f>U40+U38</f>
        <v>0</v>
      </c>
      <c r="V53" s="22" t="str">
        <f t="shared" si="507"/>
        <v>N.D.</v>
      </c>
      <c r="W53" s="31">
        <f>W40+W38</f>
        <v>0</v>
      </c>
      <c r="X53" s="22" t="str">
        <f t="shared" ref="X53:Z53" si="508">IF(W$32=0,"N.D.",W53/W$32)</f>
        <v>N.D.</v>
      </c>
      <c r="Y53" s="14">
        <f>Y40+Y38</f>
        <v>0</v>
      </c>
      <c r="Z53" s="22" t="str">
        <f t="shared" si="508"/>
        <v>N.D.</v>
      </c>
      <c r="AA53" s="214">
        <f>AA40+AA38</f>
        <v>0</v>
      </c>
      <c r="AB53" s="22" t="str">
        <f t="shared" ref="AB53" si="509">IF(AA$32=0,"N.D.",AA53/AA$32)</f>
        <v>N.D.</v>
      </c>
      <c r="AC53" s="277"/>
      <c r="AE53" s="4" t="s">
        <v>22</v>
      </c>
      <c r="AF53" s="20">
        <f>AF40+AF38</f>
        <v>0</v>
      </c>
      <c r="AG53" s="22" t="str">
        <f t="shared" ref="AG53:AI53" si="510">IF(AF$32=0,"N.D.",AF53/AF$32)</f>
        <v>N.D.</v>
      </c>
      <c r="AH53" s="20">
        <f>AH40+AH38</f>
        <v>0</v>
      </c>
      <c r="AI53" s="22" t="str">
        <f t="shared" si="510"/>
        <v>N.D.</v>
      </c>
      <c r="AJ53" s="20">
        <f>AJ40+AJ38</f>
        <v>0</v>
      </c>
      <c r="AK53" s="22" t="str">
        <f t="shared" ref="AK53:AM53" si="511">IF(AJ$32=0,"N.D.",AJ53/AJ$32)</f>
        <v>N.D.</v>
      </c>
      <c r="AL53" s="20">
        <f>AL40+AL38</f>
        <v>0</v>
      </c>
      <c r="AM53" s="22" t="str">
        <f t="shared" si="511"/>
        <v>N.D.</v>
      </c>
      <c r="AN53" s="20">
        <f>AN40+AN38</f>
        <v>0</v>
      </c>
      <c r="AO53" s="22" t="str">
        <f t="shared" ref="AO53:AQ53" si="512">IF(AN$32=0,"N.D.",AN53/AN$32)</f>
        <v>N.D.</v>
      </c>
      <c r="AP53" s="20">
        <f>AP40+AP38</f>
        <v>0</v>
      </c>
      <c r="AQ53" s="22" t="str">
        <f t="shared" si="512"/>
        <v>N.D.</v>
      </c>
      <c r="AR53" s="20">
        <f>AR40+AR38</f>
        <v>0</v>
      </c>
      <c r="AS53" s="22" t="str">
        <f t="shared" ref="AS53:AU53" si="513">IF(AR$32=0,"N.D.",AR53/AR$32)</f>
        <v>N.D.</v>
      </c>
      <c r="AT53" s="20">
        <f>AT40+AT38</f>
        <v>0</v>
      </c>
      <c r="AU53" s="22" t="str">
        <f t="shared" si="513"/>
        <v>N.D.</v>
      </c>
      <c r="AX53" s="4" t="s">
        <v>22</v>
      </c>
      <c r="AY53" s="14">
        <f>AY40+AY38</f>
        <v>0</v>
      </c>
      <c r="AZ53" s="22" t="str">
        <f>IF(AY$32=0,"N.D.",AY53/AY$32)</f>
        <v>N.D.</v>
      </c>
      <c r="BA53" s="14">
        <f>BA40+BA38</f>
        <v>0</v>
      </c>
      <c r="BB53" s="22" t="str">
        <f>IF(BA$32=0,"N.D.",BA53/BA$32)</f>
        <v>N.D.</v>
      </c>
      <c r="BC53" s="20">
        <f>BC40+BC38</f>
        <v>0</v>
      </c>
      <c r="BD53" s="22" t="str">
        <f>IF(BC$32=0,"N.D.",BC53/BC$32)</f>
        <v>N.D.</v>
      </c>
      <c r="BE53" s="2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zoomScale="72" zoomScaleNormal="72" workbookViewId="0">
      <selection activeCell="CA9" sqref="CA9"/>
    </sheetView>
  </sheetViews>
  <sheetFormatPr baseColWidth="10" defaultRowHeight="14.5" x14ac:dyDescent="0.35"/>
  <cols>
    <col min="2" max="2" width="12.90625" customWidth="1"/>
    <col min="3" max="3" width="0" hidden="1" customWidth="1"/>
    <col min="4" max="4" width="9.54296875" style="305" hidden="1" customWidth="1"/>
    <col min="5" max="5" width="2.08984375" style="315" hidden="1" customWidth="1"/>
    <col min="8" max="8" width="2" style="307" customWidth="1"/>
    <col min="9" max="10" width="10.90625" style="307"/>
    <col min="11" max="11" width="1.81640625" style="307" customWidth="1"/>
    <col min="12" max="12" width="10.90625" style="307"/>
    <col min="14" max="14" width="1.453125" style="307" customWidth="1"/>
    <col min="17" max="17" width="2.1796875" style="307" customWidth="1"/>
    <col min="20" max="20" width="1.90625" style="307" customWidth="1"/>
    <col min="25" max="25" width="16.1796875" customWidth="1"/>
    <col min="26" max="26" width="1.54296875" customWidth="1"/>
    <col min="29" max="29" width="2.7265625" customWidth="1"/>
    <col min="32" max="32" width="2.81640625" customWidth="1"/>
    <col min="35" max="35" width="2.7265625" customWidth="1"/>
    <col min="38" max="38" width="2.453125" customWidth="1"/>
    <col min="45" max="45" width="11.81640625" bestFit="1" customWidth="1"/>
    <col min="48" max="48" width="10.6328125" customWidth="1"/>
    <col min="65" max="66" width="0" hidden="1" customWidth="1"/>
  </cols>
  <sheetData>
    <row r="1" spans="1:78" x14ac:dyDescent="0.35">
      <c r="A1" t="s">
        <v>393</v>
      </c>
      <c r="C1" t="s">
        <v>404</v>
      </c>
      <c r="X1" s="320" t="s">
        <v>410</v>
      </c>
      <c r="AB1" s="321"/>
      <c r="AD1" t="s">
        <v>404</v>
      </c>
      <c r="AE1" s="321"/>
      <c r="AH1" s="321"/>
      <c r="AK1" s="322"/>
      <c r="AM1" s="323"/>
      <c r="AN1" s="322"/>
      <c r="AQ1" s="26" t="s">
        <v>406</v>
      </c>
      <c r="AR1" s="25"/>
      <c r="AS1" s="25"/>
      <c r="AT1" s="25"/>
      <c r="AU1" s="25"/>
      <c r="AV1" s="25"/>
      <c r="AW1" s="25"/>
      <c r="AX1" s="25"/>
      <c r="AZ1" t="s">
        <v>409</v>
      </c>
      <c r="BL1" t="s">
        <v>411</v>
      </c>
    </row>
    <row r="2" spans="1:78" x14ac:dyDescent="0.35">
      <c r="C2" s="373" t="s">
        <v>25</v>
      </c>
      <c r="D2" s="373"/>
      <c r="E2" s="2"/>
      <c r="F2" s="373" t="s">
        <v>26</v>
      </c>
      <c r="G2" s="373"/>
      <c r="H2" s="2"/>
      <c r="I2" s="373" t="s">
        <v>27</v>
      </c>
      <c r="J2" s="373"/>
      <c r="K2" s="2"/>
      <c r="L2" s="373" t="s">
        <v>28</v>
      </c>
      <c r="M2" s="373"/>
      <c r="N2" s="2"/>
      <c r="O2" s="373" t="s">
        <v>29</v>
      </c>
      <c r="P2" s="373"/>
      <c r="Q2" s="2"/>
      <c r="R2" s="373" t="s">
        <v>108</v>
      </c>
      <c r="S2" s="373"/>
      <c r="T2" s="2"/>
      <c r="U2" s="373" t="s">
        <v>395</v>
      </c>
      <c r="V2" s="373"/>
      <c r="Y2" s="7"/>
      <c r="Z2" s="7"/>
      <c r="AA2" s="319" t="s">
        <v>0</v>
      </c>
      <c r="AB2" s="324" t="s">
        <v>396</v>
      </c>
      <c r="AC2" s="318"/>
      <c r="AD2" s="319" t="s">
        <v>402</v>
      </c>
      <c r="AE2" s="325" t="s">
        <v>396</v>
      </c>
      <c r="AF2" s="318"/>
      <c r="AG2" s="319" t="s">
        <v>403</v>
      </c>
      <c r="AH2" s="325" t="s">
        <v>396</v>
      </c>
      <c r="AI2" s="318"/>
      <c r="AJ2" s="319" t="s">
        <v>395</v>
      </c>
      <c r="AK2" s="326" t="s">
        <v>396</v>
      </c>
      <c r="AL2" s="318"/>
      <c r="AM2" s="319" t="s">
        <v>395</v>
      </c>
      <c r="AN2" s="326" t="s">
        <v>396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9" t="s">
        <v>29</v>
      </c>
      <c r="AW2" s="2" t="s">
        <v>30</v>
      </c>
      <c r="AX2" s="2" t="s">
        <v>31</v>
      </c>
      <c r="AZ2" s="341"/>
      <c r="BA2" s="342" t="s">
        <v>407</v>
      </c>
      <c r="BB2" s="343"/>
      <c r="BC2" s="342" t="s">
        <v>1</v>
      </c>
      <c r="BD2" s="342"/>
      <c r="BE2" s="342" t="s">
        <v>2</v>
      </c>
      <c r="BF2" s="342"/>
      <c r="BG2" s="344" t="s">
        <v>3</v>
      </c>
      <c r="BH2" s="345"/>
      <c r="BI2" s="344" t="s">
        <v>4</v>
      </c>
      <c r="BJ2" s="346"/>
      <c r="BL2" s="347"/>
      <c r="BM2" s="361" t="s">
        <v>25</v>
      </c>
      <c r="BN2" s="362"/>
      <c r="BO2" s="361" t="s">
        <v>26</v>
      </c>
      <c r="BP2" s="362"/>
      <c r="BQ2" s="363" t="s">
        <v>27</v>
      </c>
      <c r="BR2" s="364"/>
      <c r="BS2" s="363" t="s">
        <v>28</v>
      </c>
      <c r="BT2" s="364"/>
      <c r="BU2" s="361" t="s">
        <v>29</v>
      </c>
      <c r="BV2" s="362"/>
      <c r="BW2" s="361" t="s">
        <v>30</v>
      </c>
      <c r="BX2" s="362"/>
      <c r="BY2" s="363" t="s">
        <v>31</v>
      </c>
      <c r="BZ2" s="365"/>
    </row>
    <row r="3" spans="1:78" x14ac:dyDescent="0.35">
      <c r="B3" s="26"/>
      <c r="C3" s="2" t="s">
        <v>395</v>
      </c>
      <c r="D3" s="308" t="s">
        <v>396</v>
      </c>
      <c r="E3" s="308"/>
      <c r="F3" s="2" t="s">
        <v>395</v>
      </c>
      <c r="G3" s="308" t="s">
        <v>396</v>
      </c>
      <c r="H3" s="308"/>
      <c r="I3" s="2" t="s">
        <v>395</v>
      </c>
      <c r="J3" s="308" t="s">
        <v>396</v>
      </c>
      <c r="K3" s="308"/>
      <c r="L3" s="2" t="s">
        <v>395</v>
      </c>
      <c r="M3" s="308" t="s">
        <v>396</v>
      </c>
      <c r="N3" s="308"/>
      <c r="O3" s="2" t="s">
        <v>395</v>
      </c>
      <c r="P3" s="309" t="s">
        <v>396</v>
      </c>
      <c r="Q3" s="309"/>
      <c r="R3" s="2" t="s">
        <v>395</v>
      </c>
      <c r="S3" s="308" t="s">
        <v>396</v>
      </c>
      <c r="T3" s="308"/>
      <c r="U3" s="2" t="s">
        <v>397</v>
      </c>
      <c r="V3" s="308" t="s">
        <v>396</v>
      </c>
      <c r="Y3" s="25"/>
      <c r="Z3" s="25"/>
      <c r="AA3" s="2"/>
      <c r="AB3" s="309"/>
      <c r="AC3" s="25"/>
      <c r="AD3" s="2"/>
      <c r="AE3" s="309"/>
      <c r="AF3" s="25"/>
      <c r="AG3" s="2"/>
      <c r="AH3" s="309"/>
      <c r="AI3" s="25"/>
      <c r="AJ3" s="2" t="s">
        <v>402</v>
      </c>
      <c r="AK3" s="327"/>
      <c r="AL3" s="25"/>
      <c r="AM3" s="2" t="s">
        <v>403</v>
      </c>
      <c r="AN3" s="327"/>
      <c r="AQ3" s="7" t="s">
        <v>5</v>
      </c>
      <c r="AR3" s="8"/>
      <c r="AS3" s="8">
        <f>(BDER_sig!D4+BDER_sig!D26+BDER_sig!D48+BDER_sig!D70+BDER_sig!D92+BDER_sig!D114)/1000</f>
        <v>0</v>
      </c>
      <c r="AT3" s="8">
        <f>(BDER_sig!D466+BDER_sig!D489+BDER_sig!D556+BDER_sig!D601)/1000</f>
        <v>0</v>
      </c>
      <c r="AU3" s="8">
        <f>(BDER_sig!D512+BDER_sig!D534+BDER_sig!D579+BDER_sig!D624+BDER_sig!D646)/1000</f>
        <v>0</v>
      </c>
      <c r="AV3" s="8">
        <f>(BDER_sig!D290+BDER_sig!D312+BDER_sig!D334+BDER_sig!D356)/1000</f>
        <v>0</v>
      </c>
      <c r="AW3" s="8">
        <f>(BDER_sig!D422+BDER_sig!D444)/1000</f>
        <v>0</v>
      </c>
      <c r="AX3" s="8">
        <f>SUM(AR3:AW3)</f>
        <v>0</v>
      </c>
      <c r="AZ3" s="347" t="s">
        <v>5</v>
      </c>
      <c r="BA3" s="348">
        <f t="shared" ref="BA3:BA24" si="0">BY28</f>
        <v>0</v>
      </c>
      <c r="BB3" s="349" t="str">
        <f>IF(BA$3=0,"N.D.",BA3/BA$3)</f>
        <v>N.D.</v>
      </c>
      <c r="BC3" s="348">
        <f t="shared" ref="BC3:BC24" si="1">AX3</f>
        <v>0</v>
      </c>
      <c r="BD3" s="349" t="str">
        <f>IF(BC$3=0,"N.D.",BC3/BC$3)</f>
        <v>N.D.</v>
      </c>
      <c r="BE3" s="348">
        <f t="shared" ref="BE3:BE24" si="2">AX28</f>
        <v>0</v>
      </c>
      <c r="BF3" s="349" t="str">
        <f>IF(BE$3=0,"N.D.",BE3/BE$3)</f>
        <v>N.D.</v>
      </c>
      <c r="BG3" s="348">
        <f>+BA3-BC3</f>
        <v>0</v>
      </c>
      <c r="BH3" s="350" t="str">
        <f>IF(BC3=0,"N.D.",BA3/BC3-1)</f>
        <v>N.D.</v>
      </c>
      <c r="BI3" s="348">
        <f>+BA3-BE3</f>
        <v>0</v>
      </c>
      <c r="BJ3" s="350" t="str">
        <f>IF(BE3=0, "N.D.",BA3/BE3-1)</f>
        <v>N.D.</v>
      </c>
      <c r="BL3" s="347" t="s">
        <v>5</v>
      </c>
      <c r="BM3" s="351"/>
      <c r="BN3" s="349" t="str">
        <f>IF(BM$3=0,"N.D.",BM3/BM$3)</f>
        <v>N.D.</v>
      </c>
      <c r="BO3" s="351">
        <f>proyeccion!B3</f>
        <v>0</v>
      </c>
      <c r="BP3" s="349" t="str">
        <f>IF(BO$3=0,"N.D.",BO3/BO$3)</f>
        <v>N.D.</v>
      </c>
      <c r="BQ3" s="351">
        <f>proyeccion!G3</f>
        <v>0</v>
      </c>
      <c r="BR3" s="349" t="str">
        <f>IF(BQ$3=0,"N.D.",BQ3/BQ$3)</f>
        <v>N.D.</v>
      </c>
      <c r="BS3" s="351">
        <f>proyeccion!H3</f>
        <v>0</v>
      </c>
      <c r="BT3" s="349" t="str">
        <f>IF(BS$3=0,"N.D.",BS3/BS$3)</f>
        <v>N.D.</v>
      </c>
      <c r="BU3" s="351">
        <f>proyeccion!E3</f>
        <v>0</v>
      </c>
      <c r="BV3" s="349" t="str">
        <f>IF(BU$3=0,"N.D.",BU3/BU$3)</f>
        <v>N.D.</v>
      </c>
      <c r="BW3" s="351">
        <f>proyeccion!F3</f>
        <v>0</v>
      </c>
      <c r="BX3" s="349" t="str">
        <f>IF(BW$3=0,"N.D.",BW3/BW$3)</f>
        <v>N.D.</v>
      </c>
      <c r="BY3" s="351">
        <f>BM3+BO3+BQ3+BS3+BU3+BW3</f>
        <v>0</v>
      </c>
      <c r="BZ3" s="349" t="str">
        <f>IF(BY$3=0,"N.D.",BY3/BY$3)</f>
        <v>N.D.</v>
      </c>
    </row>
    <row r="4" spans="1:78" x14ac:dyDescent="0.35">
      <c r="B4" s="7" t="s">
        <v>5</v>
      </c>
      <c r="C4" s="8"/>
      <c r="D4" s="310"/>
      <c r="E4" s="42"/>
      <c r="F4" s="8">
        <f>TablasER!E4-TablasER!U4</f>
        <v>0</v>
      </c>
      <c r="G4" s="310">
        <f>IFERROR(F4/TablasER!U4,0)</f>
        <v>0</v>
      </c>
      <c r="H4" s="42"/>
      <c r="I4" s="204">
        <f>TablasER!G4-TablasER!W4</f>
        <v>0</v>
      </c>
      <c r="J4" s="310">
        <f>IFERROR(I4/TablasER!W4,0)</f>
        <v>0</v>
      </c>
      <c r="K4" s="42"/>
      <c r="L4" s="204">
        <f>TablasER!I4-TablasER!Y4</f>
        <v>0</v>
      </c>
      <c r="M4" s="310">
        <f>IFERROR(L4/TablasER!Y4,0)</f>
        <v>0</v>
      </c>
      <c r="N4" s="42"/>
      <c r="O4" s="204">
        <f>TablasER!K4-TablasER!AA4</f>
        <v>0</v>
      </c>
      <c r="P4" s="310">
        <f>IFERROR(O4/TablasER!AA4,0)</f>
        <v>0</v>
      </c>
      <c r="Q4" s="42"/>
      <c r="R4" s="204">
        <f>TablasER!M4-TablasER!AC4</f>
        <v>0</v>
      </c>
      <c r="S4" s="310">
        <f>IFERROR(R4/TablasER!AC4,0)</f>
        <v>0</v>
      </c>
      <c r="T4" s="42"/>
      <c r="U4" s="204">
        <f>TablasER!O4-TablasER!AE4</f>
        <v>0</v>
      </c>
      <c r="V4" s="29">
        <f>IFERROR(U4/TablasER!AE4,0)</f>
        <v>0</v>
      </c>
      <c r="Y4" s="328" t="s">
        <v>5</v>
      </c>
      <c r="AA4" s="241">
        <f>TablasER!AY4</f>
        <v>0</v>
      </c>
      <c r="AB4" s="329" t="str">
        <f>IF($AA$4=0,"N.D.",AA4/$AA$4)</f>
        <v>N.D.</v>
      </c>
      <c r="AD4" s="241">
        <f t="shared" ref="AD4:AD5" si="3">BY3</f>
        <v>0</v>
      </c>
      <c r="AE4" s="329" t="str">
        <f>IF($AD$4=0,"N.D.",AD4/$AD$4)</f>
        <v>N.D.</v>
      </c>
      <c r="AG4" s="241">
        <f>TablasER!BA4</f>
        <v>0</v>
      </c>
      <c r="AH4" s="329" t="str">
        <f>IF($AG$4=0,"N.D.",AG4/$AG$4)</f>
        <v>N.D.</v>
      </c>
      <c r="AJ4" s="241">
        <f>AA4-AD4</f>
        <v>0</v>
      </c>
      <c r="AK4" s="329">
        <f>IFERROR(IF(0&gt;AJ4,(IF(0&gt;AJ4,AJ4/-1,AJ4)/AD4)/-1,(IF(0&gt;AJ4,AJ4/-1,AJ4)/AD4)),0)</f>
        <v>0</v>
      </c>
      <c r="AM4" s="241">
        <f>AA4-AG4</f>
        <v>0</v>
      </c>
      <c r="AN4" s="329">
        <f>IFERROR(IF(0&gt;AM4,(IF(0&gt;AM4,AM4/-1,AM4)/AG4)/-1,(IF(0&gt;AM4,AM4/-1,AM4)/AG4)),0)</f>
        <v>0</v>
      </c>
      <c r="AQ4" s="7" t="s">
        <v>6</v>
      </c>
      <c r="AR4" s="8"/>
      <c r="AS4" s="8">
        <f>(BDER_sig!D5+BDER_sig!D27+BDER_sig!D49+BDER_sig!D71+BDER_sig!D93+BDER_sig!D115)/1000</f>
        <v>0</v>
      </c>
      <c r="AT4" s="8">
        <f>(BDER_sig!D467+BDER_sig!D490+BDER_sig!D557+BDER_sig!D602)/1000</f>
        <v>0</v>
      </c>
      <c r="AU4" s="8">
        <f>(BDER_sig!D513+BDER_sig!D535+BDER_sig!D580+BDER_sig!D625+BDER_sig!D647)/1000</f>
        <v>0</v>
      </c>
      <c r="AV4" s="8">
        <f>(BDER_sig!D291+BDER_sig!D313+BDER_sig!D335+BDER_sig!D357)/1000</f>
        <v>0</v>
      </c>
      <c r="AW4" s="8">
        <f>(BDER_sig!D423+BDER_sig!D445)/1000</f>
        <v>0</v>
      </c>
      <c r="AX4" s="8">
        <f>SUM(AR4:AW4)</f>
        <v>0</v>
      </c>
      <c r="AZ4" s="347" t="s">
        <v>6</v>
      </c>
      <c r="BA4" s="351">
        <f t="shared" si="0"/>
        <v>0</v>
      </c>
      <c r="BB4" s="352" t="str">
        <f t="shared" ref="BB4:BB5" si="4">IF(BA$3=0,"N.D.",BA4/BA$3)</f>
        <v>N.D.</v>
      </c>
      <c r="BC4" s="351">
        <f t="shared" si="1"/>
        <v>0</v>
      </c>
      <c r="BD4" s="352" t="str">
        <f t="shared" ref="BD4:BD5" si="5">IF(BC$3=0,"N.D.",BC4/BC$3)</f>
        <v>N.D.</v>
      </c>
      <c r="BE4" s="351">
        <f t="shared" si="2"/>
        <v>0</v>
      </c>
      <c r="BF4" s="352" t="str">
        <f t="shared" ref="BF4:BF5" si="6">IF(BE$3=0,"N.D.",BE4/BE$3)</f>
        <v>N.D.</v>
      </c>
      <c r="BG4" s="351">
        <f t="shared" ref="BG4:BG5" si="7">+BA4-BC4</f>
        <v>0</v>
      </c>
      <c r="BH4" s="353" t="str">
        <f t="shared" ref="BH4:BH5" si="8">IF(BC4=0,"N.D.",BA4/BC4-1)</f>
        <v>N.D.</v>
      </c>
      <c r="BI4" s="351">
        <f t="shared" ref="BI4:BI5" si="9">+BA4-BE4</f>
        <v>0</v>
      </c>
      <c r="BJ4" s="353" t="str">
        <f t="shared" ref="BJ4:BJ5" si="10">IF(BE4=0, "N.D.",BA4/BE4-1)</f>
        <v>N.D.</v>
      </c>
      <c r="BL4" s="347" t="s">
        <v>6</v>
      </c>
      <c r="BM4" s="351"/>
      <c r="BN4" s="352" t="str">
        <f t="shared" ref="BN4:BN5" si="11">IF(BM$3=0,"N.D.",BM4/BM$3)</f>
        <v>N.D.</v>
      </c>
      <c r="BO4" s="351">
        <f>proyeccion!B4</f>
        <v>0</v>
      </c>
      <c r="BP4" s="352" t="str">
        <f t="shared" ref="BP4:BP5" si="12">IF(BO$3=0,"N.D.",BO4/BO$3)</f>
        <v>N.D.</v>
      </c>
      <c r="BQ4" s="351">
        <f>proyeccion!G4</f>
        <v>0</v>
      </c>
      <c r="BR4" s="352" t="str">
        <f t="shared" ref="BR4:BR5" si="13">IF(BQ$3=0,"N.D.",BQ4/BQ$3)</f>
        <v>N.D.</v>
      </c>
      <c r="BS4" s="351">
        <f>proyeccion!H4</f>
        <v>0</v>
      </c>
      <c r="BT4" s="352" t="str">
        <f t="shared" ref="BT4:BT5" si="14">IF(BS$3=0,"N.D.",BS4/BS$3)</f>
        <v>N.D.</v>
      </c>
      <c r="BU4" s="351">
        <f>proyeccion!E4</f>
        <v>0</v>
      </c>
      <c r="BV4" s="352" t="str">
        <f t="shared" ref="BV4:BV5" si="15">IF(BU$3=0,"N.D.",BU4/BU$3)</f>
        <v>N.D.</v>
      </c>
      <c r="BW4" s="351">
        <f>proyeccion!F4</f>
        <v>0</v>
      </c>
      <c r="BX4" s="352" t="str">
        <f t="shared" ref="BX4:BX5" si="16">IF(BW$3=0,"N.D.",BW4/BW$3)</f>
        <v>N.D.</v>
      </c>
      <c r="BY4" s="351">
        <f t="shared" ref="BY4:BY5" si="17">BM4+BO4+BQ4+BS4+BU4+BW4</f>
        <v>0</v>
      </c>
      <c r="BZ4" s="352" t="str">
        <f t="shared" ref="BZ4:BZ5" si="18">IF(BY$3=0,"N.D.",BY4/BY$3)</f>
        <v>N.D.</v>
      </c>
    </row>
    <row r="5" spans="1:78" x14ac:dyDescent="0.35">
      <c r="B5" s="7" t="s">
        <v>6</v>
      </c>
      <c r="C5" s="11"/>
      <c r="D5" s="44"/>
      <c r="E5" s="42"/>
      <c r="F5" s="11">
        <f>TablasER!E5-TablasER!U5</f>
        <v>0</v>
      </c>
      <c r="G5" s="44">
        <f>IFERROR(F5/TablasER!U5,0)</f>
        <v>0</v>
      </c>
      <c r="H5" s="42"/>
      <c r="I5" s="206">
        <f>TablasER!G5-TablasER!W5</f>
        <v>0</v>
      </c>
      <c r="J5" s="44">
        <f>IFERROR(I5/TablasER!W5,0)</f>
        <v>0</v>
      </c>
      <c r="K5" s="42"/>
      <c r="L5" s="206">
        <f>TablasER!I5-TablasER!Y5</f>
        <v>0</v>
      </c>
      <c r="M5" s="44">
        <f>IFERROR(L5/TablasER!Y5,0)</f>
        <v>0</v>
      </c>
      <c r="N5" s="42"/>
      <c r="O5" s="206">
        <f>TablasER!K5-TablasER!AA5</f>
        <v>0</v>
      </c>
      <c r="P5" s="44">
        <f>IFERROR(O5/TablasER!AA5,0)</f>
        <v>0</v>
      </c>
      <c r="Q5" s="42"/>
      <c r="R5" s="206">
        <f>TablasER!M5-TablasER!AC5</f>
        <v>0</v>
      </c>
      <c r="S5" s="44">
        <f>IFERROR(R5/TablasER!AC5,0)</f>
        <v>0</v>
      </c>
      <c r="T5" s="42"/>
      <c r="U5" s="206">
        <f>TablasER!O5-TablasER!AE5</f>
        <v>0</v>
      </c>
      <c r="V5" s="42">
        <f>IFERROR(U5/TablasER!AE5,0)</f>
        <v>0</v>
      </c>
      <c r="Y5" s="328" t="s">
        <v>6</v>
      </c>
      <c r="AA5" s="242">
        <f>TablasER!AY5</f>
        <v>0</v>
      </c>
      <c r="AB5" s="330" t="str">
        <f>IF($AA$4=0,"N.D.",AA5/$AA$4)</f>
        <v>N.D.</v>
      </c>
      <c r="AD5" s="242">
        <f t="shared" si="3"/>
        <v>0</v>
      </c>
      <c r="AE5" s="330" t="str">
        <f t="shared" ref="AE5:AE6" si="19">IF($AD$4=0,"N.D.",AD5/$AD$4)</f>
        <v>N.D.</v>
      </c>
      <c r="AG5" s="242">
        <f>TablasER!BA5</f>
        <v>0</v>
      </c>
      <c r="AH5" s="330" t="str">
        <f t="shared" ref="AH5:AH6" si="20">IF($AG$4=0,"N.D.",AG5/$AG$4)</f>
        <v>N.D.</v>
      </c>
      <c r="AJ5" s="242">
        <f>AA5-AD5</f>
        <v>0</v>
      </c>
      <c r="AK5" s="330">
        <f>IFERROR(IF(0&gt;AJ5,(IF(0&gt;AJ5,AJ5/-1,AJ5)/AD5)/-1,(IF(0&gt;AJ5,AJ5/-1,AJ5)/AD5)),0)</f>
        <v>0</v>
      </c>
      <c r="AM5" s="242">
        <f>AA5-AG5</f>
        <v>0</v>
      </c>
      <c r="AN5" s="330">
        <f>IFERROR(IF(0&gt;AM5,(IF(0&gt;AM5,AM5/-1,AM5)/AG5)/-1,(IF(0&gt;AM5,AM5/-1,AM5)/AG5)),0)</f>
        <v>0</v>
      </c>
      <c r="AQ5" s="4" t="s">
        <v>7</v>
      </c>
      <c r="AR5" s="14"/>
      <c r="AS5" s="14">
        <f>(BDER_sig!D6+BDER_sig!D28+BDER_sig!D50+BDER_sig!D72+BDER_sig!D94+BDER_sig!D116)/1000</f>
        <v>0</v>
      </c>
      <c r="AT5" s="8">
        <f>(BDER_sig!D469+BDER_sig!D492+BDER_sig!D559+BDER_sig!D604)/1000</f>
        <v>0</v>
      </c>
      <c r="AU5" s="14">
        <f>(BDER_sig!D514+BDER_sig!D536+BDER_sig!D581+BDER_sig!D626+BDER_sig!D648)/1000</f>
        <v>0</v>
      </c>
      <c r="AV5" s="14">
        <f>(BDER_sig!D292+BDER_sig!D314+BDER_sig!D336+BDER_sig!D358)/1000</f>
        <v>0</v>
      </c>
      <c r="AW5" s="14">
        <f>(BDER_sig!D424+BDER_sig!D446)/1000</f>
        <v>0</v>
      </c>
      <c r="AX5" s="14">
        <f>SUM(AR5:AW5)</f>
        <v>0</v>
      </c>
      <c r="AZ5" s="344" t="s">
        <v>7</v>
      </c>
      <c r="BA5" s="354">
        <f t="shared" si="0"/>
        <v>0</v>
      </c>
      <c r="BB5" s="355" t="str">
        <f t="shared" si="4"/>
        <v>N.D.</v>
      </c>
      <c r="BC5" s="354">
        <f t="shared" si="1"/>
        <v>0</v>
      </c>
      <c r="BD5" s="355" t="str">
        <f t="shared" si="5"/>
        <v>N.D.</v>
      </c>
      <c r="BE5" s="354">
        <f t="shared" si="2"/>
        <v>0</v>
      </c>
      <c r="BF5" s="355" t="str">
        <f t="shared" si="6"/>
        <v>N.D.</v>
      </c>
      <c r="BG5" s="354">
        <f t="shared" si="7"/>
        <v>0</v>
      </c>
      <c r="BH5" s="356" t="str">
        <f t="shared" si="8"/>
        <v>N.D.</v>
      </c>
      <c r="BI5" s="354">
        <f t="shared" si="9"/>
        <v>0</v>
      </c>
      <c r="BJ5" s="356" t="str">
        <f t="shared" si="10"/>
        <v>N.D.</v>
      </c>
      <c r="BL5" s="344" t="s">
        <v>7</v>
      </c>
      <c r="BM5" s="354"/>
      <c r="BN5" s="355" t="str">
        <f t="shared" si="11"/>
        <v>N.D.</v>
      </c>
      <c r="BO5" s="354">
        <f>BO3-BO4</f>
        <v>0</v>
      </c>
      <c r="BP5" s="355" t="str">
        <f t="shared" si="12"/>
        <v>N.D.</v>
      </c>
      <c r="BQ5" s="354">
        <f>BQ3-BQ4</f>
        <v>0</v>
      </c>
      <c r="BR5" s="355" t="str">
        <f t="shared" si="13"/>
        <v>N.D.</v>
      </c>
      <c r="BS5" s="354">
        <f>BS3-BS4</f>
        <v>0</v>
      </c>
      <c r="BT5" s="355" t="str">
        <f t="shared" si="14"/>
        <v>N.D.</v>
      </c>
      <c r="BU5" s="354">
        <f>BU3-BU4</f>
        <v>0</v>
      </c>
      <c r="BV5" s="355" t="str">
        <f t="shared" si="15"/>
        <v>N.D.</v>
      </c>
      <c r="BW5" s="354">
        <f>BW3-BW4</f>
        <v>0</v>
      </c>
      <c r="BX5" s="355" t="str">
        <f t="shared" si="16"/>
        <v>N.D.</v>
      </c>
      <c r="BY5" s="354">
        <f t="shared" si="17"/>
        <v>0</v>
      </c>
      <c r="BZ5" s="355" t="str">
        <f t="shared" si="18"/>
        <v>N.D.</v>
      </c>
    </row>
    <row r="6" spans="1:78" x14ac:dyDescent="0.35">
      <c r="B6" s="4" t="s">
        <v>7</v>
      </c>
      <c r="C6" s="14"/>
      <c r="D6" s="311"/>
      <c r="E6" s="316"/>
      <c r="F6" s="14">
        <f>TablasER!E6-TablasER!U6</f>
        <v>0</v>
      </c>
      <c r="G6" s="311">
        <f>IFERROR(F6/TablasER!U6,0)</f>
        <v>0</v>
      </c>
      <c r="H6" s="316"/>
      <c r="I6" s="214">
        <f>TablasER!G6-TablasER!W6</f>
        <v>0</v>
      </c>
      <c r="J6" s="311">
        <f>IFERROR(I6/TablasER!W6,0)</f>
        <v>0</v>
      </c>
      <c r="K6" s="316"/>
      <c r="L6" s="214">
        <f>TablasER!I6-TablasER!Y6</f>
        <v>0</v>
      </c>
      <c r="M6" s="311">
        <f>IFERROR(L6/TablasER!Y6,0)</f>
        <v>0</v>
      </c>
      <c r="N6" s="316"/>
      <c r="O6" s="214">
        <f>TablasER!K6-TablasER!AA6</f>
        <v>0</v>
      </c>
      <c r="P6" s="311">
        <f>IFERROR(O6/TablasER!AA6,0)</f>
        <v>0</v>
      </c>
      <c r="Q6" s="316"/>
      <c r="R6" s="214">
        <f>TablasER!M6-TablasER!AC6</f>
        <v>0</v>
      </c>
      <c r="S6" s="311">
        <f>IFERROR(R6/TablasER!AC6,0)</f>
        <v>0</v>
      </c>
      <c r="T6" s="316"/>
      <c r="U6" s="214">
        <f>TablasER!O6-TablasER!AE6</f>
        <v>0</v>
      </c>
      <c r="V6" s="43">
        <f>IFERROR(U6/TablasER!AE6,0)</f>
        <v>0</v>
      </c>
      <c r="Y6" s="331" t="s">
        <v>7</v>
      </c>
      <c r="AA6" s="239">
        <f>AA4-AA5</f>
        <v>0</v>
      </c>
      <c r="AB6" s="332" t="str">
        <f>IF($AA$4=0,"N.D.",AA6/$AA$4)</f>
        <v>N.D.</v>
      </c>
      <c r="AD6" s="239">
        <f>AD4-AD5</f>
        <v>0</v>
      </c>
      <c r="AE6" s="332" t="str">
        <f t="shared" si="19"/>
        <v>N.D.</v>
      </c>
      <c r="AG6" s="239">
        <f>TablasER!BA6</f>
        <v>0</v>
      </c>
      <c r="AH6" s="332" t="str">
        <f t="shared" si="20"/>
        <v>N.D.</v>
      </c>
      <c r="AJ6" s="239">
        <f>AA6-AD6</f>
        <v>0</v>
      </c>
      <c r="AK6" s="332">
        <f>IFERROR(IF(0&gt;AJ6,(IF(0&gt;AJ6,AJ6/-1,AJ6)/AD6)/-1,(IF(0&gt;AJ6,AJ6/-1,AJ6)/AD6)),0)</f>
        <v>0</v>
      </c>
      <c r="AM6" s="239">
        <f>AA6-AG6</f>
        <v>0</v>
      </c>
      <c r="AN6" s="332">
        <f>IFERROR(IF(0&gt;AM6,(IF(0&gt;AM6,AM6/-1,AM6)/AG6)/-1,(IF(0&gt;AM6,AM6/-1,AM6)/AG6)),0)</f>
        <v>0</v>
      </c>
      <c r="AQ6" s="1"/>
      <c r="AS6" s="307"/>
      <c r="AT6" s="307"/>
      <c r="AU6" s="307"/>
      <c r="AV6" s="307"/>
      <c r="AW6" s="307"/>
      <c r="AX6" s="30"/>
      <c r="AZ6" s="341"/>
      <c r="BA6" s="357"/>
      <c r="BB6" s="358"/>
      <c r="BC6" s="357"/>
      <c r="BD6" s="358"/>
      <c r="BE6" s="357"/>
      <c r="BF6" s="358"/>
      <c r="BG6" s="357"/>
      <c r="BH6" s="359"/>
      <c r="BI6" s="357"/>
      <c r="BJ6" s="359"/>
      <c r="BL6" s="347"/>
      <c r="BM6" s="357"/>
      <c r="BN6" s="358"/>
      <c r="BO6" s="357"/>
      <c r="BP6" s="358"/>
      <c r="BQ6" s="357"/>
      <c r="BR6" s="358"/>
      <c r="BS6" s="357"/>
      <c r="BT6" s="358"/>
      <c r="BU6" s="357"/>
      <c r="BV6" s="358"/>
      <c r="BW6" s="357"/>
      <c r="BX6" s="358"/>
      <c r="BY6" s="357"/>
      <c r="BZ6" s="358"/>
    </row>
    <row r="7" spans="1:78" s="307" customFormat="1" x14ac:dyDescent="0.35">
      <c r="B7" s="1"/>
      <c r="C7" s="30"/>
      <c r="D7" s="44"/>
      <c r="E7" s="44"/>
      <c r="F7" s="30"/>
      <c r="G7" s="44"/>
      <c r="H7" s="44"/>
      <c r="I7" s="30"/>
      <c r="J7" s="44"/>
      <c r="K7" s="44"/>
      <c r="L7" s="30"/>
      <c r="M7" s="44"/>
      <c r="N7" s="44"/>
      <c r="O7" s="30"/>
      <c r="P7" s="44"/>
      <c r="Q7" s="44"/>
      <c r="R7" s="30"/>
      <c r="S7" s="44"/>
      <c r="T7" s="44"/>
      <c r="U7" s="30"/>
      <c r="V7" s="44"/>
      <c r="Y7" s="333"/>
      <c r="Z7"/>
      <c r="AA7" s="334"/>
      <c r="AB7" s="335"/>
      <c r="AC7"/>
      <c r="AD7" s="334"/>
      <c r="AE7" s="335"/>
      <c r="AF7"/>
      <c r="AG7" s="334"/>
      <c r="AH7" s="335"/>
      <c r="AI7"/>
      <c r="AJ7" s="334"/>
      <c r="AK7" s="335"/>
      <c r="AL7"/>
      <c r="AM7" s="334"/>
      <c r="AN7" s="335"/>
      <c r="AQ7" s="7" t="s">
        <v>8</v>
      </c>
      <c r="AR7" s="203"/>
      <c r="AS7" s="203">
        <f>(BDER_sig!D7+BDER_sig!D29+BDER_sig!D51+BDER_sig!D73+BDER_sig!D95+BDER_sig!D117)/1000</f>
        <v>0</v>
      </c>
      <c r="AT7" s="8">
        <f>(BDER_sig!D470+BDER_sig!D493+BDER_sig!D560+BDER_sig!D605)/1000</f>
        <v>0</v>
      </c>
      <c r="AU7" s="203">
        <f>(BDER_sig!D515+BDER_sig!D537+BDER_sig!D582+BDER_sig!D627+BDER_sig!D649)/1000</f>
        <v>0</v>
      </c>
      <c r="AV7" s="203">
        <f>(BDER_sig!D293+BDER_sig!D315+BDER_sig!D337+BDER_sig!D359)/1000</f>
        <v>0</v>
      </c>
      <c r="AW7" s="203">
        <f>(BDER_sig!D425+BDER_sig!D447)/1000</f>
        <v>0</v>
      </c>
      <c r="AX7" s="8">
        <f>SUM(AR7:AW7)</f>
        <v>0</v>
      </c>
      <c r="AZ7" s="347" t="s">
        <v>8</v>
      </c>
      <c r="BA7" s="348">
        <f t="shared" si="0"/>
        <v>0</v>
      </c>
      <c r="BB7" s="349" t="str">
        <f t="shared" ref="BB7:BB11" si="21">IF(BA$3=0,"N.D.",BA7/BA$3)</f>
        <v>N.D.</v>
      </c>
      <c r="BC7" s="348">
        <f t="shared" si="1"/>
        <v>0</v>
      </c>
      <c r="BD7" s="349" t="str">
        <f t="shared" ref="BD7:BD11" si="22">IF(BC$3=0,"N.D.",BC7/BC$3)</f>
        <v>N.D.</v>
      </c>
      <c r="BE7" s="348">
        <f t="shared" si="2"/>
        <v>0</v>
      </c>
      <c r="BF7" s="349" t="str">
        <f t="shared" ref="BF7:BF11" si="23">IF(BE$3=0,"N.D.",BE7/BE$3)</f>
        <v>N.D.</v>
      </c>
      <c r="BG7" s="348">
        <f t="shared" ref="BG7:BG11" si="24">+BA7-BC7</f>
        <v>0</v>
      </c>
      <c r="BH7" s="350" t="str">
        <f t="shared" ref="BH7:BH11" si="25">IF(BC7=0,"N.D.",BA7/BC7-1)</f>
        <v>N.D.</v>
      </c>
      <c r="BI7" s="348">
        <f t="shared" ref="BI7:BI11" si="26">+BA7-BE7</f>
        <v>0</v>
      </c>
      <c r="BJ7" s="350" t="str">
        <f t="shared" ref="BJ7:BJ11" si="27">IF(BE7=0, "N.D.",BA7/BE7-1)</f>
        <v>N.D.</v>
      </c>
      <c r="BL7" s="347" t="s">
        <v>8</v>
      </c>
      <c r="BM7" s="348"/>
      <c r="BN7" s="349" t="str">
        <f>IF(BM$3=0,"N.D.",BM7/BM$3)</f>
        <v>N.D.</v>
      </c>
      <c r="BO7" s="348">
        <f>proyeccion!B5</f>
        <v>0</v>
      </c>
      <c r="BP7" s="349" t="str">
        <f t="shared" ref="BP7:BP11" si="28">IF(BO$3=0,"N.D.",BO7/BO$3)</f>
        <v>N.D.</v>
      </c>
      <c r="BQ7" s="348">
        <f>proyeccion!G5</f>
        <v>0</v>
      </c>
      <c r="BR7" s="349" t="str">
        <f t="shared" ref="BR7:BR11" si="29">IF(BQ$3=0,"N.D.",BQ7/BQ$3)</f>
        <v>N.D.</v>
      </c>
      <c r="BS7" s="348">
        <f>proyeccion!H5</f>
        <v>0</v>
      </c>
      <c r="BT7" s="349" t="str">
        <f t="shared" ref="BT7:BT11" si="30">IF(BS$3=0,"N.D.",BS7/BS$3)</f>
        <v>N.D.</v>
      </c>
      <c r="BU7" s="348">
        <f>proyeccion!E5</f>
        <v>0</v>
      </c>
      <c r="BV7" s="349" t="str">
        <f t="shared" ref="BV7:BV11" si="31">IF(BU$3=0,"N.D.",BU7/BU$3)</f>
        <v>N.D.</v>
      </c>
      <c r="BW7" s="348">
        <f>proyeccion!F5</f>
        <v>0</v>
      </c>
      <c r="BX7" s="349" t="str">
        <f t="shared" ref="BX7:BX11" si="32">IF(BW$3=0,"N.D.",BW7/BW$3)</f>
        <v>N.D.</v>
      </c>
      <c r="BY7" s="348">
        <f>BM7+BO7+BQ7+BS7+BU7+BW7</f>
        <v>0</v>
      </c>
      <c r="BZ7" s="349" t="str">
        <f t="shared" ref="BZ7:BZ11" si="33">IF(BY$3=0,"N.D.",BY7/BY$3)</f>
        <v>N.D.</v>
      </c>
    </row>
    <row r="8" spans="1:78" x14ac:dyDescent="0.35">
      <c r="B8" s="7" t="s">
        <v>8</v>
      </c>
      <c r="C8" s="8"/>
      <c r="D8" s="310"/>
      <c r="E8" s="42"/>
      <c r="F8" s="8">
        <f>TablasER!E8-TablasER!U8</f>
        <v>0</v>
      </c>
      <c r="G8" s="310">
        <f>IFERROR(F8/TablasER!U8,0)</f>
        <v>0</v>
      </c>
      <c r="H8" s="42"/>
      <c r="I8" s="204">
        <f>TablasER!G8-TablasER!W8</f>
        <v>0</v>
      </c>
      <c r="J8" s="310">
        <f>IFERROR(I8/TablasER!W8,0)</f>
        <v>0</v>
      </c>
      <c r="K8" s="42"/>
      <c r="L8" s="204">
        <f>TablasER!I8-TablasER!Y8</f>
        <v>0</v>
      </c>
      <c r="M8" s="310">
        <f>IFERROR(L8/TablasER!Y8,0)</f>
        <v>0</v>
      </c>
      <c r="N8" s="42"/>
      <c r="O8" s="204">
        <f>TablasER!K8-TablasER!AA8</f>
        <v>0</v>
      </c>
      <c r="P8" s="310">
        <f>IFERROR(O8/TablasER!AA8,0)</f>
        <v>0</v>
      </c>
      <c r="Q8" s="42"/>
      <c r="R8" s="204">
        <f>TablasER!M8-TablasER!AC8</f>
        <v>0</v>
      </c>
      <c r="S8" s="310">
        <f>IFERROR(R8/TablasER!AC8,0)</f>
        <v>0</v>
      </c>
      <c r="T8" s="42"/>
      <c r="U8" s="204">
        <f>TablasER!O8-TablasER!AE8</f>
        <v>0</v>
      </c>
      <c r="V8" s="29">
        <f>IFERROR(U8/TablasER!AE8,0)</f>
        <v>0</v>
      </c>
      <c r="Y8" s="328" t="s">
        <v>8</v>
      </c>
      <c r="AA8" s="241">
        <f>TablasER!AY8</f>
        <v>0</v>
      </c>
      <c r="AB8" s="329" t="str">
        <f t="shared" ref="AB8:AB12" si="34">IF($AA$4=0,"N.D.",AA8/$AA$4)</f>
        <v>N.D.</v>
      </c>
      <c r="AD8" s="241">
        <f t="shared" ref="AD8:AD10" si="35">BY7</f>
        <v>0</v>
      </c>
      <c r="AE8" s="329" t="str">
        <f t="shared" ref="AE8:AE12" si="36">IF($AD$4=0,"N.D.",AD8/$AD$4)</f>
        <v>N.D.</v>
      </c>
      <c r="AG8" s="241">
        <f>TablasER!BA8</f>
        <v>0</v>
      </c>
      <c r="AH8" s="329" t="str">
        <f t="shared" ref="AH8:AH12" si="37">IF($AG$4=0,"N.D.",AG8/$AG$4)</f>
        <v>N.D.</v>
      </c>
      <c r="AJ8" s="241">
        <f t="shared" ref="AJ8:AJ10" si="38">AA8-AD8</f>
        <v>0</v>
      </c>
      <c r="AK8" s="329">
        <f>IFERROR(IF(0&gt;AJ8,(IF(0&gt;AJ8,AJ8/-1,AJ8)/AD8)/-1,(IF(0&gt;AJ8,AJ8/-1,AJ8)/AD8)),0)</f>
        <v>0</v>
      </c>
      <c r="AM8" s="241">
        <f t="shared" ref="AM8:AM10" si="39">AA8-AG8</f>
        <v>0</v>
      </c>
      <c r="AN8" s="329">
        <f>IFERROR(IF(0&gt;AM8,(IF(0&gt;AM8,AM8/-1,AM8)/AG8)/-1,(IF(0&gt;AM8,AM8/-1,AM8)/AG8)),0)</f>
        <v>0</v>
      </c>
      <c r="AQ8" s="7" t="s">
        <v>9</v>
      </c>
      <c r="AR8" s="8"/>
      <c r="AS8" s="203">
        <f>(BDER_sig!D8+BDER_sig!D30+BDER_sig!D52+BDER_sig!D74+BDER_sig!D96+BDER_sig!D118)/1000</f>
        <v>0</v>
      </c>
      <c r="AT8" s="8">
        <f>(BDER_sig!D471+BDER_sig!D494+BDER_sig!D561+BDER_sig!D606)/1000</f>
        <v>0</v>
      </c>
      <c r="AU8" s="203">
        <f>(BDER_sig!D516+BDER_sig!D538+BDER_sig!D583+BDER_sig!D628+BDER_sig!D650)/1000</f>
        <v>0</v>
      </c>
      <c r="AV8" s="203">
        <f>(BDER_sig!D294+BDER_sig!D316+BDER_sig!D338+BDER_sig!D360)/1000</f>
        <v>0</v>
      </c>
      <c r="AW8" s="203">
        <f>(BDER_sig!D426+BDER_sig!D448)/1000</f>
        <v>0</v>
      </c>
      <c r="AX8" s="11">
        <f t="shared" ref="AX8:AX11" si="40">SUM(AR8:AW8)</f>
        <v>0</v>
      </c>
      <c r="AZ8" s="347" t="s">
        <v>9</v>
      </c>
      <c r="BA8" s="351">
        <f t="shared" si="0"/>
        <v>0</v>
      </c>
      <c r="BB8" s="352" t="str">
        <f t="shared" si="21"/>
        <v>N.D.</v>
      </c>
      <c r="BC8" s="351">
        <f t="shared" si="1"/>
        <v>0</v>
      </c>
      <c r="BD8" s="352" t="str">
        <f t="shared" si="22"/>
        <v>N.D.</v>
      </c>
      <c r="BE8" s="351">
        <f t="shared" si="2"/>
        <v>0</v>
      </c>
      <c r="BF8" s="352" t="str">
        <f t="shared" si="23"/>
        <v>N.D.</v>
      </c>
      <c r="BG8" s="351">
        <f t="shared" si="24"/>
        <v>0</v>
      </c>
      <c r="BH8" s="353" t="str">
        <f t="shared" si="25"/>
        <v>N.D.</v>
      </c>
      <c r="BI8" s="351">
        <f t="shared" si="26"/>
        <v>0</v>
      </c>
      <c r="BJ8" s="353" t="str">
        <f t="shared" si="27"/>
        <v>N.D.</v>
      </c>
      <c r="BL8" s="347" t="s">
        <v>9</v>
      </c>
      <c r="BM8" s="351"/>
      <c r="BN8" s="352" t="str">
        <f>IF(BM$3=0,"N.D.",BM8/BM$3)</f>
        <v>N.D.</v>
      </c>
      <c r="BO8" s="351">
        <f>proyeccion!B6</f>
        <v>0</v>
      </c>
      <c r="BP8" s="352" t="str">
        <f t="shared" si="28"/>
        <v>N.D.</v>
      </c>
      <c r="BQ8" s="351">
        <f>proyeccion!G6</f>
        <v>0</v>
      </c>
      <c r="BR8" s="352" t="str">
        <f t="shared" si="29"/>
        <v>N.D.</v>
      </c>
      <c r="BS8" s="351">
        <f>proyeccion!H6</f>
        <v>0</v>
      </c>
      <c r="BT8" s="352" t="str">
        <f t="shared" si="30"/>
        <v>N.D.</v>
      </c>
      <c r="BU8" s="351">
        <f>proyeccion!E6</f>
        <v>0</v>
      </c>
      <c r="BV8" s="352" t="str">
        <f t="shared" si="31"/>
        <v>N.D.</v>
      </c>
      <c r="BW8" s="351">
        <f>proyeccion!F6</f>
        <v>0</v>
      </c>
      <c r="BX8" s="352" t="str">
        <f t="shared" si="32"/>
        <v>N.D.</v>
      </c>
      <c r="BY8" s="351">
        <f>BM8+BO8+BQ8+BS8+BU8+BW8</f>
        <v>0</v>
      </c>
      <c r="BZ8" s="352" t="str">
        <f t="shared" si="33"/>
        <v>N.D.</v>
      </c>
    </row>
    <row r="9" spans="1:78" x14ac:dyDescent="0.35">
      <c r="B9" s="7" t="s">
        <v>9</v>
      </c>
      <c r="C9" s="11"/>
      <c r="D9" s="44"/>
      <c r="E9" s="42"/>
      <c r="F9" s="11">
        <f>TablasER!E9-TablasER!U9</f>
        <v>0</v>
      </c>
      <c r="G9" s="44">
        <f>IFERROR(F9/TablasER!U9,0)</f>
        <v>0</v>
      </c>
      <c r="H9" s="42"/>
      <c r="I9" s="206">
        <f>TablasER!G9-TablasER!W9</f>
        <v>0</v>
      </c>
      <c r="J9" s="44">
        <f>IFERROR(I9/TablasER!W9,0)</f>
        <v>0</v>
      </c>
      <c r="K9" s="42"/>
      <c r="L9" s="206">
        <f>TablasER!I9-TablasER!Y9</f>
        <v>0</v>
      </c>
      <c r="M9" s="44">
        <f>IFERROR(L9/TablasER!Y9,0)</f>
        <v>0</v>
      </c>
      <c r="N9" s="42"/>
      <c r="O9" s="206">
        <f>TablasER!K9-TablasER!AA9</f>
        <v>0</v>
      </c>
      <c r="P9" s="44">
        <f>IFERROR(O9/TablasER!AA9,0)</f>
        <v>0</v>
      </c>
      <c r="Q9" s="42"/>
      <c r="R9" s="206">
        <f>TablasER!M9-TablasER!AC9</f>
        <v>0</v>
      </c>
      <c r="S9" s="44">
        <f>IFERROR(R9/TablasER!AC9,0)</f>
        <v>0</v>
      </c>
      <c r="T9" s="42"/>
      <c r="U9" s="206">
        <f>TablasER!O9-TablasER!AE9</f>
        <v>0</v>
      </c>
      <c r="V9" s="42">
        <f>IFERROR(U9/TablasER!AE9,0)</f>
        <v>0</v>
      </c>
      <c r="Y9" s="328" t="s">
        <v>9</v>
      </c>
      <c r="AA9" s="242">
        <f>TablasER!AY9</f>
        <v>0</v>
      </c>
      <c r="AB9" s="330" t="str">
        <f t="shared" si="34"/>
        <v>N.D.</v>
      </c>
      <c r="AD9" s="242">
        <f t="shared" si="35"/>
        <v>0</v>
      </c>
      <c r="AE9" s="330" t="str">
        <f t="shared" si="36"/>
        <v>N.D.</v>
      </c>
      <c r="AG9" s="242">
        <f>TablasER!BA9</f>
        <v>0</v>
      </c>
      <c r="AH9" s="330" t="str">
        <f t="shared" si="37"/>
        <v>N.D.</v>
      </c>
      <c r="AJ9" s="242">
        <f t="shared" si="38"/>
        <v>0</v>
      </c>
      <c r="AK9" s="330">
        <f>IFERROR(IF(0&gt;AJ9,(IF(0&gt;AJ9,AJ9/-1,AJ9)/AD9)/-1,(IF(0&gt;AJ9,AJ9/-1,AJ9)/AD9)),0)</f>
        <v>0</v>
      </c>
      <c r="AM9" s="242">
        <f t="shared" si="39"/>
        <v>0</v>
      </c>
      <c r="AN9" s="330">
        <f>IFERROR(IF(0&gt;AM9,(IF(0&gt;AM9,AM9/-1,AM9)/AG9)/-1,(IF(0&gt;AM9,AM9/-1,AM9)/AG9)),0)</f>
        <v>0</v>
      </c>
      <c r="AQ9" s="7" t="s">
        <v>10</v>
      </c>
      <c r="AR9" s="8"/>
      <c r="AS9" s="203">
        <f>(BDER_sig!D9+BDER_sig!D31+BDER_sig!D53+BDER_sig!D75+BDER_sig!D97+BDER_sig!D119)/1000</f>
        <v>0</v>
      </c>
      <c r="AT9" s="8">
        <f>(BDER_sig!D472+BDER_sig!D495+BDER_sig!D562+BDER_sig!D607)/1000</f>
        <v>0</v>
      </c>
      <c r="AU9" s="203">
        <f>(BDER_sig!D517+BDER_sig!D539+BDER_sig!D584+BDER_sig!D629+BDER_sig!D651)/1000</f>
        <v>0</v>
      </c>
      <c r="AV9" s="203">
        <f>(BDER_sig!D295+BDER_sig!D317+BDER_sig!D339+BDER_sig!D361)/1000</f>
        <v>0</v>
      </c>
      <c r="AW9" s="203">
        <f>(BDER_sig!D427+BDER_sig!D449)/1000</f>
        <v>0</v>
      </c>
      <c r="AX9" s="11">
        <f t="shared" si="40"/>
        <v>0</v>
      </c>
      <c r="AZ9" s="347" t="s">
        <v>10</v>
      </c>
      <c r="BA9" s="351">
        <f t="shared" si="0"/>
        <v>0</v>
      </c>
      <c r="BB9" s="352" t="str">
        <f t="shared" si="21"/>
        <v>N.D.</v>
      </c>
      <c r="BC9" s="351">
        <f t="shared" si="1"/>
        <v>0</v>
      </c>
      <c r="BD9" s="352" t="str">
        <f t="shared" si="22"/>
        <v>N.D.</v>
      </c>
      <c r="BE9" s="351">
        <f t="shared" si="2"/>
        <v>0</v>
      </c>
      <c r="BF9" s="352" t="str">
        <f t="shared" si="23"/>
        <v>N.D.</v>
      </c>
      <c r="BG9" s="351">
        <f t="shared" si="24"/>
        <v>0</v>
      </c>
      <c r="BH9" s="353" t="str">
        <f t="shared" si="25"/>
        <v>N.D.</v>
      </c>
      <c r="BI9" s="351">
        <f t="shared" si="26"/>
        <v>0</v>
      </c>
      <c r="BJ9" s="353" t="str">
        <f t="shared" si="27"/>
        <v>N.D.</v>
      </c>
      <c r="BL9" s="347" t="s">
        <v>10</v>
      </c>
      <c r="BM9" s="351"/>
      <c r="BN9" s="352" t="str">
        <f>IF(BM$3=0,"N.D.",BM9/BM$3)</f>
        <v>N.D.</v>
      </c>
      <c r="BO9" s="351">
        <f>proyeccion!B7</f>
        <v>0</v>
      </c>
      <c r="BP9" s="352" t="str">
        <f t="shared" si="28"/>
        <v>N.D.</v>
      </c>
      <c r="BQ9" s="351">
        <f>proyeccion!G7</f>
        <v>0</v>
      </c>
      <c r="BR9" s="352" t="str">
        <f t="shared" si="29"/>
        <v>N.D.</v>
      </c>
      <c r="BS9" s="351">
        <f>proyeccion!H7</f>
        <v>0</v>
      </c>
      <c r="BT9" s="352" t="str">
        <f t="shared" si="30"/>
        <v>N.D.</v>
      </c>
      <c r="BU9" s="351">
        <f>proyeccion!E7</f>
        <v>0</v>
      </c>
      <c r="BV9" s="352" t="str">
        <f t="shared" si="31"/>
        <v>N.D.</v>
      </c>
      <c r="BW9" s="351">
        <f>proyeccion!F7</f>
        <v>0</v>
      </c>
      <c r="BX9" s="352" t="str">
        <f t="shared" si="32"/>
        <v>N.D.</v>
      </c>
      <c r="BY9" s="351">
        <f>BM9+BO9+BQ9+BS9+BU9+BW9</f>
        <v>0</v>
      </c>
      <c r="BZ9" s="352" t="str">
        <f t="shared" si="33"/>
        <v>N.D.</v>
      </c>
    </row>
    <row r="10" spans="1:78" x14ac:dyDescent="0.35">
      <c r="B10" s="7" t="s">
        <v>10</v>
      </c>
      <c r="C10" s="34"/>
      <c r="D10" s="44"/>
      <c r="E10" s="42"/>
      <c r="F10" s="34">
        <f>TablasER!E10-TablasER!U10</f>
        <v>0</v>
      </c>
      <c r="G10" s="44">
        <f>IFERROR(F10/TablasER!U10,0)</f>
        <v>0</v>
      </c>
      <c r="H10" s="42"/>
      <c r="I10" s="207">
        <f>TablasER!G10-TablasER!W10</f>
        <v>0</v>
      </c>
      <c r="J10" s="44">
        <f>IFERROR(I10/TablasER!W10,0)</f>
        <v>0</v>
      </c>
      <c r="K10" s="42"/>
      <c r="L10" s="207">
        <f>TablasER!I10-TablasER!Y10</f>
        <v>0</v>
      </c>
      <c r="M10" s="44">
        <f>IFERROR(L10/TablasER!Y10,0)</f>
        <v>0</v>
      </c>
      <c r="N10" s="42"/>
      <c r="O10" s="207">
        <f>TablasER!K10-TablasER!AA10</f>
        <v>0</v>
      </c>
      <c r="P10" s="44">
        <f>IFERROR(O10/TablasER!AA10,0)</f>
        <v>0</v>
      </c>
      <c r="Q10" s="42"/>
      <c r="R10" s="207">
        <f>TablasER!M10-TablasER!AC10</f>
        <v>0</v>
      </c>
      <c r="S10" s="44">
        <f>IFERROR(R10/TablasER!AC10,0)</f>
        <v>0</v>
      </c>
      <c r="T10" s="42"/>
      <c r="U10" s="207">
        <f>TablasER!O10-TablasER!AE10</f>
        <v>0</v>
      </c>
      <c r="V10" s="42">
        <f>IFERROR(U10/TablasER!AE10,0)</f>
        <v>0</v>
      </c>
      <c r="Y10" s="328" t="s">
        <v>10</v>
      </c>
      <c r="AA10" s="242">
        <f>TablasER!AY10</f>
        <v>0</v>
      </c>
      <c r="AB10" s="330" t="str">
        <f t="shared" si="34"/>
        <v>N.D.</v>
      </c>
      <c r="AD10" s="242">
        <f t="shared" si="35"/>
        <v>0</v>
      </c>
      <c r="AE10" s="330" t="str">
        <f t="shared" si="36"/>
        <v>N.D.</v>
      </c>
      <c r="AG10" s="242">
        <f>TablasER!BA10</f>
        <v>0</v>
      </c>
      <c r="AH10" s="330" t="str">
        <f t="shared" si="37"/>
        <v>N.D.</v>
      </c>
      <c r="AJ10" s="242">
        <f t="shared" si="38"/>
        <v>0</v>
      </c>
      <c r="AK10" s="330">
        <f>IFERROR(IF(0&gt;AJ10,(IF(0&gt;AJ10,AJ10/-1,AJ10)/AD10)/-1,(IF(0&gt;AJ10,AJ10/-1,AJ10)/AD10)),0)</f>
        <v>0</v>
      </c>
      <c r="AM10" s="242">
        <f t="shared" si="39"/>
        <v>0</v>
      </c>
      <c r="AN10" s="330">
        <f>IFERROR(IF(0&gt;AM10,(IF(0&gt;AM10,AM10/-1,AM10)/AG10)/-1,(IF(0&gt;AM10,AM10/-1,AM10)/AG10)),0)</f>
        <v>0</v>
      </c>
      <c r="AQ10" s="4" t="s">
        <v>11</v>
      </c>
      <c r="AR10" s="14"/>
      <c r="AS10" s="203">
        <f>(BDER_sig!D10+BDER_sig!D32+BDER_sig!D54+BDER_sig!D76+BDER_sig!D98+BDER_sig!D120)/1000</f>
        <v>0</v>
      </c>
      <c r="AT10" s="8">
        <f>(BDER_sig!D473+BDER_sig!D496+BDER_sig!D563+BDER_sig!D608)/1000</f>
        <v>0</v>
      </c>
      <c r="AU10" s="203">
        <f>(BDER_sig!D518+BDER_sig!D540+BDER_sig!D585+BDER_sig!D630+BDER_sig!D652)/1000</f>
        <v>0</v>
      </c>
      <c r="AV10" s="203">
        <f>(BDER_sig!D296+BDER_sig!D318+BDER_sig!D340+BDER_sig!D362)/1000</f>
        <v>0</v>
      </c>
      <c r="AW10" s="203">
        <f>(BDER_sig!D428+BDER_sig!D450)/1000</f>
        <v>0</v>
      </c>
      <c r="AX10" s="14">
        <f t="shared" si="40"/>
        <v>0</v>
      </c>
      <c r="AZ10" s="344" t="s">
        <v>11</v>
      </c>
      <c r="BA10" s="354">
        <f t="shared" si="0"/>
        <v>0</v>
      </c>
      <c r="BB10" s="355" t="str">
        <f t="shared" si="21"/>
        <v>N.D.</v>
      </c>
      <c r="BC10" s="354">
        <f t="shared" si="1"/>
        <v>0</v>
      </c>
      <c r="BD10" s="355" t="str">
        <f t="shared" si="22"/>
        <v>N.D.</v>
      </c>
      <c r="BE10" s="354">
        <f t="shared" si="2"/>
        <v>0</v>
      </c>
      <c r="BF10" s="355" t="str">
        <f t="shared" si="23"/>
        <v>N.D.</v>
      </c>
      <c r="BG10" s="354">
        <f t="shared" si="24"/>
        <v>0</v>
      </c>
      <c r="BH10" s="356" t="str">
        <f t="shared" si="25"/>
        <v>N.D.</v>
      </c>
      <c r="BI10" s="354">
        <f t="shared" si="26"/>
        <v>0</v>
      </c>
      <c r="BJ10" s="356" t="str">
        <f t="shared" si="27"/>
        <v>N.D.</v>
      </c>
      <c r="BL10" s="344" t="s">
        <v>11</v>
      </c>
      <c r="BM10" s="354"/>
      <c r="BN10" s="355" t="str">
        <f>IF(BM$3=0,"N.D.",BM10/BM$3)</f>
        <v>N.D.</v>
      </c>
      <c r="BO10" s="354">
        <f>BO7+BO8+BO9</f>
        <v>0</v>
      </c>
      <c r="BP10" s="355" t="str">
        <f t="shared" si="28"/>
        <v>N.D.</v>
      </c>
      <c r="BQ10" s="354">
        <f>BQ7+BQ8+BQ9</f>
        <v>0</v>
      </c>
      <c r="BR10" s="355" t="str">
        <f t="shared" si="29"/>
        <v>N.D.</v>
      </c>
      <c r="BS10" s="354">
        <f>BS7+BS8+BS9</f>
        <v>0</v>
      </c>
      <c r="BT10" s="355" t="str">
        <f t="shared" si="30"/>
        <v>N.D.</v>
      </c>
      <c r="BU10" s="354">
        <f>BU7+BU8+BU9</f>
        <v>0</v>
      </c>
      <c r="BV10" s="355" t="str">
        <f t="shared" si="31"/>
        <v>N.D.</v>
      </c>
      <c r="BW10" s="354">
        <f>BW7+BW8+BW9</f>
        <v>0</v>
      </c>
      <c r="BX10" s="355" t="str">
        <f t="shared" si="32"/>
        <v>N.D.</v>
      </c>
      <c r="BY10" s="354">
        <f>BM10+BO10+BQ10+BS10+BU10+BW10</f>
        <v>0</v>
      </c>
      <c r="BZ10" s="355" t="str">
        <f t="shared" si="33"/>
        <v>N.D.</v>
      </c>
    </row>
    <row r="11" spans="1:78" x14ac:dyDescent="0.35">
      <c r="B11" s="4" t="s">
        <v>11</v>
      </c>
      <c r="C11" s="14"/>
      <c r="D11" s="312"/>
      <c r="E11" s="316"/>
      <c r="F11" s="14">
        <f>TablasER!E11-TablasER!U11</f>
        <v>0</v>
      </c>
      <c r="G11" s="312">
        <f>IFERROR(F11/TablasER!U11,0)</f>
        <v>0</v>
      </c>
      <c r="H11" s="316"/>
      <c r="I11" s="214">
        <f>TablasER!G11-TablasER!W11</f>
        <v>0</v>
      </c>
      <c r="J11" s="312">
        <f>IFERROR(I11/TablasER!W11,0)</f>
        <v>0</v>
      </c>
      <c r="K11" s="316"/>
      <c r="L11" s="214">
        <f>TablasER!I11-TablasER!Y11</f>
        <v>0</v>
      </c>
      <c r="M11" s="312">
        <f>IFERROR(L11/TablasER!Y11,0)</f>
        <v>0</v>
      </c>
      <c r="N11" s="316"/>
      <c r="O11" s="214">
        <f>TablasER!K11-TablasER!AA11</f>
        <v>0</v>
      </c>
      <c r="P11" s="312">
        <f>IFERROR(O11/TablasER!AA11,0)</f>
        <v>0</v>
      </c>
      <c r="Q11" s="316"/>
      <c r="R11" s="214">
        <f>TablasER!M11-TablasER!AC11</f>
        <v>0</v>
      </c>
      <c r="S11" s="312">
        <f>IFERROR(R11/TablasER!AC11,0)</f>
        <v>0</v>
      </c>
      <c r="T11" s="316"/>
      <c r="U11" s="214">
        <f>TablasER!O11-TablasER!AE11</f>
        <v>0</v>
      </c>
      <c r="V11" s="306">
        <f>IFERROR(U11/TablasER!AE11,0)</f>
        <v>0</v>
      </c>
      <c r="Y11" s="331" t="s">
        <v>11</v>
      </c>
      <c r="AA11" s="239">
        <f>AA8+AA9+AA10</f>
        <v>0</v>
      </c>
      <c r="AB11" s="332" t="str">
        <f t="shared" si="34"/>
        <v>N.D.</v>
      </c>
      <c r="AD11" s="239">
        <f>AD8+AD9+AD10</f>
        <v>0</v>
      </c>
      <c r="AE11" s="332" t="str">
        <f t="shared" si="36"/>
        <v>N.D.</v>
      </c>
      <c r="AG11" s="239">
        <f>TablasER!BA11</f>
        <v>0</v>
      </c>
      <c r="AH11" s="332" t="str">
        <f t="shared" si="37"/>
        <v>N.D.</v>
      </c>
      <c r="AJ11" s="239">
        <f t="shared" ref="AJ11:AJ12" si="41">AA11-AD11</f>
        <v>0</v>
      </c>
      <c r="AK11" s="332">
        <f>IFERROR(IF(0&gt;AJ11,(IF(0&gt;AJ11,AJ11/-1,AJ11)/AD11)/-1,(IF(0&gt;AJ11,AJ11/-1,AJ11)/AD11)),0)</f>
        <v>0</v>
      </c>
      <c r="AM11" s="239">
        <f t="shared" ref="AM11:AM12" si="42">AA11-AG11</f>
        <v>0</v>
      </c>
      <c r="AN11" s="332">
        <f>IFERROR(IF(0&gt;AM11,(IF(0&gt;AM11,AM11/-1,AM11)/AG11)/-1,(IF(0&gt;AM11,AM11/-1,AM11)/AG11)),0)</f>
        <v>0</v>
      </c>
      <c r="AQ11" s="4" t="s">
        <v>12</v>
      </c>
      <c r="AR11" s="20"/>
      <c r="AS11" s="203">
        <f>(BDER_sig!D11+BDER_sig!D33+BDER_sig!D55+BDER_sig!D77+BDER_sig!D99+BDER_sig!D121)/1000</f>
        <v>0</v>
      </c>
      <c r="AT11" s="8">
        <f>(BDER_sig!D474+BDER_sig!D497+BDER_sig!D564+BDER_sig!D609)/1000</f>
        <v>0</v>
      </c>
      <c r="AU11" s="203">
        <f>(BDER_sig!D519+BDER_sig!D541+BDER_sig!D586+BDER_sig!D631+BDER_sig!D653)/1000</f>
        <v>0</v>
      </c>
      <c r="AV11" s="203">
        <f>(BDER_sig!D297+BDER_sig!D319+BDER_sig!D341+BDER_sig!D363)/1000</f>
        <v>0</v>
      </c>
      <c r="AW11" s="203">
        <f>(BDER_sig!D429+BDER_sig!D451)/1000</f>
        <v>0</v>
      </c>
      <c r="AX11" s="20">
        <f t="shared" si="40"/>
        <v>0</v>
      </c>
      <c r="AZ11" s="344" t="s">
        <v>12</v>
      </c>
      <c r="BA11" s="360">
        <f t="shared" si="0"/>
        <v>0</v>
      </c>
      <c r="BB11" s="355" t="str">
        <f t="shared" si="21"/>
        <v>N.D.</v>
      </c>
      <c r="BC11" s="360">
        <f t="shared" si="1"/>
        <v>0</v>
      </c>
      <c r="BD11" s="355" t="str">
        <f t="shared" si="22"/>
        <v>N.D.</v>
      </c>
      <c r="BE11" s="360">
        <f t="shared" si="2"/>
        <v>0</v>
      </c>
      <c r="BF11" s="355" t="str">
        <f t="shared" si="23"/>
        <v>N.D.</v>
      </c>
      <c r="BG11" s="354">
        <f t="shared" si="24"/>
        <v>0</v>
      </c>
      <c r="BH11" s="356" t="str">
        <f t="shared" si="25"/>
        <v>N.D.</v>
      </c>
      <c r="BI11" s="354">
        <f t="shared" si="26"/>
        <v>0</v>
      </c>
      <c r="BJ11" s="356" t="str">
        <f t="shared" si="27"/>
        <v>N.D.</v>
      </c>
      <c r="BL11" s="344" t="s">
        <v>12</v>
      </c>
      <c r="BM11" s="354"/>
      <c r="BN11" s="355" t="str">
        <f>IF(BM$3=0,"N.D.",BM11/BM$3)</f>
        <v>N.D.</v>
      </c>
      <c r="BO11" s="354">
        <f>BO5-BO10</f>
        <v>0</v>
      </c>
      <c r="BP11" s="355" t="str">
        <f t="shared" si="28"/>
        <v>N.D.</v>
      </c>
      <c r="BQ11" s="354">
        <f>BQ5-BQ10</f>
        <v>0</v>
      </c>
      <c r="BR11" s="355" t="str">
        <f t="shared" si="29"/>
        <v>N.D.</v>
      </c>
      <c r="BS11" s="354">
        <f>BS5-BS10</f>
        <v>0</v>
      </c>
      <c r="BT11" s="355" t="str">
        <f t="shared" si="30"/>
        <v>N.D.</v>
      </c>
      <c r="BU11" s="354">
        <f>BU5-BU10</f>
        <v>0</v>
      </c>
      <c r="BV11" s="355" t="str">
        <f t="shared" si="31"/>
        <v>N.D.</v>
      </c>
      <c r="BW11" s="354">
        <f>BW5-BW10</f>
        <v>0</v>
      </c>
      <c r="BX11" s="355" t="str">
        <f t="shared" si="32"/>
        <v>N.D.</v>
      </c>
      <c r="BY11" s="354">
        <f>BM11+BO11+BQ11+BS11+BU11+BW11</f>
        <v>0</v>
      </c>
      <c r="BZ11" s="355" t="str">
        <f t="shared" si="33"/>
        <v>N.D.</v>
      </c>
    </row>
    <row r="12" spans="1:78" x14ac:dyDescent="0.35">
      <c r="B12" s="4" t="s">
        <v>12</v>
      </c>
      <c r="C12" s="14"/>
      <c r="D12" s="311"/>
      <c r="E12" s="316"/>
      <c r="F12" s="14">
        <f>TablasER!E16-TablasER!U12</f>
        <v>0</v>
      </c>
      <c r="G12" s="311">
        <f>IFERROR(F12/TablasER!U12,0)</f>
        <v>0</v>
      </c>
      <c r="H12" s="316"/>
      <c r="I12" s="214">
        <f>TablasER!G16-TablasER!W12</f>
        <v>0</v>
      </c>
      <c r="J12" s="311">
        <f>IFERROR(I12/TablasER!W12,0)</f>
        <v>0</v>
      </c>
      <c r="K12" s="316"/>
      <c r="L12" s="214">
        <f>TablasER!I16-TablasER!Y12</f>
        <v>0</v>
      </c>
      <c r="M12" s="311">
        <f>IFERROR(L12/TablasER!Y12,0)</f>
        <v>0</v>
      </c>
      <c r="N12" s="316"/>
      <c r="O12" s="214">
        <f>TablasER!K16-TablasER!AA12</f>
        <v>0</v>
      </c>
      <c r="P12" s="311">
        <f>IFERROR(O12/TablasER!AA12,0)</f>
        <v>0</v>
      </c>
      <c r="Q12" s="316"/>
      <c r="R12" s="214">
        <f>TablasER!M16-TablasER!AC12</f>
        <v>0</v>
      </c>
      <c r="S12" s="311">
        <f>IFERROR(R12/TablasER!AC12,0)</f>
        <v>0</v>
      </c>
      <c r="T12" s="316"/>
      <c r="U12" s="214">
        <f>TablasER!O16-TablasER!AE12</f>
        <v>0</v>
      </c>
      <c r="V12" s="43">
        <f>IFERROR(U12/TablasER!AE12,0)</f>
        <v>0</v>
      </c>
      <c r="Y12" s="331" t="s">
        <v>12</v>
      </c>
      <c r="AA12" s="247">
        <f>AA6-AA11</f>
        <v>0</v>
      </c>
      <c r="AB12" s="336" t="str">
        <f t="shared" si="34"/>
        <v>N.D.</v>
      </c>
      <c r="AD12" s="247">
        <f>AD6-AD11</f>
        <v>0</v>
      </c>
      <c r="AE12" s="336" t="str">
        <f t="shared" si="36"/>
        <v>N.D.</v>
      </c>
      <c r="AG12" s="247">
        <f>TablasER!BA12</f>
        <v>0</v>
      </c>
      <c r="AH12" s="336" t="str">
        <f t="shared" si="37"/>
        <v>N.D.</v>
      </c>
      <c r="AJ12" s="239">
        <f t="shared" si="41"/>
        <v>0</v>
      </c>
      <c r="AK12" s="336">
        <f>IFERROR(IF(0&gt;AJ12,(IF(0&gt;AJ12,AJ12/-1,AJ12)/AD12)/-1,(IF(0&gt;AJ12,AJ12/-1,AJ12)/AD12)),0)</f>
        <v>0</v>
      </c>
      <c r="AM12" s="239">
        <f t="shared" si="42"/>
        <v>0</v>
      </c>
      <c r="AN12" s="336">
        <f>IFERROR(IF(0&gt;AM12,(IF(0&gt;AM12,AM12/-1,AM12)/AG12)/-1,(IF(0&gt;AM12,AM12/-1,AM12)/AG12)),0)</f>
        <v>0</v>
      </c>
      <c r="AQ12" s="1"/>
      <c r="AS12" s="307"/>
      <c r="AT12" s="307"/>
      <c r="AU12" s="307"/>
      <c r="AV12" s="307"/>
      <c r="AW12" s="307"/>
      <c r="AX12" s="30"/>
      <c r="AZ12" s="341"/>
      <c r="BA12" s="357"/>
      <c r="BB12" s="358"/>
      <c r="BC12" s="357"/>
      <c r="BD12" s="358"/>
      <c r="BE12" s="357"/>
      <c r="BF12" s="358"/>
      <c r="BG12" s="357"/>
      <c r="BH12" s="359"/>
      <c r="BI12" s="357"/>
      <c r="BJ12" s="359"/>
      <c r="BL12" s="347"/>
      <c r="BM12" s="357"/>
      <c r="BN12" s="358"/>
      <c r="BO12" s="357"/>
      <c r="BP12" s="358"/>
      <c r="BQ12" s="357"/>
      <c r="BR12" s="358"/>
      <c r="BS12" s="357"/>
      <c r="BT12" s="358"/>
      <c r="BU12" s="357"/>
      <c r="BV12" s="358"/>
      <c r="BW12" s="357"/>
      <c r="BX12" s="358"/>
      <c r="BY12" s="357"/>
      <c r="BZ12" s="358"/>
    </row>
    <row r="13" spans="1:78" s="307" customFormat="1" x14ac:dyDescent="0.35">
      <c r="B13" s="1"/>
      <c r="C13" s="30"/>
      <c r="D13" s="44"/>
      <c r="E13" s="44"/>
      <c r="F13" s="30"/>
      <c r="G13" s="44"/>
      <c r="H13" s="44"/>
      <c r="I13" s="30"/>
      <c r="J13" s="44"/>
      <c r="K13" s="44"/>
      <c r="L13" s="30"/>
      <c r="M13" s="44"/>
      <c r="N13" s="44"/>
      <c r="O13" s="30"/>
      <c r="P13" s="44"/>
      <c r="Q13" s="44"/>
      <c r="R13" s="30"/>
      <c r="S13" s="44"/>
      <c r="T13" s="44"/>
      <c r="U13" s="30"/>
      <c r="V13" s="44"/>
      <c r="Y13" s="331"/>
      <c r="Z13"/>
      <c r="AA13" s="243"/>
      <c r="AB13" s="337"/>
      <c r="AC13"/>
      <c r="AD13" s="243"/>
      <c r="AE13" s="337"/>
      <c r="AF13"/>
      <c r="AG13" s="243"/>
      <c r="AH13" s="337"/>
      <c r="AI13"/>
      <c r="AJ13" s="243"/>
      <c r="AK13" s="337"/>
      <c r="AL13"/>
      <c r="AM13" s="243"/>
      <c r="AN13" s="337"/>
      <c r="AQ13" s="7" t="s">
        <v>13</v>
      </c>
      <c r="AR13" s="34"/>
      <c r="AS13" s="203">
        <f>(BDER_sig!D12+BDER_sig!D34+BDER_sig!D56+BDER_sig!D78+BDER_sig!D100+BDER_sig!D122)/1000</f>
        <v>0</v>
      </c>
      <c r="AT13" s="8">
        <f>(BDER_sig!D475+BDER_sig!D498+BDER_sig!D565+BDER_sig!D610)/1000</f>
        <v>0</v>
      </c>
      <c r="AU13" s="203">
        <f>(BDER_sig!D520+BDER_sig!D542+BDER_sig!D587+BDER_sig!D632+BDER_sig!D654)/1000</f>
        <v>0</v>
      </c>
      <c r="AV13" s="203">
        <f>(BDER_sig!D298+BDER_sig!D320+BDER_sig!D342+BDER_sig!D364)/1000</f>
        <v>0</v>
      </c>
      <c r="AW13" s="203">
        <f>(BDER_sig!D430+BDER_sig!D452)/1000</f>
        <v>0</v>
      </c>
      <c r="AX13" s="8">
        <f>SUM(AR13:AW13)</f>
        <v>0</v>
      </c>
      <c r="AZ13" s="347" t="s">
        <v>13</v>
      </c>
      <c r="BA13" s="348">
        <f t="shared" si="0"/>
        <v>0</v>
      </c>
      <c r="BB13" s="349" t="str">
        <f t="shared" ref="BB13:BB19" si="43">IF(BA$3=0,"N.D.",BA13/BA$3)</f>
        <v>N.D.</v>
      </c>
      <c r="BC13" s="348">
        <f t="shared" si="1"/>
        <v>0</v>
      </c>
      <c r="BD13" s="349" t="str">
        <f t="shared" ref="BD13:BD19" si="44">IF(BC$3=0,"N.D.",BC13/BC$3)</f>
        <v>N.D.</v>
      </c>
      <c r="BE13" s="348">
        <f t="shared" si="2"/>
        <v>0</v>
      </c>
      <c r="BF13" s="349" t="str">
        <f t="shared" ref="BF13:BF19" si="45">IF(BE$3=0,"N.D.",BE13/BE$3)</f>
        <v>N.D.</v>
      </c>
      <c r="BG13" s="348">
        <f t="shared" ref="BG13:BG19" si="46">+BA13-BC13</f>
        <v>0</v>
      </c>
      <c r="BH13" s="350" t="str">
        <f t="shared" ref="BH13:BH19" si="47">IF(BC13=0,"N.D.",BA13/BC13-1)</f>
        <v>N.D.</v>
      </c>
      <c r="BI13" s="348">
        <f t="shared" ref="BI13:BI19" si="48">+BA13-BE13</f>
        <v>0</v>
      </c>
      <c r="BJ13" s="350" t="str">
        <f t="shared" ref="BJ13:BJ19" si="49">IF(BE13=0, "N.D.",BA13/BE13-1)</f>
        <v>N.D.</v>
      </c>
      <c r="BL13" s="347" t="s">
        <v>13</v>
      </c>
      <c r="BM13" s="348"/>
      <c r="BN13" s="349" t="str">
        <f>IF(BM$3=0,"N.D.",BM13/BM$3)</f>
        <v>N.D.</v>
      </c>
      <c r="BO13" s="348">
        <f>proyeccion!B8</f>
        <v>0</v>
      </c>
      <c r="BP13" s="349" t="str">
        <f t="shared" ref="BP13:BP19" si="50">IF(BO$3=0,"N.D.",BO13/BO$3)</f>
        <v>N.D.</v>
      </c>
      <c r="BQ13" s="348">
        <f>proyeccion!G8</f>
        <v>0</v>
      </c>
      <c r="BR13" s="349" t="str">
        <f t="shared" ref="BR13:BR19" si="51">IF(BQ$3=0,"N.D.",BQ13/BQ$3)</f>
        <v>N.D.</v>
      </c>
      <c r="BS13" s="348">
        <f>proyeccion!H8</f>
        <v>0</v>
      </c>
      <c r="BT13" s="349" t="str">
        <f t="shared" ref="BT13:BT19" si="52">IF(BS$3=0,"N.D.",BS13/BS$3)</f>
        <v>N.D.</v>
      </c>
      <c r="BU13" s="348">
        <f>proyeccion!E8</f>
        <v>0</v>
      </c>
      <c r="BV13" s="349" t="str">
        <f t="shared" ref="BV13:BV19" si="53">IF(BU$3=0,"N.D.",BU13/BU$3)</f>
        <v>N.D.</v>
      </c>
      <c r="BW13" s="348">
        <f>proyeccion!F8</f>
        <v>0</v>
      </c>
      <c r="BX13" s="349" t="str">
        <f t="shared" ref="BX13:BX19" si="54">IF(BW$3=0,"N.D.",BW13/BW$3)</f>
        <v>N.D.</v>
      </c>
      <c r="BY13" s="348">
        <f>BM13+BO13+BQ13+BS13+BU13+BW13</f>
        <v>0</v>
      </c>
      <c r="BZ13" s="349" t="str">
        <f t="shared" ref="BZ13:BZ19" si="55">IF(BY$3=0,"N.D.",BY13/BY$3)</f>
        <v>N.D.</v>
      </c>
    </row>
    <row r="14" spans="1:78" x14ac:dyDescent="0.35">
      <c r="B14" s="7" t="s">
        <v>13</v>
      </c>
      <c r="C14" s="8"/>
      <c r="D14" s="313"/>
      <c r="E14" s="302"/>
      <c r="F14" s="8">
        <f>TablasER!E18-TablasER!U14</f>
        <v>0</v>
      </c>
      <c r="G14" s="313">
        <f>IFERROR(F14/TablasER!U14,0)</f>
        <v>0</v>
      </c>
      <c r="H14" s="302"/>
      <c r="I14" s="204">
        <f>TablasER!G18-TablasER!W14</f>
        <v>0</v>
      </c>
      <c r="J14" s="313">
        <f>IFERROR(I14/TablasER!W14,0)</f>
        <v>0</v>
      </c>
      <c r="K14" s="302"/>
      <c r="L14" s="204">
        <f>TablasER!I18-TablasER!Y14</f>
        <v>0</v>
      </c>
      <c r="M14" s="313">
        <f>IFERROR(L14/TablasER!Y14,0)</f>
        <v>0</v>
      </c>
      <c r="N14" s="302"/>
      <c r="O14" s="204">
        <f>TablasER!K18-TablasER!AA14</f>
        <v>0</v>
      </c>
      <c r="P14" s="313">
        <f>IFERROR(O14/TablasER!AA14,0)</f>
        <v>0</v>
      </c>
      <c r="Q14" s="302"/>
      <c r="R14" s="204">
        <f>TablasER!M18-TablasER!AC14</f>
        <v>0</v>
      </c>
      <c r="S14" s="313">
        <f>IFERROR(R14/TablasER!AC14,0)</f>
        <v>0</v>
      </c>
      <c r="T14" s="302"/>
      <c r="U14" s="204">
        <f>TablasER!O18-TablasER!AE14</f>
        <v>0</v>
      </c>
      <c r="V14" s="137">
        <f>IFERROR(U14/TablasER!AE14,0)</f>
        <v>0</v>
      </c>
      <c r="Y14" s="328" t="s">
        <v>13</v>
      </c>
      <c r="AA14" s="241">
        <f>TablasER!AY14</f>
        <v>0</v>
      </c>
      <c r="AB14" s="329" t="str">
        <f t="shared" ref="AB14:AB20" si="56">IF($AA$4=0,"N.D.",AA14/$AA$4)</f>
        <v>N.D.</v>
      </c>
      <c r="AD14" s="241">
        <f t="shared" ref="AD14:AD18" si="57">BY13</f>
        <v>0</v>
      </c>
      <c r="AE14" s="329" t="str">
        <f>IF($AD$4=0,"N.D.",AD14/$AD$4)</f>
        <v>N.D.</v>
      </c>
      <c r="AG14" s="241">
        <f>TablasER!BA14</f>
        <v>0</v>
      </c>
      <c r="AH14" s="329" t="str">
        <f>IF($AG$4=0,"N.D.",AG14/$AG$4)</f>
        <v>N.D.</v>
      </c>
      <c r="AJ14" s="241">
        <f t="shared" ref="AJ14:AJ18" si="58">AA14-AD14</f>
        <v>0</v>
      </c>
      <c r="AK14" s="329">
        <f t="shared" ref="AK14:AK20" si="59">IFERROR(IF(0&gt;AJ14,(IF(0&gt;AJ14,AJ14/-1,AJ14)/AD14)/-1,(IF(0&gt;AJ14,AJ14/-1,AJ14)/AD14)),0)</f>
        <v>0</v>
      </c>
      <c r="AM14" s="241">
        <f t="shared" ref="AM14:AM18" si="60">AA14-AG14</f>
        <v>0</v>
      </c>
      <c r="AN14" s="329">
        <f t="shared" ref="AN14:AN20" si="61">IFERROR(IF(0&gt;AM14,(IF(0&gt;AM14,AM14/-1,AM14)/AG14)/-1,(IF(0&gt;AM14,AM14/-1,AM14)/AG14)),0)</f>
        <v>0</v>
      </c>
      <c r="AQ14" s="7" t="s">
        <v>14</v>
      </c>
      <c r="AR14" s="8"/>
      <c r="AS14" s="203">
        <f>(BDER_sig!D13+BDER_sig!D35+BDER_sig!D57+BDER_sig!D79+BDER_sig!D101+BDER_sig!D123)/1000</f>
        <v>0</v>
      </c>
      <c r="AT14" s="8">
        <f>(BDER_sig!D476+BDER_sig!D499+BDER_sig!D566+BDER_sig!D611)/1000</f>
        <v>0</v>
      </c>
      <c r="AU14" s="203">
        <f>(BDER_sig!D521+BDER_sig!D543+BDER_sig!D588+BDER_sig!D633+BDER_sig!D655)/1000</f>
        <v>0</v>
      </c>
      <c r="AV14" s="203">
        <f>(BDER_sig!D299+BDER_sig!D321+BDER_sig!D343+BDER_sig!D365)/1000</f>
        <v>0</v>
      </c>
      <c r="AW14" s="203">
        <f>(BDER_sig!D431+BDER_sig!D453)/1000</f>
        <v>0</v>
      </c>
      <c r="AX14" s="11">
        <f t="shared" ref="AX14:AX19" si="62">SUM(AR14:AW14)</f>
        <v>0</v>
      </c>
      <c r="AZ14" s="347" t="s">
        <v>14</v>
      </c>
      <c r="BA14" s="351">
        <f t="shared" si="0"/>
        <v>0</v>
      </c>
      <c r="BB14" s="352" t="str">
        <f t="shared" si="43"/>
        <v>N.D.</v>
      </c>
      <c r="BC14" s="351">
        <f t="shared" si="1"/>
        <v>0</v>
      </c>
      <c r="BD14" s="352" t="str">
        <f t="shared" si="44"/>
        <v>N.D.</v>
      </c>
      <c r="BE14" s="351">
        <f t="shared" si="2"/>
        <v>0</v>
      </c>
      <c r="BF14" s="352" t="str">
        <f t="shared" si="45"/>
        <v>N.D.</v>
      </c>
      <c r="BG14" s="351">
        <f t="shared" si="46"/>
        <v>0</v>
      </c>
      <c r="BH14" s="353" t="str">
        <f t="shared" si="47"/>
        <v>N.D.</v>
      </c>
      <c r="BI14" s="351">
        <f t="shared" si="48"/>
        <v>0</v>
      </c>
      <c r="BJ14" s="353" t="str">
        <f t="shared" si="49"/>
        <v>N.D.</v>
      </c>
      <c r="BL14" s="347" t="s">
        <v>14</v>
      </c>
      <c r="BM14" s="351"/>
      <c r="BN14" s="352" t="str">
        <f>IF(BM$3=0,"N.D.",BM14/BM$3)</f>
        <v>N.D.</v>
      </c>
      <c r="BO14" s="351">
        <f>proyeccion!B9</f>
        <v>0</v>
      </c>
      <c r="BP14" s="352" t="str">
        <f t="shared" si="50"/>
        <v>N.D.</v>
      </c>
      <c r="BQ14" s="351">
        <f>proyeccion!G9</f>
        <v>0</v>
      </c>
      <c r="BR14" s="352" t="str">
        <f t="shared" si="51"/>
        <v>N.D.</v>
      </c>
      <c r="BS14" s="351">
        <f>proyeccion!H9</f>
        <v>0</v>
      </c>
      <c r="BT14" s="352" t="str">
        <f t="shared" si="52"/>
        <v>N.D.</v>
      </c>
      <c r="BU14" s="351">
        <f>proyeccion!E9</f>
        <v>0</v>
      </c>
      <c r="BV14" s="352" t="str">
        <f t="shared" si="53"/>
        <v>N.D.</v>
      </c>
      <c r="BW14" s="351">
        <f>proyeccion!F9</f>
        <v>0</v>
      </c>
      <c r="BX14" s="352" t="str">
        <f t="shared" si="54"/>
        <v>N.D.</v>
      </c>
      <c r="BY14" s="351">
        <f>BM14+BO14+BQ14+BS14+BU14+BW14</f>
        <v>0</v>
      </c>
      <c r="BZ14" s="352" t="str">
        <f t="shared" si="55"/>
        <v>N.D.</v>
      </c>
    </row>
    <row r="15" spans="1:78" x14ac:dyDescent="0.35">
      <c r="B15" s="7" t="s">
        <v>14</v>
      </c>
      <c r="C15" s="11"/>
      <c r="D15" s="304"/>
      <c r="E15" s="302"/>
      <c r="F15" s="11">
        <f>TablasER!E19-TablasER!U15</f>
        <v>0</v>
      </c>
      <c r="G15" s="304">
        <f>IFERROR(F15/TablasER!U15,0)</f>
        <v>0</v>
      </c>
      <c r="H15" s="302"/>
      <c r="I15" s="206">
        <f>TablasER!G19-TablasER!W15</f>
        <v>0</v>
      </c>
      <c r="J15" s="304">
        <f>IFERROR(I15/TablasER!W15,0)</f>
        <v>0</v>
      </c>
      <c r="K15" s="302"/>
      <c r="L15" s="206">
        <f>TablasER!I19-TablasER!Y15</f>
        <v>0</v>
      </c>
      <c r="M15" s="304">
        <f>IFERROR(L15/TablasER!Y15,0)</f>
        <v>0</v>
      </c>
      <c r="N15" s="302"/>
      <c r="O15" s="206">
        <f>TablasER!K19-TablasER!AA15</f>
        <v>0</v>
      </c>
      <c r="P15" s="304">
        <f>IFERROR(O15/TablasER!AA15,0)</f>
        <v>0</v>
      </c>
      <c r="Q15" s="302"/>
      <c r="R15" s="206">
        <f>TablasER!M19-TablasER!AC15</f>
        <v>0</v>
      </c>
      <c r="S15" s="304">
        <f>IFERROR(R15/TablasER!AC15,0)</f>
        <v>0</v>
      </c>
      <c r="T15" s="302"/>
      <c r="U15" s="206">
        <f>TablasER!O19-TablasER!AE15</f>
        <v>0</v>
      </c>
      <c r="V15" s="302">
        <f>IFERROR(U15/TablasER!AE15,0)</f>
        <v>0</v>
      </c>
      <c r="Y15" s="328" t="s">
        <v>14</v>
      </c>
      <c r="AA15" s="242">
        <f>TablasER!AY15</f>
        <v>0</v>
      </c>
      <c r="AB15" s="330" t="str">
        <f t="shared" si="56"/>
        <v>N.D.</v>
      </c>
      <c r="AD15" s="242">
        <f t="shared" si="57"/>
        <v>0</v>
      </c>
      <c r="AE15" s="330" t="str">
        <f>IF($AD$4=0,"N.D.",AD15/$AD$4)</f>
        <v>N.D.</v>
      </c>
      <c r="AG15" s="242">
        <f>TablasER!BA15</f>
        <v>0</v>
      </c>
      <c r="AH15" s="330" t="str">
        <f>IF($AG$4=0,"N.D.",AG15/$AG$4)</f>
        <v>N.D.</v>
      </c>
      <c r="AJ15" s="242">
        <f t="shared" si="58"/>
        <v>0</v>
      </c>
      <c r="AK15" s="330">
        <f t="shared" si="59"/>
        <v>0</v>
      </c>
      <c r="AM15" s="242">
        <f t="shared" si="60"/>
        <v>0</v>
      </c>
      <c r="AN15" s="330">
        <f t="shared" si="61"/>
        <v>0</v>
      </c>
      <c r="AQ15" s="7" t="s">
        <v>15</v>
      </c>
      <c r="AR15" s="8"/>
      <c r="AS15" s="203">
        <f>(BDER_sig!D14+BDER_sig!D36+BDER_sig!D58+BDER_sig!D80+BDER_sig!D102+BDER_sig!D124)/1000</f>
        <v>0</v>
      </c>
      <c r="AT15" s="8">
        <f>(BDER_sig!D477+BDER_sig!D500+BDER_sig!D567+BDER_sig!D612)/1000</f>
        <v>0</v>
      </c>
      <c r="AU15" s="203">
        <f>(BDER_sig!D522+BDER_sig!D544+BDER_sig!D589+BDER_sig!D634+BDER_sig!D656)/1000</f>
        <v>0</v>
      </c>
      <c r="AV15" s="203">
        <f>(BDER_sig!D300+BDER_sig!D322+BDER_sig!D344+BDER_sig!D366)/1000</f>
        <v>0</v>
      </c>
      <c r="AW15" s="203">
        <f>(BDER_sig!D432+BDER_sig!D454)/1000</f>
        <v>0</v>
      </c>
      <c r="AX15" s="11">
        <f t="shared" si="62"/>
        <v>0</v>
      </c>
      <c r="AZ15" s="347" t="s">
        <v>15</v>
      </c>
      <c r="BA15" s="351">
        <f t="shared" si="0"/>
        <v>0</v>
      </c>
      <c r="BB15" s="352" t="str">
        <f t="shared" si="43"/>
        <v>N.D.</v>
      </c>
      <c r="BC15" s="351">
        <f t="shared" si="1"/>
        <v>0</v>
      </c>
      <c r="BD15" s="352" t="str">
        <f t="shared" si="44"/>
        <v>N.D.</v>
      </c>
      <c r="BE15" s="351">
        <f t="shared" si="2"/>
        <v>0</v>
      </c>
      <c r="BF15" s="352" t="str">
        <f t="shared" si="45"/>
        <v>N.D.</v>
      </c>
      <c r="BG15" s="351">
        <f t="shared" si="46"/>
        <v>0</v>
      </c>
      <c r="BH15" s="353" t="str">
        <f t="shared" si="47"/>
        <v>N.D.</v>
      </c>
      <c r="BI15" s="351">
        <f t="shared" si="48"/>
        <v>0</v>
      </c>
      <c r="BJ15" s="353" t="str">
        <f t="shared" si="49"/>
        <v>N.D.</v>
      </c>
      <c r="BL15" s="347" t="s">
        <v>15</v>
      </c>
      <c r="BM15" s="351"/>
      <c r="BN15" s="352" t="str">
        <f>IF(BM$3=0,"N.D.",BM15/BM$3)</f>
        <v>N.D.</v>
      </c>
      <c r="BO15" s="351">
        <f>proyeccion!B10</f>
        <v>0</v>
      </c>
      <c r="BP15" s="352" t="str">
        <f t="shared" si="50"/>
        <v>N.D.</v>
      </c>
      <c r="BQ15" s="351">
        <f>proyeccion!G10</f>
        <v>0</v>
      </c>
      <c r="BR15" s="352" t="str">
        <f t="shared" si="51"/>
        <v>N.D.</v>
      </c>
      <c r="BS15" s="351">
        <f>proyeccion!H10</f>
        <v>0</v>
      </c>
      <c r="BT15" s="352" t="str">
        <f t="shared" si="52"/>
        <v>N.D.</v>
      </c>
      <c r="BU15" s="351">
        <f>proyeccion!E10</f>
        <v>0</v>
      </c>
      <c r="BV15" s="352" t="str">
        <f t="shared" si="53"/>
        <v>N.D.</v>
      </c>
      <c r="BW15" s="351">
        <f>proyeccion!F10</f>
        <v>0</v>
      </c>
      <c r="BX15" s="352" t="str">
        <f t="shared" si="54"/>
        <v>N.D.</v>
      </c>
      <c r="BY15" s="351">
        <f>BM15+BO15+BQ15+BS15+BU15+BW15</f>
        <v>0</v>
      </c>
      <c r="BZ15" s="352" t="str">
        <f t="shared" si="55"/>
        <v>N.D.</v>
      </c>
    </row>
    <row r="16" spans="1:78" x14ac:dyDescent="0.35">
      <c r="B16" s="7" t="s">
        <v>15</v>
      </c>
      <c r="C16" s="11"/>
      <c r="D16" s="304"/>
      <c r="E16" s="302"/>
      <c r="F16" s="11">
        <f>TablasER!E20-TablasER!U16</f>
        <v>0</v>
      </c>
      <c r="G16" s="304">
        <f>IFERROR(F16/TablasER!U16,0)</f>
        <v>0</v>
      </c>
      <c r="H16" s="302"/>
      <c r="I16" s="206">
        <f>TablasER!G20-TablasER!W16</f>
        <v>0</v>
      </c>
      <c r="J16" s="304">
        <f>IFERROR(I16/TablasER!W16,0)</f>
        <v>0</v>
      </c>
      <c r="K16" s="302"/>
      <c r="L16" s="206">
        <f>TablasER!I20-TablasER!Y16</f>
        <v>0</v>
      </c>
      <c r="M16" s="304">
        <f>IFERROR(L16/TablasER!Y16,0)</f>
        <v>0</v>
      </c>
      <c r="N16" s="302"/>
      <c r="O16" s="206">
        <f>TablasER!K20-TablasER!AA16</f>
        <v>0</v>
      </c>
      <c r="P16" s="304">
        <f>IFERROR(O16/TablasER!AA16,0)</f>
        <v>0</v>
      </c>
      <c r="Q16" s="302"/>
      <c r="R16" s="206">
        <f>TablasER!M20-TablasER!AC16</f>
        <v>0</v>
      </c>
      <c r="S16" s="304">
        <f>IFERROR(R16/TablasER!AC16,0)</f>
        <v>0</v>
      </c>
      <c r="T16" s="302"/>
      <c r="U16" s="206">
        <f>TablasER!O20-TablasER!AE16</f>
        <v>1</v>
      </c>
      <c r="V16" s="302">
        <f>IFERROR(U16/TablasER!AE16,0)</f>
        <v>0</v>
      </c>
      <c r="Y16" s="328" t="s">
        <v>15</v>
      </c>
      <c r="AA16" s="242">
        <f>TablasER!AY16</f>
        <v>1</v>
      </c>
      <c r="AB16" s="330" t="str">
        <f t="shared" si="56"/>
        <v>N.D.</v>
      </c>
      <c r="AD16" s="242">
        <f t="shared" si="57"/>
        <v>0</v>
      </c>
      <c r="AE16" s="330" t="str">
        <f>IF($AD$4=0,"N.D.",AD16/$AD$4)</f>
        <v>N.D.</v>
      </c>
      <c r="AG16" s="242">
        <f>TablasER!BA16</f>
        <v>0</v>
      </c>
      <c r="AH16" s="330" t="str">
        <f>IF($AG$4=0,"N.D.",AG16/$AG$4)</f>
        <v>N.D.</v>
      </c>
      <c r="AJ16" s="242">
        <f t="shared" si="58"/>
        <v>1</v>
      </c>
      <c r="AK16" s="330">
        <f t="shared" si="59"/>
        <v>0</v>
      </c>
      <c r="AM16" s="242">
        <f t="shared" si="60"/>
        <v>1</v>
      </c>
      <c r="AN16" s="330">
        <f t="shared" si="61"/>
        <v>0</v>
      </c>
      <c r="AQ16" s="7" t="s">
        <v>16</v>
      </c>
      <c r="AR16" s="8"/>
      <c r="AS16" s="203">
        <f>(BDER_sig!D15+BDER_sig!D37+BDER_sig!D59+BDER_sig!D81+BDER_sig!D103+BDER_sig!D125)/1000</f>
        <v>0</v>
      </c>
      <c r="AT16" s="8">
        <f>(BDER_sig!D478+BDER_sig!D501+BDER_sig!D568+BDER_sig!D613)/1000</f>
        <v>0</v>
      </c>
      <c r="AU16" s="203">
        <f>(BDER_sig!D523+BDER_sig!D545+BDER_sig!D590+BDER_sig!D635+BDER_sig!D657)/1000</f>
        <v>0</v>
      </c>
      <c r="AV16" s="203">
        <f>(BDER_sig!D301+BDER_sig!D323+BDER_sig!D345+BDER_sig!D367)/1000</f>
        <v>0</v>
      </c>
      <c r="AW16" s="203">
        <f>(BDER_sig!D433+BDER_sig!D455)/1000</f>
        <v>0</v>
      </c>
      <c r="AX16" s="11">
        <f t="shared" si="62"/>
        <v>0</v>
      </c>
      <c r="AZ16" s="347" t="s">
        <v>16</v>
      </c>
      <c r="BA16" s="351">
        <f t="shared" si="0"/>
        <v>0</v>
      </c>
      <c r="BB16" s="352" t="str">
        <f t="shared" si="43"/>
        <v>N.D.</v>
      </c>
      <c r="BC16" s="351">
        <f t="shared" si="1"/>
        <v>0</v>
      </c>
      <c r="BD16" s="352" t="str">
        <f t="shared" si="44"/>
        <v>N.D.</v>
      </c>
      <c r="BE16" s="351">
        <f t="shared" si="2"/>
        <v>0</v>
      </c>
      <c r="BF16" s="352" t="str">
        <f t="shared" si="45"/>
        <v>N.D.</v>
      </c>
      <c r="BG16" s="351">
        <f t="shared" si="46"/>
        <v>0</v>
      </c>
      <c r="BH16" s="353" t="str">
        <f t="shared" si="47"/>
        <v>N.D.</v>
      </c>
      <c r="BI16" s="351">
        <f t="shared" si="48"/>
        <v>0</v>
      </c>
      <c r="BJ16" s="353" t="str">
        <f t="shared" si="49"/>
        <v>N.D.</v>
      </c>
      <c r="BL16" s="347" t="s">
        <v>16</v>
      </c>
      <c r="BM16" s="351"/>
      <c r="BN16" s="352" t="str">
        <f>IF(BM$3=0,"N.D.",BM16/BM$3)</f>
        <v>N.D.</v>
      </c>
      <c r="BO16" s="351">
        <f>proyeccion!B11</f>
        <v>0</v>
      </c>
      <c r="BP16" s="352" t="str">
        <f t="shared" si="50"/>
        <v>N.D.</v>
      </c>
      <c r="BQ16" s="351">
        <f>proyeccion!G11</f>
        <v>0</v>
      </c>
      <c r="BR16" s="352" t="str">
        <f t="shared" si="51"/>
        <v>N.D.</v>
      </c>
      <c r="BS16" s="351">
        <f>proyeccion!H11</f>
        <v>0</v>
      </c>
      <c r="BT16" s="352" t="str">
        <f t="shared" si="52"/>
        <v>N.D.</v>
      </c>
      <c r="BU16" s="351">
        <f>proyeccion!E11</f>
        <v>0</v>
      </c>
      <c r="BV16" s="352" t="str">
        <f t="shared" si="53"/>
        <v>N.D.</v>
      </c>
      <c r="BW16" s="351">
        <f>proyeccion!F11</f>
        <v>0</v>
      </c>
      <c r="BX16" s="352" t="str">
        <f t="shared" si="54"/>
        <v>N.D.</v>
      </c>
      <c r="BY16" s="351">
        <f>BM16+BO16+BQ16+BS16+BU16+BW16</f>
        <v>0</v>
      </c>
      <c r="BZ16" s="352" t="str">
        <f t="shared" si="55"/>
        <v>N.D.</v>
      </c>
    </row>
    <row r="17" spans="1:78" x14ac:dyDescent="0.35">
      <c r="B17" s="7" t="s">
        <v>16</v>
      </c>
      <c r="C17" s="11"/>
      <c r="D17" s="304"/>
      <c r="E17" s="302"/>
      <c r="F17" s="11">
        <f>TablasER!E21-TablasER!U17</f>
        <v>0</v>
      </c>
      <c r="G17" s="304">
        <f>IFERROR(F17/TablasER!U17,0)</f>
        <v>0</v>
      </c>
      <c r="H17" s="302"/>
      <c r="I17" s="206">
        <f>TablasER!G21-TablasER!W17</f>
        <v>0</v>
      </c>
      <c r="J17" s="304">
        <f>IFERROR(I17/TablasER!W17,0)</f>
        <v>0</v>
      </c>
      <c r="K17" s="302"/>
      <c r="L17" s="206">
        <f>TablasER!I21-TablasER!Y17</f>
        <v>0</v>
      </c>
      <c r="M17" s="304">
        <f>IFERROR(L17/TablasER!Y17,0)</f>
        <v>0</v>
      </c>
      <c r="N17" s="302"/>
      <c r="O17" s="206">
        <f>TablasER!K21-TablasER!AA17</f>
        <v>0</v>
      </c>
      <c r="P17" s="304">
        <f>IFERROR(O17/TablasER!AA17,0)</f>
        <v>0</v>
      </c>
      <c r="Q17" s="302"/>
      <c r="R17" s="206">
        <f>TablasER!M21-TablasER!AC17</f>
        <v>0</v>
      </c>
      <c r="S17" s="304">
        <f>IFERROR(R17/TablasER!AC17,0)</f>
        <v>0</v>
      </c>
      <c r="T17" s="302"/>
      <c r="U17" s="206">
        <f>TablasER!O21-TablasER!AE17</f>
        <v>0</v>
      </c>
      <c r="V17" s="302">
        <f>IFERROR(U17/TablasER!AE17,0)</f>
        <v>0</v>
      </c>
      <c r="Y17" s="328" t="s">
        <v>16</v>
      </c>
      <c r="AA17" s="242">
        <f>TablasER!AY17</f>
        <v>0</v>
      </c>
      <c r="AB17" s="330" t="str">
        <f t="shared" si="56"/>
        <v>N.D.</v>
      </c>
      <c r="AD17" s="242">
        <f t="shared" si="57"/>
        <v>0</v>
      </c>
      <c r="AE17" s="330" t="str">
        <f>IF($AD$4=0,"N.D.",AD17/$AD$4)</f>
        <v>N.D.</v>
      </c>
      <c r="AG17" s="242">
        <f>TablasER!BA17</f>
        <v>0</v>
      </c>
      <c r="AH17" s="330" t="str">
        <f>IF($AG$4=0,"N.D.",AG17/$AG$4)</f>
        <v>N.D.</v>
      </c>
      <c r="AJ17" s="242">
        <f t="shared" si="58"/>
        <v>0</v>
      </c>
      <c r="AK17" s="330">
        <f t="shared" si="59"/>
        <v>0</v>
      </c>
      <c r="AM17" s="242">
        <f t="shared" si="60"/>
        <v>0</v>
      </c>
      <c r="AN17" s="330">
        <f t="shared" si="61"/>
        <v>0</v>
      </c>
      <c r="AQ17" s="7"/>
      <c r="AR17" s="8"/>
      <c r="AS17" s="203">
        <f>(BDER_sig!D16+BDER_sig!D38+BDER_sig!D60+BDER_sig!D82+BDER_sig!D104+BDER_sig!D126)/1000</f>
        <v>0</v>
      </c>
      <c r="AT17" s="8">
        <f>(BDER_sig!D479+BDER_sig!D502+BDER_sig!D569+BDER_sig!D614)/1000</f>
        <v>0</v>
      </c>
      <c r="AU17" s="203">
        <f>(BDER_sig!D524+BDER_sig!D546+BDER_sig!D591+BDER_sig!D636+BDER_sig!D658)/1000</f>
        <v>0</v>
      </c>
      <c r="AV17" s="203">
        <f>(BDER_sig!D302+BDER_sig!D324+BDER_sig!D346+BDER_sig!D368)/1000</f>
        <v>0</v>
      </c>
      <c r="AW17" s="203">
        <f>(BDER_sig!D434+BDER_sig!D456)/1000</f>
        <v>0</v>
      </c>
      <c r="AX17" s="11">
        <f t="shared" si="62"/>
        <v>0</v>
      </c>
      <c r="AZ17" s="347"/>
      <c r="BA17" s="351">
        <f t="shared" si="0"/>
        <v>0</v>
      </c>
      <c r="BB17" s="352" t="str">
        <f t="shared" si="43"/>
        <v>N.D.</v>
      </c>
      <c r="BC17" s="351">
        <f t="shared" si="1"/>
        <v>0</v>
      </c>
      <c r="BD17" s="352" t="str">
        <f t="shared" si="44"/>
        <v>N.D.</v>
      </c>
      <c r="BE17" s="351">
        <f t="shared" si="2"/>
        <v>0</v>
      </c>
      <c r="BF17" s="352" t="str">
        <f t="shared" si="45"/>
        <v>N.D.</v>
      </c>
      <c r="BG17" s="351">
        <f t="shared" si="46"/>
        <v>0</v>
      </c>
      <c r="BH17" s="353" t="str">
        <f t="shared" si="47"/>
        <v>N.D.</v>
      </c>
      <c r="BI17" s="351">
        <f t="shared" si="48"/>
        <v>0</v>
      </c>
      <c r="BJ17" s="353" t="str">
        <f t="shared" si="49"/>
        <v>N.D.</v>
      </c>
      <c r="BL17" s="347"/>
      <c r="BM17" s="351"/>
      <c r="BN17" s="352" t="str">
        <f t="shared" ref="BN17:BN19" si="63">IF(BM$3=0,"N.D.",BM17/BM$3)</f>
        <v>N.D.</v>
      </c>
      <c r="BO17" s="351">
        <f>proyeccion!B12</f>
        <v>0</v>
      </c>
      <c r="BP17" s="352" t="str">
        <f t="shared" si="50"/>
        <v>N.D.</v>
      </c>
      <c r="BQ17" s="351">
        <f>proyeccion!G12</f>
        <v>0</v>
      </c>
      <c r="BR17" s="352" t="str">
        <f t="shared" si="51"/>
        <v>N.D.</v>
      </c>
      <c r="BS17" s="351">
        <f>proyeccion!H12</f>
        <v>0</v>
      </c>
      <c r="BT17" s="352" t="str">
        <f t="shared" si="52"/>
        <v>N.D.</v>
      </c>
      <c r="BU17" s="351">
        <f>proyeccion!E12</f>
        <v>0</v>
      </c>
      <c r="BV17" s="352" t="str">
        <f t="shared" si="53"/>
        <v>N.D.</v>
      </c>
      <c r="BW17" s="351">
        <f>proyeccion!F12</f>
        <v>0</v>
      </c>
      <c r="BX17" s="352" t="str">
        <f t="shared" si="54"/>
        <v>N.D.</v>
      </c>
      <c r="BY17" s="351">
        <f t="shared" ref="BY17:BY19" si="64">BM17+BO17+BQ17+BS17+BU17+BW17</f>
        <v>0</v>
      </c>
      <c r="BZ17" s="352" t="str">
        <f t="shared" si="55"/>
        <v>N.D.</v>
      </c>
    </row>
    <row r="18" spans="1:78" x14ac:dyDescent="0.35">
      <c r="B18" s="7"/>
      <c r="C18" s="34"/>
      <c r="D18" s="304"/>
      <c r="E18" s="302"/>
      <c r="F18" s="34">
        <f>TablasER!E22-TablasER!U18</f>
        <v>0</v>
      </c>
      <c r="G18" s="304">
        <f>IFERROR(F18/TablasER!U18,0)</f>
        <v>0</v>
      </c>
      <c r="H18" s="302"/>
      <c r="I18" s="207">
        <f>TablasER!G22-TablasER!W18</f>
        <v>0</v>
      </c>
      <c r="J18" s="304">
        <f>IFERROR(I18/TablasER!W18,0)</f>
        <v>0</v>
      </c>
      <c r="K18" s="302"/>
      <c r="L18" s="207">
        <f>TablasER!I22-TablasER!Y18</f>
        <v>0</v>
      </c>
      <c r="M18" s="304">
        <f>IFERROR(L18/TablasER!Y18,0)</f>
        <v>0</v>
      </c>
      <c r="N18" s="302"/>
      <c r="O18" s="207">
        <f>TablasER!K22-TablasER!AA18</f>
        <v>0</v>
      </c>
      <c r="P18" s="304">
        <f>IFERROR(O18/TablasER!AA18,0)</f>
        <v>0</v>
      </c>
      <c r="Q18" s="302"/>
      <c r="R18" s="207">
        <f>TablasER!M22-TablasER!AC18</f>
        <v>0</v>
      </c>
      <c r="S18" s="304">
        <f>IFERROR(R18/TablasER!AC18,0)</f>
        <v>0</v>
      </c>
      <c r="T18" s="302"/>
      <c r="U18" s="207">
        <f>TablasER!O22-TablasER!AE18</f>
        <v>0</v>
      </c>
      <c r="V18" s="302">
        <f>IFERROR(U18/TablasER!AE18,0)</f>
        <v>0</v>
      </c>
      <c r="Y18" s="328"/>
      <c r="AA18" s="242">
        <f>TablasER!AY18</f>
        <v>0</v>
      </c>
      <c r="AB18" s="330" t="str">
        <f t="shared" si="56"/>
        <v>N.D.</v>
      </c>
      <c r="AD18" s="242">
        <f t="shared" si="57"/>
        <v>0</v>
      </c>
      <c r="AE18" s="330" t="str">
        <f>IF($AD$4=0,"N.D.",AD18/$AD$4)</f>
        <v>N.D.</v>
      </c>
      <c r="AG18" s="242">
        <f>TablasER!BA18</f>
        <v>0</v>
      </c>
      <c r="AH18" s="330" t="str">
        <f>IF($AG$4=0,"N.D.",AG18/$AG$4)</f>
        <v>N.D.</v>
      </c>
      <c r="AJ18" s="242">
        <f t="shared" si="58"/>
        <v>0</v>
      </c>
      <c r="AK18" s="330">
        <f t="shared" si="59"/>
        <v>0</v>
      </c>
      <c r="AM18" s="242">
        <f t="shared" si="60"/>
        <v>0</v>
      </c>
      <c r="AN18" s="330">
        <f t="shared" si="61"/>
        <v>0</v>
      </c>
      <c r="AQ18" s="4" t="s">
        <v>17</v>
      </c>
      <c r="AR18" s="200"/>
      <c r="AS18" s="203">
        <f>(BDER_sig!D17+BDER_sig!D39+BDER_sig!D61+BDER_sig!D83+BDER_sig!D105+BDER_sig!D127)/1000</f>
        <v>0</v>
      </c>
      <c r="AT18" s="8">
        <f>(BDER_sig!D480+BDER_sig!D503+BDER_sig!D570+BDER_sig!D615)/1000</f>
        <v>0</v>
      </c>
      <c r="AU18" s="203">
        <f>(BDER_sig!D525+BDER_sig!D547+BDER_sig!D592+BDER_sig!D637+BDER_sig!D659)/1000</f>
        <v>0</v>
      </c>
      <c r="AV18" s="203">
        <f>(BDER_sig!D303+BDER_sig!D325+BDER_sig!D347+BDER_sig!D369)/1000</f>
        <v>0</v>
      </c>
      <c r="AW18" s="203">
        <f>(BDER_sig!D435+BDER_sig!D457)/1000</f>
        <v>0</v>
      </c>
      <c r="AX18" s="14">
        <f t="shared" si="62"/>
        <v>0</v>
      </c>
      <c r="AZ18" s="344" t="s">
        <v>17</v>
      </c>
      <c r="BA18" s="354">
        <f t="shared" si="0"/>
        <v>0</v>
      </c>
      <c r="BB18" s="355" t="str">
        <f t="shared" si="43"/>
        <v>N.D.</v>
      </c>
      <c r="BC18" s="354">
        <f t="shared" si="1"/>
        <v>0</v>
      </c>
      <c r="BD18" s="355" t="str">
        <f t="shared" si="44"/>
        <v>N.D.</v>
      </c>
      <c r="BE18" s="354">
        <f t="shared" si="2"/>
        <v>0</v>
      </c>
      <c r="BF18" s="355" t="str">
        <f t="shared" si="45"/>
        <v>N.D.</v>
      </c>
      <c r="BG18" s="354">
        <f t="shared" si="46"/>
        <v>0</v>
      </c>
      <c r="BH18" s="356" t="str">
        <f t="shared" si="47"/>
        <v>N.D.</v>
      </c>
      <c r="BI18" s="354">
        <f t="shared" si="48"/>
        <v>0</v>
      </c>
      <c r="BJ18" s="356" t="str">
        <f t="shared" si="49"/>
        <v>N.D.</v>
      </c>
      <c r="BL18" s="344" t="s">
        <v>17</v>
      </c>
      <c r="BM18" s="354"/>
      <c r="BN18" s="355" t="str">
        <f t="shared" si="63"/>
        <v>N.D.</v>
      </c>
      <c r="BO18" s="354">
        <f>BO13+BO14+BO15-BO16-BO17</f>
        <v>0</v>
      </c>
      <c r="BP18" s="355" t="str">
        <f t="shared" si="50"/>
        <v>N.D.</v>
      </c>
      <c r="BQ18" s="354">
        <f>BQ13+BQ14+BQ15-BQ16-BQ17</f>
        <v>0</v>
      </c>
      <c r="BR18" s="355" t="str">
        <f t="shared" si="51"/>
        <v>N.D.</v>
      </c>
      <c r="BS18" s="354">
        <f>BS13+BS14+BS15-BS16-BS17</f>
        <v>0</v>
      </c>
      <c r="BT18" s="355" t="str">
        <f t="shared" si="52"/>
        <v>N.D.</v>
      </c>
      <c r="BU18" s="354">
        <f>BU13+BU14+BU15-BU16-BU17</f>
        <v>0</v>
      </c>
      <c r="BV18" s="355" t="str">
        <f t="shared" si="53"/>
        <v>N.D.</v>
      </c>
      <c r="BW18" s="354">
        <f>BW13+BW14+BW15-BW16-BW17</f>
        <v>0</v>
      </c>
      <c r="BX18" s="355" t="str">
        <f t="shared" si="54"/>
        <v>N.D.</v>
      </c>
      <c r="BY18" s="354">
        <f t="shared" si="64"/>
        <v>0</v>
      </c>
      <c r="BZ18" s="355" t="str">
        <f t="shared" si="55"/>
        <v>N.D.</v>
      </c>
    </row>
    <row r="19" spans="1:78" x14ac:dyDescent="0.35">
      <c r="B19" s="4" t="s">
        <v>17</v>
      </c>
      <c r="C19" s="14"/>
      <c r="D19" s="314"/>
      <c r="E19" s="317"/>
      <c r="F19" s="14">
        <f>TablasER!E23-TablasER!U19</f>
        <v>0</v>
      </c>
      <c r="G19" s="314">
        <f>IFERROR(F19/TablasER!U19,0)</f>
        <v>0</v>
      </c>
      <c r="H19" s="317"/>
      <c r="I19" s="214">
        <f>TablasER!G23-TablasER!W19</f>
        <v>0</v>
      </c>
      <c r="J19" s="314">
        <f>IFERROR(I19/TablasER!W19,0)</f>
        <v>0</v>
      </c>
      <c r="K19" s="317"/>
      <c r="L19" s="214">
        <f>TablasER!I23-TablasER!Y19</f>
        <v>0</v>
      </c>
      <c r="M19" s="314">
        <f>IFERROR(L19/TablasER!Y19,0)</f>
        <v>0</v>
      </c>
      <c r="N19" s="317"/>
      <c r="O19" s="214">
        <f>TablasER!K23-TablasER!AA19</f>
        <v>0</v>
      </c>
      <c r="P19" s="314">
        <f>IFERROR(O19/TablasER!AA19,0)</f>
        <v>0</v>
      </c>
      <c r="Q19" s="317"/>
      <c r="R19" s="214">
        <f>TablasER!M23-TablasER!AC19</f>
        <v>0</v>
      </c>
      <c r="S19" s="314">
        <f>IFERROR(R19/TablasER!AC19,0)</f>
        <v>0</v>
      </c>
      <c r="T19" s="317"/>
      <c r="U19" s="214">
        <f>TablasER!O23-TablasER!AE19</f>
        <v>1</v>
      </c>
      <c r="V19" s="303">
        <f>IFERROR(U19/TablasER!AE19,0)</f>
        <v>0</v>
      </c>
      <c r="Y19" s="331" t="s">
        <v>17</v>
      </c>
      <c r="AA19" s="239">
        <f>AA14+AA15+AA16-AA17</f>
        <v>1</v>
      </c>
      <c r="AB19" s="332" t="str">
        <f t="shared" si="56"/>
        <v>N.D.</v>
      </c>
      <c r="AD19" s="239">
        <f>AD14+AD15+AD16-AD17</f>
        <v>0</v>
      </c>
      <c r="AE19" s="332" t="str">
        <f t="shared" ref="AE19:AE20" si="65">IF($AD$4=0,"N.D.",AD19/$AD$4)</f>
        <v>N.D.</v>
      </c>
      <c r="AG19" s="239">
        <f>TablasER!BA19</f>
        <v>0</v>
      </c>
      <c r="AH19" s="332" t="str">
        <f t="shared" ref="AH19:AH20" si="66">IF($AG$4=0,"N.D.",AG19/$AG$4)</f>
        <v>N.D.</v>
      </c>
      <c r="AJ19" s="239">
        <f t="shared" ref="AJ19:AJ20" si="67">AA19-AD19</f>
        <v>1</v>
      </c>
      <c r="AK19" s="332">
        <f t="shared" si="59"/>
        <v>0</v>
      </c>
      <c r="AM19" s="239">
        <f t="shared" ref="AM19:AM20" si="68">AA19-AG19</f>
        <v>1</v>
      </c>
      <c r="AN19" s="332">
        <f t="shared" si="61"/>
        <v>0</v>
      </c>
      <c r="AQ19" s="4" t="s">
        <v>18</v>
      </c>
      <c r="AR19" s="14"/>
      <c r="AS19" s="203">
        <f>(BDER_sig!D18+BDER_sig!D40+BDER_sig!D62+BDER_sig!D84+BDER_sig!D106+BDER_sig!D128)/1000</f>
        <v>0</v>
      </c>
      <c r="AT19" s="8">
        <f>(BDER_sig!D481+BDER_sig!D504+BDER_sig!D571+BDER_sig!D616)/1000</f>
        <v>0</v>
      </c>
      <c r="AU19" s="203">
        <f>(BDER_sig!D526+BDER_sig!D548+BDER_sig!D593+BDER_sig!D638+BDER_sig!D660)/1000</f>
        <v>0</v>
      </c>
      <c r="AV19" s="203">
        <f>(BDER_sig!D304+BDER_sig!D326+BDER_sig!D348+BDER_sig!D370)/1000</f>
        <v>0</v>
      </c>
      <c r="AW19" s="203">
        <f>(BDER_sig!D436+BDER_sig!D458)/1000</f>
        <v>0</v>
      </c>
      <c r="AX19" s="14">
        <f t="shared" si="62"/>
        <v>0</v>
      </c>
      <c r="AZ19" s="344" t="s">
        <v>18</v>
      </c>
      <c r="BA19" s="360">
        <f t="shared" si="0"/>
        <v>0</v>
      </c>
      <c r="BB19" s="355" t="str">
        <f t="shared" si="43"/>
        <v>N.D.</v>
      </c>
      <c r="BC19" s="360">
        <f t="shared" si="1"/>
        <v>0</v>
      </c>
      <c r="BD19" s="355" t="str">
        <f t="shared" si="44"/>
        <v>N.D.</v>
      </c>
      <c r="BE19" s="360">
        <f t="shared" si="2"/>
        <v>0</v>
      </c>
      <c r="BF19" s="355" t="str">
        <f t="shared" si="45"/>
        <v>N.D.</v>
      </c>
      <c r="BG19" s="354">
        <f t="shared" si="46"/>
        <v>0</v>
      </c>
      <c r="BH19" s="356" t="str">
        <f t="shared" si="47"/>
        <v>N.D.</v>
      </c>
      <c r="BI19" s="354">
        <f t="shared" si="48"/>
        <v>0</v>
      </c>
      <c r="BJ19" s="356" t="str">
        <f t="shared" si="49"/>
        <v>N.D.</v>
      </c>
      <c r="BL19" s="344" t="s">
        <v>18</v>
      </c>
      <c r="BM19" s="212"/>
      <c r="BN19" s="355" t="str">
        <f t="shared" si="63"/>
        <v>N.D.</v>
      </c>
      <c r="BO19" s="354">
        <f>BO11-BO18</f>
        <v>0</v>
      </c>
      <c r="BP19" s="355" t="str">
        <f t="shared" si="50"/>
        <v>N.D.</v>
      </c>
      <c r="BQ19" s="354">
        <f>BQ11-BQ18</f>
        <v>0</v>
      </c>
      <c r="BR19" s="355" t="str">
        <f t="shared" si="51"/>
        <v>N.D.</v>
      </c>
      <c r="BS19" s="354">
        <f>BS11-BS18</f>
        <v>0</v>
      </c>
      <c r="BT19" s="355" t="str">
        <f t="shared" si="52"/>
        <v>N.D.</v>
      </c>
      <c r="BU19" s="354">
        <f>BU11-BU18</f>
        <v>0</v>
      </c>
      <c r="BV19" s="355" t="str">
        <f t="shared" si="53"/>
        <v>N.D.</v>
      </c>
      <c r="BW19" s="354">
        <f>BW11-BW18</f>
        <v>0</v>
      </c>
      <c r="BX19" s="355" t="str">
        <f t="shared" si="54"/>
        <v>N.D.</v>
      </c>
      <c r="BY19" s="354">
        <f t="shared" si="64"/>
        <v>0</v>
      </c>
      <c r="BZ19" s="355" t="str">
        <f t="shared" si="55"/>
        <v>N.D.</v>
      </c>
    </row>
    <row r="20" spans="1:78" x14ac:dyDescent="0.35">
      <c r="B20" s="4" t="s">
        <v>18</v>
      </c>
      <c r="C20" s="14"/>
      <c r="D20" s="314"/>
      <c r="E20" s="317"/>
      <c r="F20" s="14">
        <f>TablasER!E24-TablasER!U20</f>
        <v>0</v>
      </c>
      <c r="G20" s="314">
        <f>IFERROR(F20/TablasER!U20,0)</f>
        <v>0</v>
      </c>
      <c r="H20" s="317"/>
      <c r="I20" s="214">
        <f>TablasER!G24-TablasER!W20</f>
        <v>0</v>
      </c>
      <c r="J20" s="314">
        <f>IFERROR(I20/TablasER!W20,0)</f>
        <v>0</v>
      </c>
      <c r="K20" s="317"/>
      <c r="L20" s="214">
        <f>TablasER!I24-TablasER!Y20</f>
        <v>0</v>
      </c>
      <c r="M20" s="314">
        <f>IFERROR(L20/TablasER!Y20,0)</f>
        <v>0</v>
      </c>
      <c r="N20" s="317"/>
      <c r="O20" s="214">
        <f>TablasER!K24-TablasER!AA20</f>
        <v>0</v>
      </c>
      <c r="P20" s="314">
        <f>IFERROR(O20/TablasER!AA20,0)</f>
        <v>0</v>
      </c>
      <c r="Q20" s="317"/>
      <c r="R20" s="214">
        <f>TablasER!M24-TablasER!AC20</f>
        <v>0</v>
      </c>
      <c r="S20" s="314">
        <f>IFERROR(R20/TablasER!AC20,0)</f>
        <v>0</v>
      </c>
      <c r="T20" s="317"/>
      <c r="U20" s="214">
        <f>TablasER!O24-TablasER!AE20</f>
        <v>-1</v>
      </c>
      <c r="V20" s="303">
        <f>IFERROR(U20/TablasER!AE20,0)</f>
        <v>0</v>
      </c>
      <c r="Y20" s="331" t="s">
        <v>18</v>
      </c>
      <c r="AA20" s="338">
        <f>AA12-AA19</f>
        <v>-1</v>
      </c>
      <c r="AB20" s="336" t="str">
        <f t="shared" si="56"/>
        <v>N.D.</v>
      </c>
      <c r="AD20" s="338">
        <f>AD12-AD19</f>
        <v>0</v>
      </c>
      <c r="AE20" s="336" t="str">
        <f t="shared" si="65"/>
        <v>N.D.</v>
      </c>
      <c r="AG20" s="338">
        <f>TablasER!BA20</f>
        <v>0</v>
      </c>
      <c r="AH20" s="336" t="str">
        <f t="shared" si="66"/>
        <v>N.D.</v>
      </c>
      <c r="AJ20" s="239">
        <f t="shared" si="67"/>
        <v>-1</v>
      </c>
      <c r="AK20" s="336">
        <f t="shared" si="59"/>
        <v>0</v>
      </c>
      <c r="AM20" s="239">
        <f t="shared" si="68"/>
        <v>-1</v>
      </c>
      <c r="AN20" s="336">
        <f t="shared" si="61"/>
        <v>0</v>
      </c>
      <c r="AQ20" s="1"/>
      <c r="AS20" s="307"/>
      <c r="AT20" s="307"/>
      <c r="AU20" s="307"/>
      <c r="AV20" s="307"/>
      <c r="AW20" s="307"/>
      <c r="AX20" s="30"/>
      <c r="AZ20" s="341"/>
      <c r="BA20" s="357"/>
      <c r="BB20" s="358"/>
      <c r="BC20" s="357"/>
      <c r="BD20" s="358"/>
      <c r="BE20" s="357"/>
      <c r="BF20" s="358"/>
      <c r="BG20" s="357"/>
      <c r="BH20" s="359"/>
      <c r="BI20" s="357"/>
      <c r="BJ20" s="359"/>
      <c r="BL20" s="347"/>
      <c r="BM20" s="357"/>
      <c r="BN20" s="358"/>
      <c r="BO20" s="357"/>
      <c r="BP20" s="358"/>
      <c r="BQ20" s="357"/>
      <c r="BR20" s="358"/>
      <c r="BS20" s="357"/>
      <c r="BT20" s="358"/>
      <c r="BU20" s="357"/>
      <c r="BV20" s="358"/>
      <c r="BW20" s="357"/>
      <c r="BX20" s="358"/>
      <c r="BY20" s="357"/>
      <c r="BZ20" s="358"/>
    </row>
    <row r="21" spans="1:78" s="307" customFormat="1" x14ac:dyDescent="0.35">
      <c r="B21" s="1"/>
      <c r="C21" s="30"/>
      <c r="D21" s="304"/>
      <c r="E21" s="304"/>
      <c r="F21" s="30"/>
      <c r="G21" s="304"/>
      <c r="H21" s="304"/>
      <c r="I21" s="30"/>
      <c r="J21" s="304"/>
      <c r="K21" s="304"/>
      <c r="L21" s="30"/>
      <c r="M21" s="304"/>
      <c r="N21" s="304"/>
      <c r="O21" s="30"/>
      <c r="P21" s="304"/>
      <c r="Q21" s="304"/>
      <c r="R21" s="30"/>
      <c r="S21" s="304"/>
      <c r="T21" s="304"/>
      <c r="U21" s="30"/>
      <c r="V21" s="304"/>
      <c r="Y21" s="333"/>
      <c r="Z21"/>
      <c r="AA21"/>
      <c r="AB21" s="322"/>
      <c r="AC21"/>
      <c r="AD21"/>
      <c r="AE21" s="322"/>
      <c r="AF21"/>
      <c r="AG21"/>
      <c r="AH21" s="322"/>
      <c r="AI21"/>
      <c r="AJ21" s="201"/>
      <c r="AK21" s="322"/>
      <c r="AL21"/>
      <c r="AM21" s="323"/>
      <c r="AN21" s="322"/>
      <c r="AQ21" s="7" t="s">
        <v>35</v>
      </c>
      <c r="AR21" s="203"/>
      <c r="AS21" s="203">
        <f>(BDER_sig!D19+BDER_sig!D41+BDER_sig!D63+BDER_sig!D85+BDER_sig!D107+BDER_sig!D129)/1000</f>
        <v>0</v>
      </c>
      <c r="AT21" s="8">
        <f>(BDER_sig!D482+BDER_sig!D505+BDER_sig!D572+BDER_sig!D617)/1000</f>
        <v>0</v>
      </c>
      <c r="AU21" s="203">
        <f>(BDER_sig!D527+BDER_sig!D549+BDER_sig!D594+BDER_sig!D639+BDER_sig!D661)/1000</f>
        <v>0</v>
      </c>
      <c r="AV21" s="203">
        <f>(BDER_sig!D305+BDER_sig!D327+BDER_sig!D349+BDER_sig!D371)/1000</f>
        <v>0</v>
      </c>
      <c r="AW21" s="203">
        <f>(BDER_sig!D437+BDER_sig!D459)/1000</f>
        <v>0</v>
      </c>
      <c r="AX21" s="8">
        <f>SUM(AR21:AW21)</f>
        <v>0</v>
      </c>
      <c r="AZ21" s="347" t="s">
        <v>35</v>
      </c>
      <c r="BA21" s="348">
        <f t="shared" si="0"/>
        <v>0</v>
      </c>
      <c r="BB21" s="349" t="str">
        <f t="shared" ref="BB21:BB24" si="69">IF(BA$3=0,"N.D.",BA21/BA$3)</f>
        <v>N.D.</v>
      </c>
      <c r="BC21" s="348">
        <f t="shared" si="1"/>
        <v>0</v>
      </c>
      <c r="BD21" s="349" t="str">
        <f t="shared" ref="BD21:BD24" si="70">IF(BC$3=0,"N.D.",BC21/BC$3)</f>
        <v>N.D.</v>
      </c>
      <c r="BE21" s="348">
        <f t="shared" si="2"/>
        <v>0</v>
      </c>
      <c r="BF21" s="349" t="str">
        <f t="shared" ref="BF21:BF24" si="71">IF(BE$3=0,"N.D.",BE21/BE$3)</f>
        <v>N.D.</v>
      </c>
      <c r="BG21" s="348">
        <f t="shared" ref="BG21:BG24" si="72">+BA21-BC21</f>
        <v>0</v>
      </c>
      <c r="BH21" s="350" t="str">
        <f t="shared" ref="BH21:BH24" si="73">IF(BC21=0,"N.D.",BA21/BC21-1)</f>
        <v>N.D.</v>
      </c>
      <c r="BI21" s="348">
        <f t="shared" ref="BI21:BI24" si="74">+BA21-BE21</f>
        <v>0</v>
      </c>
      <c r="BJ21" s="350" t="str">
        <f t="shared" ref="BJ21:BJ24" si="75">IF(BE21=0, "N.D.",BA21/BE21-1)</f>
        <v>N.D.</v>
      </c>
      <c r="BL21" s="347" t="s">
        <v>35</v>
      </c>
      <c r="BM21" s="348"/>
      <c r="BN21" s="349" t="str">
        <f t="shared" ref="BN21:BN24" si="76">IF(BM$3=0,"N.D.",BM21/BM$3)</f>
        <v>N.D.</v>
      </c>
      <c r="BO21" s="348">
        <f>proyeccion!B13</f>
        <v>0</v>
      </c>
      <c r="BP21" s="349" t="str">
        <f t="shared" ref="BP21:BP24" si="77">IF(BO$3=0,"N.D.",BO21/BO$3)</f>
        <v>N.D.</v>
      </c>
      <c r="BQ21" s="348">
        <f>proyeccion!G13</f>
        <v>0</v>
      </c>
      <c r="BR21" s="349" t="str">
        <f t="shared" ref="BR21:BR24" si="78">IF(BQ$3=0,"N.D.",BQ21/BQ$3)</f>
        <v>N.D.</v>
      </c>
      <c r="BS21" s="348">
        <f>proyeccion!H13</f>
        <v>0</v>
      </c>
      <c r="BT21" s="349" t="str">
        <f t="shared" ref="BT21:BT24" si="79">IF(BS$3=0,"N.D.",BS21/BS$3)</f>
        <v>N.D.</v>
      </c>
      <c r="BU21" s="348">
        <f>proyeccion!E13</f>
        <v>0</v>
      </c>
      <c r="BV21" s="349" t="str">
        <f t="shared" ref="BV21:BV24" si="80">IF(BU$3=0,"N.D.",BU21/BU$3)</f>
        <v>N.D.</v>
      </c>
      <c r="BW21" s="348">
        <f>proyeccion!F13</f>
        <v>0</v>
      </c>
      <c r="BX21" s="349" t="str">
        <f t="shared" ref="BX21:BX24" si="81">IF(BW$3=0,"N.D.",BW21/BW$3)</f>
        <v>N.D.</v>
      </c>
      <c r="BY21" s="348">
        <f t="shared" ref="BY21:BY24" si="82">BM21+BO21+BQ21+BS21+BU21+BW21</f>
        <v>0</v>
      </c>
      <c r="BZ21" s="349" t="str">
        <f t="shared" ref="BZ21:BZ24" si="83">IF(BY$3=0,"N.D.",BY21/BY$3)</f>
        <v>N.D.</v>
      </c>
    </row>
    <row r="22" spans="1:78" x14ac:dyDescent="0.35">
      <c r="B22" s="7" t="s">
        <v>35</v>
      </c>
      <c r="C22" s="8"/>
      <c r="D22" s="313"/>
      <c r="E22" s="302"/>
      <c r="F22" s="8">
        <f>TablasER!E26-TablasER!U22</f>
        <v>0</v>
      </c>
      <c r="G22" s="313">
        <f>IFERROR(F22/TablasER!U22,0)</f>
        <v>0</v>
      </c>
      <c r="H22" s="302"/>
      <c r="I22" s="204">
        <f>TablasER!G26-TablasER!W22</f>
        <v>0</v>
      </c>
      <c r="J22" s="313">
        <f>IFERROR(I22/TablasER!W22,0)</f>
        <v>0</v>
      </c>
      <c r="K22" s="302"/>
      <c r="L22" s="204">
        <f>TablasER!I26-TablasER!Y22</f>
        <v>0</v>
      </c>
      <c r="M22" s="313">
        <f>IFERROR(L22/TablasER!Y22,0)</f>
        <v>0</v>
      </c>
      <c r="N22" s="302"/>
      <c r="O22" s="204">
        <f>TablasER!K26-TablasER!AA22</f>
        <v>0</v>
      </c>
      <c r="P22" s="313">
        <f>IFERROR(O22/TablasER!AA22,0)</f>
        <v>0</v>
      </c>
      <c r="Q22" s="302"/>
      <c r="R22" s="204">
        <f>TablasER!M26-TablasER!AC22</f>
        <v>0</v>
      </c>
      <c r="S22" s="313">
        <f>IFERROR(R22/TablasER!AC22,0)</f>
        <v>0</v>
      </c>
      <c r="T22" s="302"/>
      <c r="U22" s="204">
        <f>TablasER!O26-TablasER!AE22</f>
        <v>0</v>
      </c>
      <c r="V22" s="137">
        <f>IFERROR(U22/TablasER!AE22,0)</f>
        <v>0</v>
      </c>
      <c r="Y22" s="7" t="s">
        <v>35</v>
      </c>
      <c r="AA22" s="241">
        <f>TablasER!$AY$22</f>
        <v>0</v>
      </c>
      <c r="AB22" s="329" t="str">
        <f t="shared" ref="AB22" si="84">IF($AA$4=0,"N.D.",AA22/$AA$4)</f>
        <v>N.D.</v>
      </c>
      <c r="AD22" s="241">
        <f>$BY$21</f>
        <v>0</v>
      </c>
      <c r="AE22" s="329" t="str">
        <f t="shared" ref="AE22" si="85">IF($AD$4=0,"N.D.",AD22/$AD$4)</f>
        <v>N.D.</v>
      </c>
      <c r="AG22" s="241">
        <f>TablasER!BA22</f>
        <v>0</v>
      </c>
      <c r="AH22" s="329" t="str">
        <f t="shared" ref="AH22" si="86">IF($AG$4=0,"N.D.",AG22/$AG$4)</f>
        <v>N.D.</v>
      </c>
      <c r="AJ22" s="241">
        <f>AA22-AD22</f>
        <v>0</v>
      </c>
      <c r="AK22" s="329">
        <f>IFERROR(IF(0&gt;AJ22,(IF(0&gt;AJ22,AJ22/-1,AJ22)/AD22)/-1,(IF(0&gt;AJ22,AJ22/-1,AJ22)/AD22)),0)</f>
        <v>0</v>
      </c>
      <c r="AM22" s="241">
        <f>AA22-AG22</f>
        <v>0</v>
      </c>
      <c r="AN22" s="329">
        <f>IFERROR(IF(0&gt;AM22,(IF(0&gt;AM22,AM22/-1,AM22)/AG22)/-1,(IF(0&gt;AM22,AM22/-1,AM22)/AG22)),0)</f>
        <v>0</v>
      </c>
      <c r="AQ22" s="7" t="s">
        <v>43</v>
      </c>
      <c r="AR22" s="8"/>
      <c r="AS22" s="203">
        <f>(BDER_sig!D20+BDER_sig!D42+BDER_sig!D64+BDER_sig!D86+BDER_sig!D108+BDER_sig!D130)/1000</f>
        <v>0</v>
      </c>
      <c r="AT22" s="8">
        <f>(BDER_sig!D483+BDER_sig!D506+BDER_sig!D573+BDER_sig!D618)/1000</f>
        <v>0</v>
      </c>
      <c r="AU22" s="203">
        <f>(BDER_sig!D528+BDER_sig!D550+BDER_sig!D595+BDER_sig!D640+BDER_sig!D662)/1000</f>
        <v>0</v>
      </c>
      <c r="AV22" s="203">
        <f>(BDER_sig!D306+BDER_sig!D328+BDER_sig!D350+BDER_sig!D372)/1000</f>
        <v>0</v>
      </c>
      <c r="AW22" s="203">
        <f>(BDER_sig!D438+BDER_sig!D460)/1000</f>
        <v>0</v>
      </c>
      <c r="AX22" s="11">
        <f t="shared" ref="AX22:AX24" si="87">SUM(AR22:AW22)</f>
        <v>0</v>
      </c>
      <c r="AZ22" s="347" t="s">
        <v>43</v>
      </c>
      <c r="BA22" s="351">
        <f t="shared" si="0"/>
        <v>0</v>
      </c>
      <c r="BB22" s="352" t="str">
        <f t="shared" si="69"/>
        <v>N.D.</v>
      </c>
      <c r="BC22" s="351">
        <f t="shared" si="1"/>
        <v>0</v>
      </c>
      <c r="BD22" s="352" t="str">
        <f t="shared" si="70"/>
        <v>N.D.</v>
      </c>
      <c r="BE22" s="351">
        <f t="shared" si="2"/>
        <v>0</v>
      </c>
      <c r="BF22" s="352" t="str">
        <f t="shared" si="71"/>
        <v>N.D.</v>
      </c>
      <c r="BG22" s="351">
        <f t="shared" si="72"/>
        <v>0</v>
      </c>
      <c r="BH22" s="353" t="str">
        <f t="shared" si="73"/>
        <v>N.D.</v>
      </c>
      <c r="BI22" s="351">
        <f t="shared" si="74"/>
        <v>0</v>
      </c>
      <c r="BJ22" s="353" t="str">
        <f t="shared" si="75"/>
        <v>N.D.</v>
      </c>
      <c r="BL22" s="347" t="s">
        <v>20</v>
      </c>
      <c r="BM22" s="351"/>
      <c r="BN22" s="352" t="str">
        <f t="shared" si="76"/>
        <v>N.D.</v>
      </c>
      <c r="BO22" s="351">
        <f>proyeccion!B14</f>
        <v>0</v>
      </c>
      <c r="BP22" s="352" t="str">
        <f t="shared" si="77"/>
        <v>N.D.</v>
      </c>
      <c r="BQ22" s="351">
        <f>proyeccion!G14</f>
        <v>0</v>
      </c>
      <c r="BR22" s="352" t="str">
        <f t="shared" si="78"/>
        <v>N.D.</v>
      </c>
      <c r="BS22" s="351">
        <f>proyeccion!H14</f>
        <v>0</v>
      </c>
      <c r="BT22" s="352" t="str">
        <f t="shared" si="79"/>
        <v>N.D.</v>
      </c>
      <c r="BU22" s="351">
        <f>proyeccion!E14</f>
        <v>0</v>
      </c>
      <c r="BV22" s="352" t="str">
        <f t="shared" si="80"/>
        <v>N.D.</v>
      </c>
      <c r="BW22" s="351">
        <f>proyeccion!F14</f>
        <v>0</v>
      </c>
      <c r="BX22" s="352" t="str">
        <f t="shared" si="81"/>
        <v>N.D.</v>
      </c>
      <c r="BY22" s="351">
        <f t="shared" si="82"/>
        <v>0</v>
      </c>
      <c r="BZ22" s="352" t="str">
        <f t="shared" si="83"/>
        <v>N.D.</v>
      </c>
    </row>
    <row r="23" spans="1:78" x14ac:dyDescent="0.35">
      <c r="B23" s="7" t="s">
        <v>20</v>
      </c>
      <c r="C23" s="34"/>
      <c r="D23" s="304"/>
      <c r="E23" s="302"/>
      <c r="F23" s="34">
        <f>TablasER!E27-TablasER!U23</f>
        <v>0</v>
      </c>
      <c r="G23" s="304">
        <f>IFERROR(F23/TablasER!U23,0)</f>
        <v>0</v>
      </c>
      <c r="H23" s="302"/>
      <c r="I23" s="207">
        <f>TablasER!G27-TablasER!W23</f>
        <v>0</v>
      </c>
      <c r="J23" s="304">
        <f>IFERROR(I23/TablasER!W23,0)</f>
        <v>0</v>
      </c>
      <c r="K23" s="302"/>
      <c r="L23" s="207">
        <f>TablasER!I27-TablasER!Y23</f>
        <v>0</v>
      </c>
      <c r="M23" s="304">
        <f>IFERROR(L23/TablasER!Y23,0)</f>
        <v>0</v>
      </c>
      <c r="N23" s="302"/>
      <c r="O23" s="207">
        <f>TablasER!K27-TablasER!AA23</f>
        <v>0</v>
      </c>
      <c r="P23" s="304">
        <f>IFERROR(O23/TablasER!AA23,0)</f>
        <v>0</v>
      </c>
      <c r="Q23" s="302"/>
      <c r="R23" s="207">
        <f>TablasER!M27-TablasER!AC23</f>
        <v>0</v>
      </c>
      <c r="S23" s="304">
        <f>IFERROR(R23/TablasER!AC23,0)</f>
        <v>0</v>
      </c>
      <c r="T23" s="302"/>
      <c r="U23" s="207">
        <f>TablasER!O27-TablasER!AE23</f>
        <v>0</v>
      </c>
      <c r="V23" s="302">
        <f>IFERROR(U23/TablasER!AE23,0)</f>
        <v>0</v>
      </c>
      <c r="Y23" s="4" t="s">
        <v>21</v>
      </c>
      <c r="AA23" s="239">
        <f>TablasER!AY24</f>
        <v>-1</v>
      </c>
      <c r="AB23" s="332" t="str">
        <f>IF($AA$4=0,"N.D.",AA23/$AA$4)</f>
        <v>N.D.</v>
      </c>
      <c r="AD23" s="239">
        <f>AD20-AD22</f>
        <v>0</v>
      </c>
      <c r="AE23" s="332" t="str">
        <f>IF($AD$4=0,"N.D.",AD23/$AD$4)</f>
        <v>N.D.</v>
      </c>
      <c r="AG23" s="239">
        <f>TablasER!BA24</f>
        <v>0</v>
      </c>
      <c r="AH23" s="332" t="str">
        <f>IF($AG$4=0,"N.D.",AG23/$AG$4)</f>
        <v>N.D.</v>
      </c>
      <c r="AJ23" s="239">
        <f t="shared" ref="AJ23" si="88">AA23-AD23</f>
        <v>-1</v>
      </c>
      <c r="AK23" s="332">
        <f>IFERROR(IF(0&gt;AJ23,(IF(0&gt;AJ23,AJ23/-1,AJ23)/AD23)/-1,(IF(0&gt;AJ23,AJ23/-1,AJ23)/AD23)),0)</f>
        <v>0</v>
      </c>
      <c r="AM23" s="239">
        <f t="shared" ref="AM23" si="89">AA23-AG23</f>
        <v>-1</v>
      </c>
      <c r="AN23" s="332">
        <f>IFERROR(IF(0&gt;AM23,(IF(0&gt;AM23,AM23/-1,AM23)/AG23)/-1,(IF(0&gt;AM23,AM23/-1,AM23)/AG23)),0)</f>
        <v>0</v>
      </c>
      <c r="AQ23" s="4" t="s">
        <v>21</v>
      </c>
      <c r="AR23" s="14"/>
      <c r="AS23" s="203">
        <f>(BDER_sig!D21+BDER_sig!D43+BDER_sig!D65+BDER_sig!D87+BDER_sig!D109+BDER_sig!D131)/1000</f>
        <v>0</v>
      </c>
      <c r="AT23" s="8">
        <f>(BDER_sig!D484+BDER_sig!D507+BDER_sig!D574+BDER_sig!D619)/1000</f>
        <v>0</v>
      </c>
      <c r="AU23" s="203">
        <f>(BDER_sig!D529+BDER_sig!D551+BDER_sig!D596+BDER_sig!D641+BDER_sig!D663)/1000</f>
        <v>0</v>
      </c>
      <c r="AV23" s="203">
        <f>(BDER_sig!D307+BDER_sig!D329+BDER_sig!D351+BDER_sig!D373)/1000</f>
        <v>0</v>
      </c>
      <c r="AW23" s="203">
        <f>(BDER_sig!D439+BDER_sig!D461)/1000</f>
        <v>0</v>
      </c>
      <c r="AX23" s="14">
        <f t="shared" si="87"/>
        <v>0</v>
      </c>
      <c r="AZ23" s="344" t="s">
        <v>21</v>
      </c>
      <c r="BA23" s="354">
        <f t="shared" si="0"/>
        <v>0</v>
      </c>
      <c r="BB23" s="355" t="str">
        <f t="shared" si="69"/>
        <v>N.D.</v>
      </c>
      <c r="BC23" s="354">
        <f t="shared" si="1"/>
        <v>0</v>
      </c>
      <c r="BD23" s="355" t="str">
        <f t="shared" si="70"/>
        <v>N.D.</v>
      </c>
      <c r="BE23" s="354">
        <f t="shared" si="2"/>
        <v>0</v>
      </c>
      <c r="BF23" s="355" t="str">
        <f t="shared" si="71"/>
        <v>N.D.</v>
      </c>
      <c r="BG23" s="354">
        <f t="shared" si="72"/>
        <v>0</v>
      </c>
      <c r="BH23" s="356" t="str">
        <f t="shared" si="73"/>
        <v>N.D.</v>
      </c>
      <c r="BI23" s="354">
        <f t="shared" si="74"/>
        <v>0</v>
      </c>
      <c r="BJ23" s="356" t="str">
        <f t="shared" si="75"/>
        <v>N.D.</v>
      </c>
      <c r="BL23" s="344" t="s">
        <v>21</v>
      </c>
      <c r="BM23" s="354"/>
      <c r="BN23" s="355" t="str">
        <f t="shared" si="76"/>
        <v>N.D.</v>
      </c>
      <c r="BO23" s="354">
        <f>BO19-BO21-BO22</f>
        <v>0</v>
      </c>
      <c r="BP23" s="355" t="str">
        <f t="shared" si="77"/>
        <v>N.D.</v>
      </c>
      <c r="BQ23" s="354">
        <f>BQ19-BQ21-BQ22</f>
        <v>0</v>
      </c>
      <c r="BR23" s="355" t="str">
        <f t="shared" si="78"/>
        <v>N.D.</v>
      </c>
      <c r="BS23" s="354">
        <f>BS19-BS21-BS22</f>
        <v>0</v>
      </c>
      <c r="BT23" s="355" t="str">
        <f t="shared" si="79"/>
        <v>N.D.</v>
      </c>
      <c r="BU23" s="354">
        <f>BU19-BU21-BU22</f>
        <v>0</v>
      </c>
      <c r="BV23" s="355" t="str">
        <f t="shared" si="80"/>
        <v>N.D.</v>
      </c>
      <c r="BW23" s="354">
        <f>BW19-BW21-BW22</f>
        <v>0</v>
      </c>
      <c r="BX23" s="355" t="str">
        <f t="shared" si="81"/>
        <v>N.D.</v>
      </c>
      <c r="BY23" s="354">
        <f t="shared" si="82"/>
        <v>0</v>
      </c>
      <c r="BZ23" s="355" t="str">
        <f t="shared" si="83"/>
        <v>N.D.</v>
      </c>
    </row>
    <row r="24" spans="1:78" x14ac:dyDescent="0.35">
      <c r="B24" s="4" t="s">
        <v>21</v>
      </c>
      <c r="C24" s="14"/>
      <c r="D24" s="314"/>
      <c r="E24" s="317"/>
      <c r="F24" s="14">
        <f>TablasER!E28-TablasER!U24</f>
        <v>0</v>
      </c>
      <c r="G24" s="314">
        <f>IFERROR(F24/TablasER!U24,0)</f>
        <v>0</v>
      </c>
      <c r="H24" s="317"/>
      <c r="I24" s="214">
        <f>TablasER!G28-TablasER!W24</f>
        <v>0</v>
      </c>
      <c r="J24" s="314">
        <f>IFERROR(I24/TablasER!W24,0)</f>
        <v>0</v>
      </c>
      <c r="K24" s="317"/>
      <c r="L24" s="214">
        <f>TablasER!I28-TablasER!Y24</f>
        <v>0</v>
      </c>
      <c r="M24" s="314">
        <f>IFERROR(L24/TablasER!Y24,0)</f>
        <v>0</v>
      </c>
      <c r="N24" s="317"/>
      <c r="O24" s="214">
        <f>TablasER!K28-TablasER!AA24</f>
        <v>0</v>
      </c>
      <c r="P24" s="314">
        <f>IFERROR(O24/TablasER!AA24,0)</f>
        <v>0</v>
      </c>
      <c r="Q24" s="317"/>
      <c r="R24" s="214">
        <f>TablasER!M28-TablasER!AC24</f>
        <v>0</v>
      </c>
      <c r="S24" s="314">
        <f>IFERROR(R24/TablasER!AC24,0)</f>
        <v>0</v>
      </c>
      <c r="T24" s="317"/>
      <c r="U24" s="214">
        <f>TablasER!O28-TablasER!AE24</f>
        <v>-1</v>
      </c>
      <c r="V24" s="303">
        <f>IFERROR(U24/TablasER!AE24,0)</f>
        <v>0</v>
      </c>
      <c r="Y24" s="4" t="s">
        <v>22</v>
      </c>
      <c r="AA24" s="239">
        <f>TablasER!AY25</f>
        <v>0</v>
      </c>
      <c r="AB24" s="332" t="str">
        <f>IF($AA$4=0,"N.D.",AA24/$AA$4)</f>
        <v>N.D.</v>
      </c>
      <c r="AD24" s="239">
        <f>AD12+AD10</f>
        <v>0</v>
      </c>
      <c r="AE24" s="332" t="str">
        <f>IF($AD$4=0,"N.D.",AD24/$AD$4)</f>
        <v>N.D.</v>
      </c>
      <c r="AG24" s="239">
        <f>TablasER!BA25</f>
        <v>0</v>
      </c>
      <c r="AH24" s="332" t="str">
        <f>IF($AG$4=0,"N.D.",AG24/$AG$4)</f>
        <v>N.D.</v>
      </c>
      <c r="AJ24" s="239">
        <f>AA24-AD24</f>
        <v>0</v>
      </c>
      <c r="AK24" s="332">
        <f>IFERROR(IF(0&gt;AJ24,(IF(0&gt;AJ24,AJ24/-1,AJ24)/AD24)/-1,(IF(0&gt;AJ24,AJ24/-1,AJ24)/AD24)),0)</f>
        <v>0</v>
      </c>
      <c r="AM24" s="239">
        <f>AA24-AG24</f>
        <v>0</v>
      </c>
      <c r="AN24" s="332">
        <f>IFERROR(IF(0&gt;AM24,(IF(0&gt;AM24,AM24/-1,AM24)/AG24)/-1,(IF(0&gt;AM24,AM24/-1,AM24)/AG24)),0)</f>
        <v>0</v>
      </c>
      <c r="AQ24" s="4" t="s">
        <v>22</v>
      </c>
      <c r="AR24" s="20"/>
      <c r="AS24" s="203">
        <f>(BDER_sig!D22+BDER_sig!D44+BDER_sig!D66+BDER_sig!D88+BDER_sig!D110+BDER_sig!D132)/1000</f>
        <v>0</v>
      </c>
      <c r="AT24" s="8">
        <f>(BDER_sig!D485+BDER_sig!D508+BDER_sig!D575+BDER_sig!D620)/1000</f>
        <v>0</v>
      </c>
      <c r="AU24" s="203">
        <f>(BDER_sig!D530+BDER_sig!D552+BDER_sig!D597+BDER_sig!D642+BDER_sig!D664)/1000</f>
        <v>0</v>
      </c>
      <c r="AV24" s="203">
        <f>(BDER_sig!D308+BDER_sig!D330+BDER_sig!D352+BDER_sig!D374)/1000</f>
        <v>0</v>
      </c>
      <c r="AW24" s="203">
        <f>(BDER_sig!D440+BDER_sig!D462)/1000</f>
        <v>0</v>
      </c>
      <c r="AX24" s="20">
        <f t="shared" si="87"/>
        <v>0</v>
      </c>
      <c r="AZ24" s="344" t="s">
        <v>22</v>
      </c>
      <c r="BA24" s="354">
        <f t="shared" si="0"/>
        <v>0</v>
      </c>
      <c r="BB24" s="355" t="str">
        <f t="shared" si="69"/>
        <v>N.D.</v>
      </c>
      <c r="BC24" s="354">
        <f t="shared" si="1"/>
        <v>0</v>
      </c>
      <c r="BD24" s="355" t="str">
        <f t="shared" si="70"/>
        <v>N.D.</v>
      </c>
      <c r="BE24" s="354">
        <f t="shared" si="2"/>
        <v>0</v>
      </c>
      <c r="BF24" s="355" t="str">
        <f t="shared" si="71"/>
        <v>N.D.</v>
      </c>
      <c r="BG24" s="354">
        <f t="shared" si="72"/>
        <v>0</v>
      </c>
      <c r="BH24" s="356" t="str">
        <f t="shared" si="73"/>
        <v>N.D.</v>
      </c>
      <c r="BI24" s="354">
        <f t="shared" si="74"/>
        <v>0</v>
      </c>
      <c r="BJ24" s="356" t="str">
        <f t="shared" si="75"/>
        <v>N.D.</v>
      </c>
      <c r="BL24" s="344" t="s">
        <v>22</v>
      </c>
      <c r="BM24" s="354"/>
      <c r="BN24" s="355" t="str">
        <f t="shared" si="76"/>
        <v>N.D.</v>
      </c>
      <c r="BO24" s="354">
        <f>BO11+BO9</f>
        <v>0</v>
      </c>
      <c r="BP24" s="355" t="str">
        <f t="shared" si="77"/>
        <v>N.D.</v>
      </c>
      <c r="BQ24" s="354">
        <f>BQ11+BQ9</f>
        <v>0</v>
      </c>
      <c r="BR24" s="355" t="str">
        <f t="shared" si="78"/>
        <v>N.D.</v>
      </c>
      <c r="BS24" s="354">
        <f>BS11+BS9</f>
        <v>0</v>
      </c>
      <c r="BT24" s="355" t="str">
        <f t="shared" si="79"/>
        <v>N.D.</v>
      </c>
      <c r="BU24" s="354">
        <f>BU11+BU9</f>
        <v>0</v>
      </c>
      <c r="BV24" s="355" t="str">
        <f t="shared" si="80"/>
        <v>N.D.</v>
      </c>
      <c r="BW24" s="354">
        <f>BW11+BW9</f>
        <v>0</v>
      </c>
      <c r="BX24" s="355" t="str">
        <f t="shared" si="81"/>
        <v>N.D.</v>
      </c>
      <c r="BY24" s="354">
        <f t="shared" si="82"/>
        <v>0</v>
      </c>
      <c r="BZ24" s="355" t="str">
        <f t="shared" si="83"/>
        <v>N.D.</v>
      </c>
    </row>
    <row r="25" spans="1:78" x14ac:dyDescent="0.35">
      <c r="B25" s="4" t="s">
        <v>22</v>
      </c>
      <c r="C25" s="14"/>
      <c r="D25" s="314"/>
      <c r="E25" s="317"/>
      <c r="F25" s="14">
        <f>TablasER!E29-TablasER!U25</f>
        <v>0</v>
      </c>
      <c r="G25" s="314">
        <f>IFERROR(F25/TablasER!U25,0)</f>
        <v>0</v>
      </c>
      <c r="H25" s="317"/>
      <c r="I25" s="214">
        <f>TablasER!G29-TablasER!W25</f>
        <v>0</v>
      </c>
      <c r="J25" s="314">
        <f>IFERROR(I25/TablasER!W25,0)</f>
        <v>0</v>
      </c>
      <c r="K25" s="317"/>
      <c r="L25" s="214">
        <f>TablasER!I29-TablasER!Y25</f>
        <v>0</v>
      </c>
      <c r="M25" s="314">
        <f>IFERROR(L25/TablasER!Y25,0)</f>
        <v>0</v>
      </c>
      <c r="N25" s="317"/>
      <c r="O25" s="214">
        <f>TablasER!K29-TablasER!AA25</f>
        <v>0</v>
      </c>
      <c r="P25" s="314">
        <f>IFERROR(O25/TablasER!AA25,0)</f>
        <v>0</v>
      </c>
      <c r="Q25" s="317"/>
      <c r="R25" s="214">
        <f>TablasER!M29-TablasER!AC25</f>
        <v>0</v>
      </c>
      <c r="S25" s="314">
        <f>IFERROR(R25/TablasER!AC25,0)</f>
        <v>0</v>
      </c>
      <c r="T25" s="317"/>
      <c r="U25" s="214">
        <f>TablasER!O29-TablasER!AE25</f>
        <v>0</v>
      </c>
      <c r="V25" s="303">
        <f>IFERROR(U25/TablasER!AE25,0)</f>
        <v>0</v>
      </c>
    </row>
    <row r="26" spans="1:78" x14ac:dyDescent="0.35">
      <c r="B26" s="26"/>
      <c r="C26" s="2"/>
      <c r="D26" s="301"/>
      <c r="E26" s="301"/>
      <c r="F26" s="2"/>
      <c r="G26" s="27"/>
      <c r="H26" s="27"/>
      <c r="I26" s="2"/>
      <c r="J26" s="27"/>
      <c r="K26" s="27"/>
      <c r="L26" s="2"/>
      <c r="M26" s="27"/>
      <c r="N26" s="27"/>
      <c r="O26" s="28"/>
      <c r="P26" s="27"/>
      <c r="Q26" s="27"/>
      <c r="R26" s="2"/>
      <c r="S26" s="27"/>
      <c r="T26" s="27"/>
      <c r="U26" s="2"/>
      <c r="V26" s="1"/>
      <c r="AQ26" s="26" t="s">
        <v>405</v>
      </c>
      <c r="AR26" s="25"/>
      <c r="AS26" s="25"/>
      <c r="AT26" s="25"/>
      <c r="AU26" s="25"/>
      <c r="AV26" s="25"/>
      <c r="AW26" s="25"/>
      <c r="AX26" s="25"/>
      <c r="BL26" t="s">
        <v>412</v>
      </c>
    </row>
    <row r="27" spans="1:78" x14ac:dyDescent="0.35">
      <c r="A27" t="s">
        <v>394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40" t="s">
        <v>29</v>
      </c>
      <c r="AW27" s="2" t="s">
        <v>30</v>
      </c>
      <c r="AX27" s="2" t="s">
        <v>31</v>
      </c>
      <c r="BL27" s="347"/>
      <c r="BM27" s="361" t="s">
        <v>25</v>
      </c>
      <c r="BN27" s="362"/>
      <c r="BO27" s="361" t="s">
        <v>26</v>
      </c>
      <c r="BP27" s="362"/>
      <c r="BQ27" s="363" t="s">
        <v>27</v>
      </c>
      <c r="BR27" s="364"/>
      <c r="BS27" s="363" t="s">
        <v>28</v>
      </c>
      <c r="BT27" s="364"/>
      <c r="BU27" s="361" t="s">
        <v>29</v>
      </c>
      <c r="BV27" s="362"/>
      <c r="BW27" s="361" t="s">
        <v>30</v>
      </c>
      <c r="BX27" s="362"/>
      <c r="BY27" s="363" t="s">
        <v>31</v>
      </c>
      <c r="BZ27" s="365"/>
    </row>
    <row r="28" spans="1:78" x14ac:dyDescent="0.35">
      <c r="C28" s="373" t="s">
        <v>25</v>
      </c>
      <c r="D28" s="373"/>
      <c r="E28" s="2"/>
      <c r="F28" s="373" t="s">
        <v>26</v>
      </c>
      <c r="G28" s="373"/>
      <c r="H28" s="2"/>
      <c r="I28" s="373" t="s">
        <v>27</v>
      </c>
      <c r="J28" s="373"/>
      <c r="K28" s="2"/>
      <c r="L28" s="373" t="s">
        <v>28</v>
      </c>
      <c r="M28" s="373"/>
      <c r="N28" s="2"/>
      <c r="O28" s="373" t="s">
        <v>29</v>
      </c>
      <c r="P28" s="373"/>
      <c r="Q28" s="2"/>
      <c r="R28" s="373" t="s">
        <v>108</v>
      </c>
      <c r="S28" s="373"/>
      <c r="T28" s="2"/>
      <c r="U28" s="373" t="s">
        <v>395</v>
      </c>
      <c r="V28" s="373"/>
      <c r="AQ28" s="7" t="s">
        <v>5</v>
      </c>
      <c r="AR28" s="8"/>
      <c r="AS28" s="8">
        <f>(BDER_sig!C4+BDER_sig!C26+BDER_sig!C48+BDER_sig!C70+BDER_sig!C92+BDER_sig!C114)/1000</f>
        <v>0</v>
      </c>
      <c r="AT28" s="8">
        <f>(BDER_sig!C466+BDER_sig!C489+BDER_sig!C556+BDER_sig!C601)/1000</f>
        <v>0</v>
      </c>
      <c r="AU28" s="8">
        <f>(BDER_sig!C512+BDER_sig!C534+BDER_sig!C579+BDER_sig!C624+BDER_sig!C646)/1000</f>
        <v>0</v>
      </c>
      <c r="AV28" s="8">
        <f>(BDER_sig!C290+BDER_sig!C312+BDER_sig!C334+BDER_sig!C356)/1000</f>
        <v>0</v>
      </c>
      <c r="AW28" s="8">
        <f>(BDER_sig!C422+BDER_sig!C444)/1000</f>
        <v>0</v>
      </c>
      <c r="AX28" s="8">
        <f>SUM(AR28:AW28)</f>
        <v>0</v>
      </c>
      <c r="BL28" s="347" t="s">
        <v>5</v>
      </c>
      <c r="BM28" s="351"/>
      <c r="BN28" s="349" t="str">
        <f>IF(CC$3=0,"N.D.",BM28/CC$3)</f>
        <v>N.D.</v>
      </c>
      <c r="BO28" s="351">
        <f>proyeccion!B18</f>
        <v>0</v>
      </c>
      <c r="BP28" s="349" t="str">
        <f>IF(CE$3=0,"N.D.",BO28/CE$3)</f>
        <v>N.D.</v>
      </c>
      <c r="BQ28" s="351">
        <f>proyeccion!G18</f>
        <v>0</v>
      </c>
      <c r="BR28" s="349" t="str">
        <f>IF(CG$3=0,"N.D.",BQ28/CG$3)</f>
        <v>N.D.</v>
      </c>
      <c r="BS28" s="351">
        <f>proyeccion!H18</f>
        <v>0</v>
      </c>
      <c r="BT28" s="349" t="str">
        <f>IF(CI$3=0,"N.D.",BS28/CI$3)</f>
        <v>N.D.</v>
      </c>
      <c r="BU28" s="351">
        <f>proyeccion!E18</f>
        <v>0</v>
      </c>
      <c r="BV28" s="349" t="str">
        <f>IF(CK$3=0,"N.D.",BU28/CK$3)</f>
        <v>N.D.</v>
      </c>
      <c r="BW28" s="351">
        <f>proyeccion!F18</f>
        <v>0</v>
      </c>
      <c r="BX28" s="349" t="str">
        <f>IF(CM$3=0,"N.D.",BW28/CM$3)</f>
        <v>N.D.</v>
      </c>
      <c r="BY28" s="351">
        <f>BM28+BO28+BQ28+BS28+BU28+BW28</f>
        <v>0</v>
      </c>
      <c r="BZ28" s="349" t="str">
        <f>IF(CO$3=0,"N.D.",BY28/CO$3)</f>
        <v>N.D.</v>
      </c>
    </row>
    <row r="29" spans="1:78" x14ac:dyDescent="0.35">
      <c r="B29" s="26"/>
      <c r="C29" s="2" t="s">
        <v>395</v>
      </c>
      <c r="D29" s="308" t="s">
        <v>396</v>
      </c>
      <c r="E29" s="308"/>
      <c r="F29" s="2" t="s">
        <v>395</v>
      </c>
      <c r="G29" s="308" t="s">
        <v>396</v>
      </c>
      <c r="H29" s="308"/>
      <c r="I29" s="2" t="s">
        <v>395</v>
      </c>
      <c r="J29" s="308" t="s">
        <v>396</v>
      </c>
      <c r="K29" s="308"/>
      <c r="L29" s="2" t="s">
        <v>395</v>
      </c>
      <c r="M29" s="308" t="s">
        <v>396</v>
      </c>
      <c r="N29" s="308"/>
      <c r="O29" s="2" t="s">
        <v>395</v>
      </c>
      <c r="P29" s="309" t="s">
        <v>396</v>
      </c>
      <c r="Q29" s="309"/>
      <c r="R29" s="2" t="s">
        <v>395</v>
      </c>
      <c r="S29" s="308" t="s">
        <v>396</v>
      </c>
      <c r="T29" s="308"/>
      <c r="U29" s="2" t="s">
        <v>397</v>
      </c>
      <c r="V29" s="308" t="s">
        <v>396</v>
      </c>
      <c r="AQ29" s="7" t="s">
        <v>6</v>
      </c>
      <c r="AR29" s="8"/>
      <c r="AS29" s="8">
        <f>(BDER_sig!C5+BDER_sig!C27+BDER_sig!C49+BDER_sig!C71+BDER_sig!C93+BDER_sig!C115)/1000</f>
        <v>0</v>
      </c>
      <c r="AT29" s="8">
        <f>(BDER_sig!C467+BDER_sig!C490+BDER_sig!C557+BDER_sig!C602)/1000</f>
        <v>0</v>
      </c>
      <c r="AU29" s="8">
        <f>(BDER_sig!C513+BDER_sig!C535+BDER_sig!C580+BDER_sig!C625+BDER_sig!C647)/1000</f>
        <v>0</v>
      </c>
      <c r="AV29" s="8">
        <f>(BDER_sig!C291+BDER_sig!C313+BDER_sig!C335+BDER_sig!C357)/1000</f>
        <v>0</v>
      </c>
      <c r="AW29" s="8">
        <f>(BDER_sig!C423+BDER_sig!C445)/1000</f>
        <v>0</v>
      </c>
      <c r="AX29" s="8">
        <f>SUM(AR29:AW29)</f>
        <v>0</v>
      </c>
      <c r="BL29" s="347" t="s">
        <v>6</v>
      </c>
      <c r="BM29" s="351"/>
      <c r="BN29" s="352" t="str">
        <f>IF(CC$3=0,"N.D.",BM29/CC$3)</f>
        <v>N.D.</v>
      </c>
      <c r="BO29" s="351">
        <f>proyeccion!B19</f>
        <v>0</v>
      </c>
      <c r="BP29" s="352" t="str">
        <f>IF(CE$3=0,"N.D.",BO29/CE$3)</f>
        <v>N.D.</v>
      </c>
      <c r="BQ29" s="351">
        <f>proyeccion!G19</f>
        <v>0</v>
      </c>
      <c r="BR29" s="352" t="str">
        <f>IF(CG$3=0,"N.D.",BQ29/CG$3)</f>
        <v>N.D.</v>
      </c>
      <c r="BS29" s="351">
        <f>proyeccion!H19</f>
        <v>0</v>
      </c>
      <c r="BT29" s="352" t="str">
        <f>IF(CI$3=0,"N.D.",BS29/CI$3)</f>
        <v>N.D.</v>
      </c>
      <c r="BU29" s="351">
        <f>proyeccion!E19</f>
        <v>0</v>
      </c>
      <c r="BV29" s="352" t="str">
        <f>IF(CK$3=0,"N.D.",BU29/CK$3)</f>
        <v>N.D.</v>
      </c>
      <c r="BW29" s="351">
        <f>proyeccion!F19</f>
        <v>0</v>
      </c>
      <c r="BX29" s="352" t="str">
        <f>IF(CM$3=0,"N.D.",BW29/CM$3)</f>
        <v>N.D.</v>
      </c>
      <c r="BY29" s="351">
        <f t="shared" ref="BY29:BY30" si="90">BM29+BO29+BQ29+BS29+BU29+BW29</f>
        <v>0</v>
      </c>
      <c r="BZ29" s="352" t="str">
        <f>IF(CO$3=0,"N.D.",BY29/CO$3)</f>
        <v>N.D.</v>
      </c>
    </row>
    <row r="30" spans="1:78" x14ac:dyDescent="0.35">
      <c r="B30" s="7" t="s">
        <v>5</v>
      </c>
      <c r="C30" s="8"/>
      <c r="D30" s="310"/>
      <c r="E30" s="42"/>
      <c r="F30" s="8">
        <f>TablasERxDiv!AA5-BO3</f>
        <v>0</v>
      </c>
      <c r="G30" s="310">
        <f>IFERROR(F30/BO3,0)</f>
        <v>0</v>
      </c>
      <c r="H30" s="42"/>
      <c r="I30" s="204">
        <f>TablasER!G4-BQ3</f>
        <v>0</v>
      </c>
      <c r="J30" s="310">
        <f>IFERROR(I30/BQ3,0)</f>
        <v>0</v>
      </c>
      <c r="K30" s="42"/>
      <c r="L30" s="204">
        <f>TablasER!I4-BS3</f>
        <v>0</v>
      </c>
      <c r="M30" s="310">
        <f>IFERROR(L30/BT3,0)</f>
        <v>0</v>
      </c>
      <c r="N30" s="42"/>
      <c r="O30" s="204">
        <f>TablasERxDiv!AT5-BU3</f>
        <v>0</v>
      </c>
      <c r="P30" s="310">
        <f>IFERROR(O30/BU3,0)</f>
        <v>0</v>
      </c>
      <c r="Q30" s="42"/>
      <c r="R30" s="204">
        <f>TablasERxDiv!BC5-BW3</f>
        <v>0</v>
      </c>
      <c r="S30" s="310">
        <f>IFERROR(R30/BW3,0)</f>
        <v>0</v>
      </c>
      <c r="T30" s="42"/>
      <c r="U30" s="204">
        <f>C30+F30+I30+L30+O30+R30</f>
        <v>0</v>
      </c>
      <c r="V30" s="29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0</v>
      </c>
      <c r="AT30" s="8">
        <f>(BDER_sig!C469+BDER_sig!C492+BDER_sig!C559+BDER_sig!C604)/1000</f>
        <v>0</v>
      </c>
      <c r="AU30" s="8">
        <f>(BDER_sig!C514+BDER_sig!C536+BDER_sig!C581+BDER_sig!C626+BDER_sig!C648)/1000</f>
        <v>0</v>
      </c>
      <c r="AV30" s="8">
        <f>(BDER_sig!C292+BDER_sig!C314+BDER_sig!C336+BDER_sig!C358)/1000</f>
        <v>0</v>
      </c>
      <c r="AW30" s="8">
        <f>(BDER_sig!C424+BDER_sig!C446)/1000</f>
        <v>0</v>
      </c>
      <c r="AX30" s="14">
        <f>SUM(AR30:AW30)</f>
        <v>0</v>
      </c>
      <c r="BL30" s="344" t="s">
        <v>7</v>
      </c>
      <c r="BM30" s="354"/>
      <c r="BN30" s="355" t="str">
        <f>IF(CC$3=0,"N.D.",BM30/CC$3)</f>
        <v>N.D.</v>
      </c>
      <c r="BO30" s="354">
        <f>BO28-BO29</f>
        <v>0</v>
      </c>
      <c r="BP30" s="355" t="str">
        <f>IF(CE$3=0,"N.D.",BO30/CE$3)</f>
        <v>N.D.</v>
      </c>
      <c r="BQ30" s="354">
        <f>BQ28-BQ29</f>
        <v>0</v>
      </c>
      <c r="BR30" s="355" t="str">
        <f>IF(CG$3=0,"N.D.",BQ30/CG$3)</f>
        <v>N.D.</v>
      </c>
      <c r="BS30" s="354">
        <f>BS28-BS29</f>
        <v>0</v>
      </c>
      <c r="BT30" s="355" t="str">
        <f>IF(CI$3=0,"N.D.",BS30/CI$3)</f>
        <v>N.D.</v>
      </c>
      <c r="BU30" s="354">
        <f>BU28-BU29</f>
        <v>0</v>
      </c>
      <c r="BV30" s="355" t="str">
        <f>IF(CK$3=0,"N.D.",BU30/CK$3)</f>
        <v>N.D.</v>
      </c>
      <c r="BW30" s="354">
        <f>BW28-BW29</f>
        <v>0</v>
      </c>
      <c r="BX30" s="355" t="str">
        <f>IF(CM$3=0,"N.D.",BW30/CM$3)</f>
        <v>N.D.</v>
      </c>
      <c r="BY30" s="354">
        <f t="shared" si="90"/>
        <v>0</v>
      </c>
      <c r="BZ30" s="355" t="str">
        <f>IF(CO$3=0,"N.D.",BY30/CO$3)</f>
        <v>N.D.</v>
      </c>
    </row>
    <row r="31" spans="1:78" x14ac:dyDescent="0.35">
      <c r="B31" s="7" t="s">
        <v>6</v>
      </c>
      <c r="C31" s="11"/>
      <c r="D31" s="44"/>
      <c r="E31" s="42"/>
      <c r="F31" s="11">
        <f>TablasERxDiv!AA6-BO4</f>
        <v>0</v>
      </c>
      <c r="G31" s="44">
        <f t="shared" ref="G31:G50" si="91">IFERROR(F31/BO4,0)</f>
        <v>0</v>
      </c>
      <c r="H31" s="42"/>
      <c r="I31" s="206">
        <f>TablasER!G5-BQ4</f>
        <v>0</v>
      </c>
      <c r="J31" s="44">
        <f t="shared" ref="J31:J51" si="92">IFERROR(I31/BQ4,0)</f>
        <v>0</v>
      </c>
      <c r="K31" s="42"/>
      <c r="L31" s="206">
        <f>TablasER!I5-BS4</f>
        <v>0</v>
      </c>
      <c r="M31" s="44">
        <f t="shared" ref="M31:M51" si="93">IFERROR(L31/BT4,0)</f>
        <v>0</v>
      </c>
      <c r="N31" s="42"/>
      <c r="O31" s="206">
        <f>TablasERxDiv!AT6-BU4</f>
        <v>0</v>
      </c>
      <c r="P31" s="44">
        <f t="shared" ref="P31:P51" si="94">IFERROR(O31/BU4,0)</f>
        <v>0</v>
      </c>
      <c r="Q31" s="42"/>
      <c r="R31" s="206">
        <f>TablasERxDiv!BC6-BW4</f>
        <v>0</v>
      </c>
      <c r="S31" s="44">
        <f t="shared" ref="S31:S51" si="95">IFERROR(R31/BW4,0)</f>
        <v>0</v>
      </c>
      <c r="T31" s="42"/>
      <c r="U31" s="206">
        <f t="shared" ref="U31:U32" si="96">C31+F31+I31+L31+O31+R31</f>
        <v>0</v>
      </c>
      <c r="V31" s="42">
        <f t="shared" ref="V31:V51" si="97">IFERROR(U31/BY4,0)</f>
        <v>0</v>
      </c>
      <c r="AQ31" s="1"/>
      <c r="AX31" s="30"/>
      <c r="BL31" s="347"/>
      <c r="BM31" s="357"/>
      <c r="BN31" s="358"/>
      <c r="BO31" s="357"/>
      <c r="BP31" s="358"/>
      <c r="BQ31" s="357"/>
      <c r="BR31" s="358"/>
      <c r="BS31" s="357"/>
      <c r="BT31" s="358"/>
      <c r="BU31" s="357"/>
      <c r="BV31" s="358"/>
      <c r="BW31" s="357"/>
      <c r="BX31" s="358"/>
      <c r="BY31" s="357"/>
      <c r="BZ31" s="358"/>
    </row>
    <row r="32" spans="1:78" x14ac:dyDescent="0.35">
      <c r="B32" s="4" t="s">
        <v>7</v>
      </c>
      <c r="C32" s="14"/>
      <c r="D32" s="311"/>
      <c r="E32" s="316"/>
      <c r="F32" s="14">
        <f>TablasERxDiv!AA7-BO5</f>
        <v>0</v>
      </c>
      <c r="G32" s="311">
        <f t="shared" si="91"/>
        <v>0</v>
      </c>
      <c r="H32" s="316"/>
      <c r="I32" s="214">
        <f>TablasER!G6-BQ5</f>
        <v>0</v>
      </c>
      <c r="J32" s="311">
        <f t="shared" si="92"/>
        <v>0</v>
      </c>
      <c r="K32" s="316"/>
      <c r="L32" s="214">
        <f>TablasER!I6-BS5</f>
        <v>0</v>
      </c>
      <c r="M32" s="311">
        <f t="shared" si="93"/>
        <v>0</v>
      </c>
      <c r="N32" s="316"/>
      <c r="O32" s="214">
        <f>TablasERxDiv!AT7-BU5</f>
        <v>0</v>
      </c>
      <c r="P32" s="311">
        <f t="shared" si="94"/>
        <v>0</v>
      </c>
      <c r="Q32" s="316"/>
      <c r="R32" s="214">
        <f>TablasERxDiv!BC7-BW5</f>
        <v>0</v>
      </c>
      <c r="S32" s="311">
        <f t="shared" si="95"/>
        <v>0</v>
      </c>
      <c r="T32" s="316"/>
      <c r="U32" s="214">
        <f t="shared" si="96"/>
        <v>0</v>
      </c>
      <c r="V32" s="43">
        <f t="shared" si="97"/>
        <v>0</v>
      </c>
      <c r="AQ32" s="7" t="s">
        <v>8</v>
      </c>
      <c r="AR32" s="203"/>
      <c r="AS32" s="8">
        <f>(BDER_sig!C7+BDER_sig!C29+BDER_sig!C51+BDER_sig!C73+BDER_sig!C95+BDER_sig!C117)/1000</f>
        <v>0</v>
      </c>
      <c r="AT32" s="8">
        <f>(BDER_sig!C470+BDER_sig!C493+BDER_sig!C560+BDER_sig!C605)/1000</f>
        <v>0</v>
      </c>
      <c r="AU32" s="8">
        <f>(BDER_sig!C515+BDER_sig!C537+BDER_sig!C582+BDER_sig!C627+BDER_sig!C649)/1000</f>
        <v>0</v>
      </c>
      <c r="AV32" s="8">
        <f>(BDER_sig!C293+BDER_sig!C315+BDER_sig!C337+BDER_sig!C359)/1000</f>
        <v>0</v>
      </c>
      <c r="AW32" s="8">
        <f>(BDER_sig!C425+BDER_sig!C447)/1000</f>
        <v>0</v>
      </c>
      <c r="AX32" s="8">
        <f>SUM(AR32:AW32)</f>
        <v>0</v>
      </c>
      <c r="BL32" s="347" t="s">
        <v>8</v>
      </c>
      <c r="BM32" s="348"/>
      <c r="BN32" s="349" t="str">
        <f>IF(CC$3=0,"N.D.",BM32/CC$3)</f>
        <v>N.D.</v>
      </c>
      <c r="BO32" s="348">
        <f>proyeccion!B20</f>
        <v>0</v>
      </c>
      <c r="BP32" s="349" t="str">
        <f>IF(CE$3=0,"N.D.",BO32/CE$3)</f>
        <v>N.D.</v>
      </c>
      <c r="BQ32" s="348">
        <f>proyeccion!G20</f>
        <v>0</v>
      </c>
      <c r="BR32" s="349" t="str">
        <f>IF(CG$3=0,"N.D.",BQ32/CG$3)</f>
        <v>N.D.</v>
      </c>
      <c r="BS32" s="348">
        <f>proyeccion!H20</f>
        <v>0</v>
      </c>
      <c r="BT32" s="349" t="str">
        <f>IF(CI$3=0,"N.D.",BS32/CI$3)</f>
        <v>N.D.</v>
      </c>
      <c r="BU32" s="348">
        <f>proyeccion!E20</f>
        <v>0</v>
      </c>
      <c r="BV32" s="349" t="str">
        <f>IF(CK$3=0,"N.D.",BU32/CK$3)</f>
        <v>N.D.</v>
      </c>
      <c r="BW32" s="348">
        <f>proyeccion!F20</f>
        <v>0</v>
      </c>
      <c r="BX32" s="349" t="str">
        <f>IF(CM$3=0,"N.D.",BW32/CM$3)</f>
        <v>N.D.</v>
      </c>
      <c r="BY32" s="348">
        <f>BM32+BO32+BQ32+BS32+BU32+BW32</f>
        <v>0</v>
      </c>
      <c r="BZ32" s="349" t="str">
        <f>IF(CO$3=0,"N.D.",BY32/CO$3)</f>
        <v>N.D.</v>
      </c>
    </row>
    <row r="33" spans="1:78" x14ac:dyDescent="0.35">
      <c r="A33" s="307"/>
      <c r="B33" s="1"/>
      <c r="C33" s="30"/>
      <c r="D33" s="44"/>
      <c r="E33" s="44"/>
      <c r="F33" s="30"/>
      <c r="G33" s="44"/>
      <c r="H33" s="44"/>
      <c r="I33" s="30"/>
      <c r="J33" s="44"/>
      <c r="K33" s="44"/>
      <c r="L33" s="30"/>
      <c r="M33" s="44"/>
      <c r="N33" s="44"/>
      <c r="O33" s="30"/>
      <c r="P33" s="44"/>
      <c r="Q33" s="44"/>
      <c r="R33" s="30"/>
      <c r="S33" s="44"/>
      <c r="T33" s="44"/>
      <c r="U33" s="30"/>
      <c r="V33" s="44"/>
      <c r="AQ33" s="7" t="s">
        <v>9</v>
      </c>
      <c r="AR33" s="8"/>
      <c r="AS33" s="8">
        <f>(BDER_sig!C8+BDER_sig!C30+BDER_sig!C52+BDER_sig!C74+BDER_sig!C96+BDER_sig!C118)/1000</f>
        <v>0</v>
      </c>
      <c r="AT33" s="8">
        <f>(BDER_sig!C471+BDER_sig!C494+BDER_sig!C561+BDER_sig!C606)/1000</f>
        <v>0</v>
      </c>
      <c r="AU33" s="8">
        <f>(BDER_sig!C516+BDER_sig!C538+BDER_sig!C583+BDER_sig!C628+BDER_sig!C650)/1000</f>
        <v>0</v>
      </c>
      <c r="AV33" s="8">
        <f>(BDER_sig!C294+BDER_sig!C316+BDER_sig!C338+BDER_sig!C360)/1000</f>
        <v>0</v>
      </c>
      <c r="AW33" s="8">
        <f>(BDER_sig!C426+BDER_sig!C448)/1000</f>
        <v>0</v>
      </c>
      <c r="AX33" s="11">
        <f t="shared" ref="AX33:AX36" si="98">SUM(AR33:AW33)</f>
        <v>0</v>
      </c>
      <c r="BL33" s="347" t="s">
        <v>9</v>
      </c>
      <c r="BM33" s="351"/>
      <c r="BN33" s="352" t="str">
        <f>IF(CC$3=0,"N.D.",BM33/CC$3)</f>
        <v>N.D.</v>
      </c>
      <c r="BO33" s="351">
        <f>proyeccion!B21</f>
        <v>0</v>
      </c>
      <c r="BP33" s="352" t="str">
        <f>IF(CE$3=0,"N.D.",BO33/CE$3)</f>
        <v>N.D.</v>
      </c>
      <c r="BQ33" s="351">
        <f>proyeccion!G21</f>
        <v>0</v>
      </c>
      <c r="BR33" s="352" t="str">
        <f>IF(CG$3=0,"N.D.",BQ33/CG$3)</f>
        <v>N.D.</v>
      </c>
      <c r="BS33" s="351">
        <f>proyeccion!H21</f>
        <v>0</v>
      </c>
      <c r="BT33" s="352" t="str">
        <f>IF(CI$3=0,"N.D.",BS33/CI$3)</f>
        <v>N.D.</v>
      </c>
      <c r="BU33" s="351">
        <f>proyeccion!E21</f>
        <v>0</v>
      </c>
      <c r="BV33" s="352" t="str">
        <f>IF(CK$3=0,"N.D.",BU33/CK$3)</f>
        <v>N.D.</v>
      </c>
      <c r="BW33" s="351">
        <f>proyeccion!F21</f>
        <v>0</v>
      </c>
      <c r="BX33" s="352" t="str">
        <f>IF(CM$3=0,"N.D.",BW33/CM$3)</f>
        <v>N.D.</v>
      </c>
      <c r="BY33" s="351">
        <f>BM33+BO33+BQ33+BS33+BU33+BW33</f>
        <v>0</v>
      </c>
      <c r="BZ33" s="352" t="str">
        <f>IF(CO$3=0,"N.D.",BY33/CO$3)</f>
        <v>N.D.</v>
      </c>
    </row>
    <row r="34" spans="1:78" x14ac:dyDescent="0.35">
      <c r="B34" s="7" t="s">
        <v>8</v>
      </c>
      <c r="C34" s="8"/>
      <c r="D34" s="310"/>
      <c r="E34" s="42"/>
      <c r="F34" s="8">
        <f>TablasERxDiv!AA9-BO7</f>
        <v>0</v>
      </c>
      <c r="G34" s="310">
        <f t="shared" si="91"/>
        <v>0</v>
      </c>
      <c r="H34" s="42"/>
      <c r="I34" s="204">
        <f>TablasER!G8-BQ7</f>
        <v>0</v>
      </c>
      <c r="J34" s="310">
        <f t="shared" si="92"/>
        <v>0</v>
      </c>
      <c r="K34" s="42"/>
      <c r="L34" s="204">
        <f>TablasER!I8-BS7</f>
        <v>0</v>
      </c>
      <c r="M34" s="310">
        <f t="shared" si="93"/>
        <v>0</v>
      </c>
      <c r="N34" s="42"/>
      <c r="O34" s="204">
        <f>TablasERxDiv!AT9-BU7</f>
        <v>0</v>
      </c>
      <c r="P34" s="310">
        <f t="shared" si="94"/>
        <v>0</v>
      </c>
      <c r="Q34" s="42"/>
      <c r="R34" s="204">
        <f>TablasERxDiv!BC9-BW7</f>
        <v>0</v>
      </c>
      <c r="S34" s="310">
        <f t="shared" si="95"/>
        <v>0</v>
      </c>
      <c r="T34" s="42"/>
      <c r="U34" s="204">
        <f t="shared" ref="U34:U38" si="99">C34+F34+I34+L34+O34+R34</f>
        <v>0</v>
      </c>
      <c r="V34" s="29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0</v>
      </c>
      <c r="AT34" s="8">
        <f>(BDER_sig!C472+BDER_sig!C495+BDER_sig!C562+BDER_sig!C607)/1000</f>
        <v>0</v>
      </c>
      <c r="AU34" s="8">
        <f>(BDER_sig!C517+BDER_sig!C539+BDER_sig!C584+BDER_sig!C629+BDER_sig!C651)/1000</f>
        <v>0</v>
      </c>
      <c r="AV34" s="8">
        <f>(BDER_sig!C295+BDER_sig!C317+BDER_sig!C339+BDER_sig!C361)/1000</f>
        <v>0</v>
      </c>
      <c r="AW34" s="8">
        <f>(BDER_sig!C427+BDER_sig!C449)/1000</f>
        <v>0</v>
      </c>
      <c r="AX34" s="11">
        <f t="shared" si="98"/>
        <v>0</v>
      </c>
      <c r="BL34" s="347" t="s">
        <v>10</v>
      </c>
      <c r="BM34" s="351"/>
      <c r="BN34" s="352" t="str">
        <f>IF(CC$3=0,"N.D.",BM34/CC$3)</f>
        <v>N.D.</v>
      </c>
      <c r="BO34" s="351">
        <f>proyeccion!B22</f>
        <v>0</v>
      </c>
      <c r="BP34" s="352" t="str">
        <f>IF(CE$3=0,"N.D.",BO34/CE$3)</f>
        <v>N.D.</v>
      </c>
      <c r="BQ34" s="351">
        <f>proyeccion!G22</f>
        <v>0</v>
      </c>
      <c r="BR34" s="352" t="str">
        <f>IF(CG$3=0,"N.D.",BQ34/CG$3)</f>
        <v>N.D.</v>
      </c>
      <c r="BS34" s="351">
        <f>proyeccion!H22</f>
        <v>0</v>
      </c>
      <c r="BT34" s="352" t="str">
        <f>IF(CI$3=0,"N.D.",BS34/CI$3)</f>
        <v>N.D.</v>
      </c>
      <c r="BU34" s="351">
        <f>proyeccion!E22</f>
        <v>0</v>
      </c>
      <c r="BV34" s="352" t="str">
        <f>IF(CK$3=0,"N.D.",BU34/CK$3)</f>
        <v>N.D.</v>
      </c>
      <c r="BW34" s="351">
        <f>proyeccion!F22</f>
        <v>0</v>
      </c>
      <c r="BX34" s="352" t="str">
        <f>IF(CM$3=0,"N.D.",BW34/CM$3)</f>
        <v>N.D.</v>
      </c>
      <c r="BY34" s="351">
        <f>BM34+BO34+BQ34+BS34+BU34+BW34</f>
        <v>0</v>
      </c>
      <c r="BZ34" s="352" t="str">
        <f>IF(CO$3=0,"N.D.",BY34/CO$3)</f>
        <v>N.D.</v>
      </c>
    </row>
    <row r="35" spans="1:78" x14ac:dyDescent="0.35">
      <c r="B35" s="7" t="s">
        <v>9</v>
      </c>
      <c r="C35" s="11"/>
      <c r="D35" s="44"/>
      <c r="E35" s="42"/>
      <c r="F35" s="11">
        <f>TablasERxDiv!AA10-BO8</f>
        <v>0</v>
      </c>
      <c r="G35" s="44">
        <f t="shared" si="91"/>
        <v>0</v>
      </c>
      <c r="H35" s="42"/>
      <c r="I35" s="206">
        <f>TablasER!G9+TablasER!G14+TablasER!G15-BQ8</f>
        <v>0</v>
      </c>
      <c r="J35" s="44">
        <f t="shared" si="92"/>
        <v>0</v>
      </c>
      <c r="K35" s="42"/>
      <c r="L35" s="206">
        <f>TablasER!I9+TablasER!I14+TablasER!I15-BS8</f>
        <v>0</v>
      </c>
      <c r="M35" s="44">
        <f t="shared" si="93"/>
        <v>0</v>
      </c>
      <c r="N35" s="42"/>
      <c r="O35" s="206">
        <f>TablasERxDiv!AT10-BU8</f>
        <v>0</v>
      </c>
      <c r="P35" s="44">
        <f t="shared" si="94"/>
        <v>0</v>
      </c>
      <c r="Q35" s="42"/>
      <c r="R35" s="206">
        <f>TablasERxDiv!BC10-BW8</f>
        <v>0</v>
      </c>
      <c r="S35" s="44">
        <f t="shared" si="95"/>
        <v>0</v>
      </c>
      <c r="T35" s="42"/>
      <c r="U35" s="206">
        <f t="shared" si="99"/>
        <v>0</v>
      </c>
      <c r="V35" s="42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0</v>
      </c>
      <c r="AT35" s="8">
        <f>(BDER_sig!C473+BDER_sig!C496+BDER_sig!C563+BDER_sig!C608)/1000</f>
        <v>0</v>
      </c>
      <c r="AU35" s="8">
        <f>(BDER_sig!C518+BDER_sig!C540+BDER_sig!C585+BDER_sig!C630+BDER_sig!C652)/1000</f>
        <v>0</v>
      </c>
      <c r="AV35" s="8">
        <f>(BDER_sig!C296+BDER_sig!C318+BDER_sig!C340+BDER_sig!C362)/1000</f>
        <v>0</v>
      </c>
      <c r="AW35" s="8">
        <f>(BDER_sig!C428+BDER_sig!C450)/1000</f>
        <v>0</v>
      </c>
      <c r="AX35" s="14">
        <f t="shared" si="98"/>
        <v>0</v>
      </c>
      <c r="BL35" s="344" t="s">
        <v>11</v>
      </c>
      <c r="BM35" s="354"/>
      <c r="BN35" s="355" t="str">
        <f>IF(CC$3=0,"N.D.",BM35/CC$3)</f>
        <v>N.D.</v>
      </c>
      <c r="BO35" s="354">
        <f>BO32+BO33+BO34</f>
        <v>0</v>
      </c>
      <c r="BP35" s="355" t="str">
        <f>IF(CE$3=0,"N.D.",BO35/CE$3)</f>
        <v>N.D.</v>
      </c>
      <c r="BQ35" s="354">
        <f>BQ32+BQ33+BQ34</f>
        <v>0</v>
      </c>
      <c r="BR35" s="355" t="str">
        <f>IF(CG$3=0,"N.D.",BQ35/CG$3)</f>
        <v>N.D.</v>
      </c>
      <c r="BS35" s="354">
        <f>BS32+BS33+BS34</f>
        <v>0</v>
      </c>
      <c r="BT35" s="355" t="str">
        <f>IF(CI$3=0,"N.D.",BS35/CI$3)</f>
        <v>N.D.</v>
      </c>
      <c r="BU35" s="354">
        <f>BU32+BU33+BU34</f>
        <v>0</v>
      </c>
      <c r="BV35" s="355" t="str">
        <f>IF(CK$3=0,"N.D.",BU35/CK$3)</f>
        <v>N.D.</v>
      </c>
      <c r="BW35" s="354">
        <f>BW32+BW33+BW34</f>
        <v>0</v>
      </c>
      <c r="BX35" s="355" t="str">
        <f>IF(CM$3=0,"N.D.",BW35/CM$3)</f>
        <v>N.D.</v>
      </c>
      <c r="BY35" s="354">
        <f>BM35+BO35+BQ35+BS35+BU35+BW35</f>
        <v>0</v>
      </c>
      <c r="BZ35" s="355" t="str">
        <f>IF(CO$3=0,"N.D.",BY35/CO$3)</f>
        <v>N.D.</v>
      </c>
    </row>
    <row r="36" spans="1:78" x14ac:dyDescent="0.35">
      <c r="B36" s="7" t="s">
        <v>10</v>
      </c>
      <c r="C36" s="34"/>
      <c r="D36" s="44"/>
      <c r="E36" s="42"/>
      <c r="F36" s="34">
        <f>TablasERxDiv!AA11-BO9</f>
        <v>0</v>
      </c>
      <c r="G36" s="44">
        <f t="shared" si="91"/>
        <v>0</v>
      </c>
      <c r="H36" s="42"/>
      <c r="I36" s="207">
        <f>TablasER!G10-BQ9</f>
        <v>0</v>
      </c>
      <c r="J36" s="44">
        <f t="shared" si="92"/>
        <v>0</v>
      </c>
      <c r="K36" s="42"/>
      <c r="L36" s="207">
        <f>TablasER!I10-BS9</f>
        <v>0</v>
      </c>
      <c r="M36" s="44">
        <f t="shared" si="93"/>
        <v>0</v>
      </c>
      <c r="N36" s="42"/>
      <c r="O36" s="207">
        <f>TablasERxDiv!AT11-BU9</f>
        <v>0</v>
      </c>
      <c r="P36" s="44">
        <f t="shared" si="94"/>
        <v>0</v>
      </c>
      <c r="Q36" s="42"/>
      <c r="R36" s="207">
        <f>TablasERxDiv!BC11-BW9</f>
        <v>0</v>
      </c>
      <c r="S36" s="44">
        <f t="shared" si="95"/>
        <v>0</v>
      </c>
      <c r="T36" s="42"/>
      <c r="U36" s="207">
        <f t="shared" si="99"/>
        <v>0</v>
      </c>
      <c r="V36" s="42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0</v>
      </c>
      <c r="AT36" s="8">
        <f>(BDER_sig!C474+BDER_sig!C497+BDER_sig!C564+BDER_sig!C609)/1000</f>
        <v>0</v>
      </c>
      <c r="AU36" s="8">
        <f>(BDER_sig!C519+BDER_sig!C541+BDER_sig!C586+BDER_sig!C631+BDER_sig!C653)/1000</f>
        <v>0</v>
      </c>
      <c r="AV36" s="8">
        <f>(BDER_sig!C297+BDER_sig!C319+BDER_sig!C341+BDER_sig!C363)/1000</f>
        <v>0</v>
      </c>
      <c r="AW36" s="8">
        <f>(BDER_sig!C429+BDER_sig!C451)/1000</f>
        <v>0</v>
      </c>
      <c r="AX36" s="20">
        <f t="shared" si="98"/>
        <v>0</v>
      </c>
      <c r="BL36" s="344" t="s">
        <v>12</v>
      </c>
      <c r="BM36" s="354"/>
      <c r="BN36" s="355" t="str">
        <f>IF(CC$3=0,"N.D.",BM36/CC$3)</f>
        <v>N.D.</v>
      </c>
      <c r="BO36" s="354">
        <f>BO30-BO35</f>
        <v>0</v>
      </c>
      <c r="BP36" s="355" t="str">
        <f>IF(CE$3=0,"N.D.",BO36/CE$3)</f>
        <v>N.D.</v>
      </c>
      <c r="BQ36" s="354">
        <f>BQ30-BQ35</f>
        <v>0</v>
      </c>
      <c r="BR36" s="355" t="str">
        <f>IF(CG$3=0,"N.D.",BQ36/CG$3)</f>
        <v>N.D.</v>
      </c>
      <c r="BS36" s="354">
        <f>BS30-BS35</f>
        <v>0</v>
      </c>
      <c r="BT36" s="355" t="str">
        <f>IF(CI$3=0,"N.D.",BS36/CI$3)</f>
        <v>N.D.</v>
      </c>
      <c r="BU36" s="354">
        <f>BU30-BU35</f>
        <v>0</v>
      </c>
      <c r="BV36" s="355" t="str">
        <f>IF(CK$3=0,"N.D.",BU36/CK$3)</f>
        <v>N.D.</v>
      </c>
      <c r="BW36" s="354">
        <f>BW30-BW35</f>
        <v>0</v>
      </c>
      <c r="BX36" s="355" t="str">
        <f>IF(CM$3=0,"N.D.",BW36/CM$3)</f>
        <v>N.D.</v>
      </c>
      <c r="BY36" s="354">
        <f>BM36+BO36+BQ36+BS36+BU36+BW36</f>
        <v>0</v>
      </c>
      <c r="BZ36" s="355" t="str">
        <f>IF(CO$3=0,"N.D.",BY36/CO$3)</f>
        <v>N.D.</v>
      </c>
    </row>
    <row r="37" spans="1:78" x14ac:dyDescent="0.35">
      <c r="B37" s="4" t="s">
        <v>11</v>
      </c>
      <c r="C37" s="214"/>
      <c r="D37" s="312"/>
      <c r="E37" s="316"/>
      <c r="F37" s="14">
        <f>F34+F35+F36</f>
        <v>0</v>
      </c>
      <c r="G37" s="312">
        <f t="shared" si="91"/>
        <v>0</v>
      </c>
      <c r="H37" s="316"/>
      <c r="I37" s="214">
        <f>I34+I35+I36</f>
        <v>0</v>
      </c>
      <c r="J37" s="312">
        <f t="shared" si="92"/>
        <v>0</v>
      </c>
      <c r="K37" s="316"/>
      <c r="L37" s="214">
        <f>L34+L35+L36</f>
        <v>0</v>
      </c>
      <c r="M37" s="312">
        <f t="shared" si="93"/>
        <v>0</v>
      </c>
      <c r="N37" s="316"/>
      <c r="O37" s="214">
        <f>TablasERxDiv!AT12-BU10</f>
        <v>0</v>
      </c>
      <c r="P37" s="312">
        <f t="shared" si="94"/>
        <v>0</v>
      </c>
      <c r="Q37" s="316"/>
      <c r="R37" s="214">
        <f>R34+R35+R36</f>
        <v>0</v>
      </c>
      <c r="S37" s="312">
        <f t="shared" si="95"/>
        <v>0</v>
      </c>
      <c r="T37" s="316"/>
      <c r="U37" s="214">
        <f t="shared" si="99"/>
        <v>0</v>
      </c>
      <c r="V37" s="306">
        <f t="shared" si="97"/>
        <v>0</v>
      </c>
      <c r="AQ37" s="1"/>
      <c r="AX37" s="30"/>
      <c r="BL37" s="347"/>
      <c r="BM37" s="357"/>
      <c r="BN37" s="358"/>
      <c r="BO37" s="357"/>
      <c r="BP37" s="358"/>
      <c r="BQ37" s="357"/>
      <c r="BR37" s="358"/>
      <c r="BS37" s="357"/>
      <c r="BT37" s="358"/>
      <c r="BU37" s="357"/>
      <c r="BV37" s="358"/>
      <c r="BW37" s="357"/>
      <c r="BX37" s="358"/>
      <c r="BY37" s="357"/>
      <c r="BZ37" s="358"/>
    </row>
    <row r="38" spans="1:78" x14ac:dyDescent="0.35">
      <c r="B38" s="4" t="s">
        <v>12</v>
      </c>
      <c r="C38" s="14"/>
      <c r="D38" s="311"/>
      <c r="E38" s="316"/>
      <c r="F38" s="14">
        <f>TablasERxDiv!AA13-BO11</f>
        <v>0</v>
      </c>
      <c r="G38" s="311">
        <f t="shared" si="91"/>
        <v>0</v>
      </c>
      <c r="H38" s="316"/>
      <c r="I38" s="214">
        <f>TablasER!$G$16-BQ11</f>
        <v>0</v>
      </c>
      <c r="J38" s="311">
        <f t="shared" si="92"/>
        <v>0</v>
      </c>
      <c r="K38" s="316"/>
      <c r="L38" s="214">
        <f>TablasER!$I$16-BS11</f>
        <v>0</v>
      </c>
      <c r="M38" s="311">
        <f t="shared" si="93"/>
        <v>0</v>
      </c>
      <c r="N38" s="316"/>
      <c r="O38" s="214">
        <f>TablasERxDiv!AT13-BU11</f>
        <v>0</v>
      </c>
      <c r="P38" s="311">
        <f t="shared" si="94"/>
        <v>0</v>
      </c>
      <c r="Q38" s="316"/>
      <c r="R38" s="214">
        <f>TablasERxDiv!BC13-BW11</f>
        <v>0</v>
      </c>
      <c r="S38" s="311">
        <f t="shared" si="95"/>
        <v>0</v>
      </c>
      <c r="T38" s="316"/>
      <c r="U38" s="214">
        <f t="shared" si="99"/>
        <v>0</v>
      </c>
      <c r="V38" s="43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0</v>
      </c>
      <c r="AT38" s="8">
        <f>(BDER_sig!C475+BDER_sig!C498+BDER_sig!C565+BDER_sig!C610)/1000</f>
        <v>0</v>
      </c>
      <c r="AU38" s="8">
        <f>(BDER_sig!C520+BDER_sig!C542+BDER_sig!C587+BDER_sig!C632+BDER_sig!C654)/1000</f>
        <v>0</v>
      </c>
      <c r="AV38" s="8">
        <f>(BDER_sig!C298+BDER_sig!C320+BDER_sig!C342+BDER_sig!C364)/1000</f>
        <v>0</v>
      </c>
      <c r="AW38" s="8">
        <f>(BDER_sig!C430+BDER_sig!C452)/1000</f>
        <v>0</v>
      </c>
      <c r="AX38" s="8">
        <f>SUM(AR38:AW38)</f>
        <v>0</v>
      </c>
      <c r="BL38" s="347" t="s">
        <v>13</v>
      </c>
      <c r="BM38" s="348"/>
      <c r="BN38" s="349" t="str">
        <f t="shared" ref="BN38:BN44" si="100">IF(CC$3=0,"N.D.",BM38/CC$3)</f>
        <v>N.D.</v>
      </c>
      <c r="BO38" s="348">
        <f>proyeccion!B23</f>
        <v>0</v>
      </c>
      <c r="BP38" s="349" t="str">
        <f t="shared" ref="BP38:BP44" si="101">IF(CE$3=0,"N.D.",BO38/CE$3)</f>
        <v>N.D.</v>
      </c>
      <c r="BQ38" s="348">
        <f>proyeccion!G23</f>
        <v>0</v>
      </c>
      <c r="BR38" s="349" t="str">
        <f t="shared" ref="BR38:BR44" si="102">IF(CG$3=0,"N.D.",BQ38/CG$3)</f>
        <v>N.D.</v>
      </c>
      <c r="BS38" s="348">
        <f>proyeccion!H23</f>
        <v>0</v>
      </c>
      <c r="BT38" s="349" t="str">
        <f t="shared" ref="BT38:BT44" si="103">IF(CI$3=0,"N.D.",BS38/CI$3)</f>
        <v>N.D.</v>
      </c>
      <c r="BU38" s="348">
        <f>proyeccion!E23</f>
        <v>0</v>
      </c>
      <c r="BV38" s="349" t="str">
        <f t="shared" ref="BV38:BV44" si="104">IF(CK$3=0,"N.D.",BU38/CK$3)</f>
        <v>N.D.</v>
      </c>
      <c r="BW38" s="348">
        <f>proyeccion!F23</f>
        <v>0</v>
      </c>
      <c r="BX38" s="349" t="str">
        <f t="shared" ref="BX38:BX44" si="105">IF(CM$3=0,"N.D.",BW38/CM$3)</f>
        <v>N.D.</v>
      </c>
      <c r="BY38" s="348">
        <f>BM38+BO38+BQ38+BS38+BU38+BW38</f>
        <v>0</v>
      </c>
      <c r="BZ38" s="349" t="str">
        <f t="shared" ref="BZ38:BZ44" si="106">IF(CO$3=0,"N.D.",BY38/CO$3)</f>
        <v>N.D.</v>
      </c>
    </row>
    <row r="39" spans="1:78" x14ac:dyDescent="0.35">
      <c r="A39" s="307"/>
      <c r="B39" s="1"/>
      <c r="C39" s="30"/>
      <c r="D39" s="44"/>
      <c r="E39" s="44"/>
      <c r="F39" s="30"/>
      <c r="G39" s="44"/>
      <c r="H39" s="44"/>
      <c r="I39" s="30"/>
      <c r="J39" s="44"/>
      <c r="K39" s="44"/>
      <c r="L39" s="30"/>
      <c r="M39" s="44"/>
      <c r="N39" s="44"/>
      <c r="O39" s="30"/>
      <c r="P39" s="44"/>
      <c r="Q39" s="44"/>
      <c r="R39" s="30"/>
      <c r="S39" s="44"/>
      <c r="T39" s="44"/>
      <c r="U39" s="30"/>
      <c r="V39" s="44"/>
      <c r="AQ39" s="7" t="s">
        <v>14</v>
      </c>
      <c r="AR39" s="8"/>
      <c r="AS39" s="8">
        <f>(BDER_sig!C13+BDER_sig!C35+BDER_sig!C57+BDER_sig!C79+BDER_sig!C101+BDER_sig!C123)/1000</f>
        <v>0</v>
      </c>
      <c r="AT39" s="8">
        <f>(BDER_sig!C476+BDER_sig!C499+BDER_sig!C566+BDER_sig!C611)/1000</f>
        <v>0</v>
      </c>
      <c r="AU39" s="8">
        <f>(BDER_sig!C521+BDER_sig!C543+BDER_sig!C588+BDER_sig!C633+BDER_sig!C655)/1000</f>
        <v>0</v>
      </c>
      <c r="AV39" s="8">
        <f>(BDER_sig!C299+BDER_sig!C321+BDER_sig!C343+BDER_sig!C365)/1000</f>
        <v>0</v>
      </c>
      <c r="AW39" s="8">
        <f>(BDER_sig!C431+BDER_sig!C453)/1000</f>
        <v>0</v>
      </c>
      <c r="AX39" s="11">
        <f t="shared" ref="AX39:AX44" si="107">SUM(AR39:AW39)</f>
        <v>0</v>
      </c>
      <c r="BL39" s="347" t="s">
        <v>14</v>
      </c>
      <c r="BM39" s="351"/>
      <c r="BN39" s="352" t="str">
        <f t="shared" si="100"/>
        <v>N.D.</v>
      </c>
      <c r="BO39" s="351">
        <f>proyeccion!B24</f>
        <v>0</v>
      </c>
      <c r="BP39" s="352" t="str">
        <f t="shared" si="101"/>
        <v>N.D.</v>
      </c>
      <c r="BQ39" s="351">
        <f>proyeccion!G24</f>
        <v>0</v>
      </c>
      <c r="BR39" s="352" t="str">
        <f t="shared" si="102"/>
        <v>N.D.</v>
      </c>
      <c r="BS39" s="351">
        <f>proyeccion!H24</f>
        <v>0</v>
      </c>
      <c r="BT39" s="352" t="str">
        <f t="shared" si="103"/>
        <v>N.D.</v>
      </c>
      <c r="BU39" s="351">
        <f>proyeccion!E24</f>
        <v>0</v>
      </c>
      <c r="BV39" s="352" t="str">
        <f t="shared" si="104"/>
        <v>N.D.</v>
      </c>
      <c r="BW39" s="351">
        <f>proyeccion!F24</f>
        <v>0</v>
      </c>
      <c r="BX39" s="352" t="str">
        <f t="shared" si="105"/>
        <v>N.D.</v>
      </c>
      <c r="BY39" s="351">
        <f>BM39+BO39+BQ39+BS39+BU39+BW39</f>
        <v>0</v>
      </c>
      <c r="BZ39" s="352" t="str">
        <f t="shared" si="106"/>
        <v>N.D.</v>
      </c>
    </row>
    <row r="40" spans="1:78" x14ac:dyDescent="0.35">
      <c r="B40" s="7" t="s">
        <v>13</v>
      </c>
      <c r="C40" s="8"/>
      <c r="D40" s="313"/>
      <c r="E40" s="302"/>
      <c r="F40" s="8">
        <f>TablasERxDiv!AA15-BO13</f>
        <v>0</v>
      </c>
      <c r="G40" s="313">
        <f t="shared" si="91"/>
        <v>0</v>
      </c>
      <c r="H40" s="302"/>
      <c r="I40" s="204">
        <f>TablasER!G18-BQ13</f>
        <v>0</v>
      </c>
      <c r="J40" s="313">
        <f t="shared" si="92"/>
        <v>0</v>
      </c>
      <c r="K40" s="302"/>
      <c r="L40" s="204">
        <f>TablasER!I18-BS13</f>
        <v>0</v>
      </c>
      <c r="M40" s="313">
        <f t="shared" si="93"/>
        <v>0</v>
      </c>
      <c r="N40" s="302"/>
      <c r="O40" s="204">
        <f>TablasERxDiv!AT15-BU13</f>
        <v>0</v>
      </c>
      <c r="P40" s="313">
        <f t="shared" si="94"/>
        <v>0</v>
      </c>
      <c r="Q40" s="302"/>
      <c r="R40" s="204">
        <f>TablasERxDiv!BC15-BW13</f>
        <v>0</v>
      </c>
      <c r="S40" s="313">
        <f t="shared" si="95"/>
        <v>0</v>
      </c>
      <c r="T40" s="302"/>
      <c r="U40" s="204">
        <f t="shared" ref="U40:U44" si="108">C40+F40+I40+L40+O40+R40</f>
        <v>0</v>
      </c>
      <c r="V40" s="137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0</v>
      </c>
      <c r="AT40" s="8">
        <f>(BDER_sig!C477+BDER_sig!C500+BDER_sig!C567+BDER_sig!C612)/1000</f>
        <v>0</v>
      </c>
      <c r="AU40" s="8">
        <f>(BDER_sig!C522+BDER_sig!C544+BDER_sig!C589+BDER_sig!C634+BDER_sig!C656)/1000</f>
        <v>0</v>
      </c>
      <c r="AV40" s="8">
        <f>(BDER_sig!C300+BDER_sig!C322+BDER_sig!C344+BDER_sig!C366)/1000</f>
        <v>0</v>
      </c>
      <c r="AW40" s="8">
        <f>(BDER_sig!C432+BDER_sig!C454)/1000</f>
        <v>0</v>
      </c>
      <c r="AX40" s="11">
        <f t="shared" si="107"/>
        <v>0</v>
      </c>
      <c r="BL40" s="347" t="s">
        <v>15</v>
      </c>
      <c r="BM40" s="351"/>
      <c r="BN40" s="352" t="str">
        <f t="shared" si="100"/>
        <v>N.D.</v>
      </c>
      <c r="BO40" s="351">
        <f>proyeccion!B25</f>
        <v>0</v>
      </c>
      <c r="BP40" s="352" t="str">
        <f t="shared" si="101"/>
        <v>N.D.</v>
      </c>
      <c r="BQ40" s="351">
        <f>proyeccion!G25</f>
        <v>0</v>
      </c>
      <c r="BR40" s="352" t="str">
        <f t="shared" si="102"/>
        <v>N.D.</v>
      </c>
      <c r="BS40" s="351">
        <f>proyeccion!H25</f>
        <v>0</v>
      </c>
      <c r="BT40" s="352" t="str">
        <f t="shared" si="103"/>
        <v>N.D.</v>
      </c>
      <c r="BU40" s="351">
        <f>proyeccion!E25</f>
        <v>0</v>
      </c>
      <c r="BV40" s="352" t="str">
        <f t="shared" si="104"/>
        <v>N.D.</v>
      </c>
      <c r="BW40" s="351">
        <f>proyeccion!F25</f>
        <v>0</v>
      </c>
      <c r="BX40" s="352" t="str">
        <f t="shared" si="105"/>
        <v>N.D.</v>
      </c>
      <c r="BY40" s="351">
        <f>BM40+BO40+BQ40+BS40+BU40+BW40</f>
        <v>0</v>
      </c>
      <c r="BZ40" s="352" t="str">
        <f t="shared" si="106"/>
        <v>N.D.</v>
      </c>
    </row>
    <row r="41" spans="1:78" x14ac:dyDescent="0.35">
      <c r="B41" s="7" t="s">
        <v>14</v>
      </c>
      <c r="C41" s="11"/>
      <c r="D41" s="304"/>
      <c r="E41" s="302"/>
      <c r="F41" s="11">
        <f>TablasERxDiv!AA16-BO14</f>
        <v>0</v>
      </c>
      <c r="G41" s="304">
        <f t="shared" si="91"/>
        <v>0</v>
      </c>
      <c r="H41" s="302"/>
      <c r="I41" s="206">
        <f>TablasER!G19-BQ14</f>
        <v>0</v>
      </c>
      <c r="J41" s="304">
        <f t="shared" si="92"/>
        <v>0</v>
      </c>
      <c r="K41" s="302"/>
      <c r="L41" s="206">
        <f>TablasER!I19-BS14</f>
        <v>0</v>
      </c>
      <c r="M41" s="304">
        <f t="shared" si="93"/>
        <v>0</v>
      </c>
      <c r="N41" s="302"/>
      <c r="O41" s="206">
        <f>TablasERxDiv!AT16-BU14</f>
        <v>0</v>
      </c>
      <c r="P41" s="304">
        <f t="shared" si="94"/>
        <v>0</v>
      </c>
      <c r="Q41" s="302"/>
      <c r="R41" s="206">
        <f>TablasERxDiv!BC16-BW14</f>
        <v>0</v>
      </c>
      <c r="S41" s="304">
        <f t="shared" si="95"/>
        <v>0</v>
      </c>
      <c r="T41" s="302"/>
      <c r="U41" s="206">
        <f t="shared" si="108"/>
        <v>0</v>
      </c>
      <c r="V41" s="302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0</v>
      </c>
      <c r="AT41" s="8">
        <f>(BDER_sig!C478+BDER_sig!C501+BDER_sig!C568+BDER_sig!C613)/1000</f>
        <v>0</v>
      </c>
      <c r="AU41" s="8">
        <f>(BDER_sig!C523+BDER_sig!C545+BDER_sig!C590+BDER_sig!C635+BDER_sig!C657)/1000</f>
        <v>0</v>
      </c>
      <c r="AV41" s="8">
        <f>(BDER_sig!C301+BDER_sig!C323+BDER_sig!C345+BDER_sig!C367)/1000</f>
        <v>0</v>
      </c>
      <c r="AW41" s="8">
        <f>(BDER_sig!C433+BDER_sig!C455)/1000</f>
        <v>0</v>
      </c>
      <c r="AX41" s="11">
        <f t="shared" si="107"/>
        <v>0</v>
      </c>
      <c r="BL41" s="347" t="s">
        <v>16</v>
      </c>
      <c r="BM41" s="351"/>
      <c r="BN41" s="352" t="str">
        <f t="shared" si="100"/>
        <v>N.D.</v>
      </c>
      <c r="BO41" s="351">
        <f>proyeccion!B26</f>
        <v>0</v>
      </c>
      <c r="BP41" s="352" t="str">
        <f t="shared" si="101"/>
        <v>N.D.</v>
      </c>
      <c r="BQ41" s="351">
        <f>proyeccion!G26</f>
        <v>0</v>
      </c>
      <c r="BR41" s="352" t="str">
        <f t="shared" si="102"/>
        <v>N.D.</v>
      </c>
      <c r="BS41" s="351">
        <f>proyeccion!H26</f>
        <v>0</v>
      </c>
      <c r="BT41" s="352" t="str">
        <f t="shared" si="103"/>
        <v>N.D.</v>
      </c>
      <c r="BU41" s="351">
        <f>proyeccion!E26</f>
        <v>0</v>
      </c>
      <c r="BV41" s="352" t="str">
        <f t="shared" si="104"/>
        <v>N.D.</v>
      </c>
      <c r="BW41" s="351">
        <f>proyeccion!F26</f>
        <v>0</v>
      </c>
      <c r="BX41" s="352" t="str">
        <f t="shared" si="105"/>
        <v>N.D.</v>
      </c>
      <c r="BY41" s="351">
        <f>BM41+BO41+BQ41+BS41+BU41+BW41</f>
        <v>0</v>
      </c>
      <c r="BZ41" s="352" t="str">
        <f t="shared" si="106"/>
        <v>N.D.</v>
      </c>
    </row>
    <row r="42" spans="1:78" x14ac:dyDescent="0.35">
      <c r="B42" s="7" t="s">
        <v>15</v>
      </c>
      <c r="C42" s="11"/>
      <c r="D42" s="304"/>
      <c r="E42" s="302"/>
      <c r="F42" s="11">
        <f>TablasERxDiv!AA17-BO15</f>
        <v>0</v>
      </c>
      <c r="G42" s="304">
        <f t="shared" si="91"/>
        <v>0</v>
      </c>
      <c r="H42" s="302"/>
      <c r="I42" s="206">
        <f>TablasER!G20-BQ15</f>
        <v>0</v>
      </c>
      <c r="J42" s="304">
        <f t="shared" si="92"/>
        <v>0</v>
      </c>
      <c r="K42" s="302"/>
      <c r="L42" s="206">
        <f>TablasER!I20-BS15</f>
        <v>0</v>
      </c>
      <c r="M42" s="304">
        <f t="shared" si="93"/>
        <v>0</v>
      </c>
      <c r="N42" s="302"/>
      <c r="O42" s="206">
        <f>TablasERxDiv!AT17-BU15</f>
        <v>0</v>
      </c>
      <c r="P42" s="304">
        <f t="shared" si="94"/>
        <v>0</v>
      </c>
      <c r="Q42" s="302"/>
      <c r="R42" s="206">
        <f>TablasERxDiv!BC17-BW15</f>
        <v>0</v>
      </c>
      <c r="S42" s="304">
        <f t="shared" si="95"/>
        <v>0</v>
      </c>
      <c r="T42" s="302"/>
      <c r="U42" s="206">
        <f>C42+F42+I42+L42+O42+R42+intereses</f>
        <v>1</v>
      </c>
      <c r="V42" s="302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(BDER_sig!C479+BDER_sig!C502+BDER_sig!C569+BDER_sig!C614)/1000</f>
        <v>0</v>
      </c>
      <c r="AU42" s="8">
        <f>(BDER_sig!C524+BDER_sig!C546+BDER_sig!C591+BDER_sig!C636+BDER_sig!C658)/1000</f>
        <v>0</v>
      </c>
      <c r="AV42" s="8">
        <f>(BDER_sig!C302+BDER_sig!C324+BDER_sig!C346+BDER_sig!C368)/1000</f>
        <v>0</v>
      </c>
      <c r="AW42" s="8">
        <f>(BDER_sig!C434+BDER_sig!C456)/1000</f>
        <v>0</v>
      </c>
      <c r="AX42" s="11">
        <f t="shared" si="107"/>
        <v>0</v>
      </c>
      <c r="BL42" s="347"/>
      <c r="BM42" s="351"/>
      <c r="BN42" s="352" t="str">
        <f t="shared" si="100"/>
        <v>N.D.</v>
      </c>
      <c r="BO42" s="351">
        <f>proyeccion!B27</f>
        <v>0</v>
      </c>
      <c r="BP42" s="352" t="str">
        <f t="shared" si="101"/>
        <v>N.D.</v>
      </c>
      <c r="BQ42" s="351">
        <f>proyeccion!G27</f>
        <v>0</v>
      </c>
      <c r="BR42" s="352" t="str">
        <f t="shared" si="102"/>
        <v>N.D.</v>
      </c>
      <c r="BS42" s="351">
        <f>proyeccion!H27</f>
        <v>0</v>
      </c>
      <c r="BT42" s="352" t="str">
        <f t="shared" si="103"/>
        <v>N.D.</v>
      </c>
      <c r="BU42" s="351">
        <f>proyeccion!E27</f>
        <v>0</v>
      </c>
      <c r="BV42" s="352" t="str">
        <f t="shared" si="104"/>
        <v>N.D.</v>
      </c>
      <c r="BW42" s="351">
        <f>proyeccion!F27</f>
        <v>0</v>
      </c>
      <c r="BX42" s="352" t="str">
        <f t="shared" si="105"/>
        <v>N.D.</v>
      </c>
      <c r="BY42" s="351">
        <f t="shared" ref="BY42:BY44" si="109">BM42+BO42+BQ42+BS42+BU42+BW42</f>
        <v>0</v>
      </c>
      <c r="BZ42" s="352" t="str">
        <f t="shared" si="106"/>
        <v>N.D.</v>
      </c>
    </row>
    <row r="43" spans="1:78" x14ac:dyDescent="0.35">
      <c r="B43" s="7" t="s">
        <v>16</v>
      </c>
      <c r="C43" s="11"/>
      <c r="D43" s="304"/>
      <c r="E43" s="302"/>
      <c r="F43" s="11">
        <f>TablasERxDiv!AA18-BO16</f>
        <v>0</v>
      </c>
      <c r="G43" s="304">
        <f t="shared" si="91"/>
        <v>0</v>
      </c>
      <c r="H43" s="302"/>
      <c r="I43" s="206">
        <f>TablasER!G21-BQ16</f>
        <v>0</v>
      </c>
      <c r="J43" s="304">
        <f t="shared" si="92"/>
        <v>0</v>
      </c>
      <c r="K43" s="302"/>
      <c r="L43" s="206">
        <f>TablasER!I21-BS16</f>
        <v>0</v>
      </c>
      <c r="M43" s="304">
        <f t="shared" si="93"/>
        <v>0</v>
      </c>
      <c r="N43" s="302"/>
      <c r="O43" s="206">
        <f>TablasERxDiv!AT18-BU16</f>
        <v>0</v>
      </c>
      <c r="P43" s="304">
        <f t="shared" si="94"/>
        <v>0</v>
      </c>
      <c r="Q43" s="302"/>
      <c r="R43" s="206">
        <f>TablasERxDiv!BC18-BW16</f>
        <v>0</v>
      </c>
      <c r="S43" s="304">
        <f t="shared" si="95"/>
        <v>0</v>
      </c>
      <c r="T43" s="302"/>
      <c r="U43" s="206">
        <f t="shared" si="108"/>
        <v>0</v>
      </c>
      <c r="V43" s="302">
        <f t="shared" si="97"/>
        <v>0</v>
      </c>
      <c r="AQ43" s="4" t="s">
        <v>17</v>
      </c>
      <c r="AR43" s="200"/>
      <c r="AS43" s="8">
        <f>(BDER_sig!C17+BDER_sig!C39+BDER_sig!C61+BDER_sig!C83+BDER_sig!C105+BDER_sig!C127)/1000</f>
        <v>0</v>
      </c>
      <c r="AT43" s="8">
        <f>(BDER_sig!C480+BDER_sig!C503+BDER_sig!C570+BDER_sig!C615)/1000</f>
        <v>0</v>
      </c>
      <c r="AU43" s="8">
        <f>(BDER_sig!C525+BDER_sig!C547+BDER_sig!C592+BDER_sig!C637+BDER_sig!C659)/1000</f>
        <v>0</v>
      </c>
      <c r="AV43" s="8">
        <f>(BDER_sig!C303+BDER_sig!C325+BDER_sig!C347+BDER_sig!C369)/1000</f>
        <v>0</v>
      </c>
      <c r="AW43" s="8">
        <f>(BDER_sig!C435+BDER_sig!C457)/1000</f>
        <v>0</v>
      </c>
      <c r="AX43" s="14">
        <f t="shared" si="107"/>
        <v>0</v>
      </c>
      <c r="BL43" s="344" t="s">
        <v>17</v>
      </c>
      <c r="BM43" s="354"/>
      <c r="BN43" s="355" t="str">
        <f t="shared" si="100"/>
        <v>N.D.</v>
      </c>
      <c r="BO43" s="354">
        <f>BO38+BO39+BO40-BO41-BO42</f>
        <v>0</v>
      </c>
      <c r="BP43" s="355" t="str">
        <f t="shared" si="101"/>
        <v>N.D.</v>
      </c>
      <c r="BQ43" s="354">
        <f>BQ38+BQ39+BQ40-BQ41-BQ42</f>
        <v>0</v>
      </c>
      <c r="BR43" s="355" t="str">
        <f t="shared" si="102"/>
        <v>N.D.</v>
      </c>
      <c r="BS43" s="354">
        <f>BS38+BS39+BS40-BS41-BS42</f>
        <v>0</v>
      </c>
      <c r="BT43" s="355" t="str">
        <f t="shared" si="103"/>
        <v>N.D.</v>
      </c>
      <c r="BU43" s="354">
        <f>BU38+BU39+BU40-BU41-BU42</f>
        <v>0</v>
      </c>
      <c r="BV43" s="355" t="str">
        <f t="shared" si="104"/>
        <v>N.D.</v>
      </c>
      <c r="BW43" s="354">
        <f>BW38+BW39+BW40-BW41-BW42</f>
        <v>0</v>
      </c>
      <c r="BX43" s="355" t="str">
        <f t="shared" si="105"/>
        <v>N.D.</v>
      </c>
      <c r="BY43" s="354">
        <f t="shared" si="109"/>
        <v>0</v>
      </c>
      <c r="BZ43" s="355" t="str">
        <f t="shared" si="106"/>
        <v>N.D.</v>
      </c>
    </row>
    <row r="44" spans="1:78" x14ac:dyDescent="0.35">
      <c r="B44" s="7"/>
      <c r="C44" s="34"/>
      <c r="D44" s="304"/>
      <c r="E44" s="302"/>
      <c r="F44" s="34">
        <f>TablasERxDiv!AA19-BO17</f>
        <v>0</v>
      </c>
      <c r="G44" s="304">
        <f t="shared" si="91"/>
        <v>0</v>
      </c>
      <c r="H44" s="302"/>
      <c r="I44" s="207">
        <f>TablasER!G22-BQ17</f>
        <v>0</v>
      </c>
      <c r="J44" s="304">
        <f t="shared" si="92"/>
        <v>0</v>
      </c>
      <c r="K44" s="302"/>
      <c r="L44" s="207">
        <f>TablasER!I22-BS17</f>
        <v>0</v>
      </c>
      <c r="M44" s="304">
        <f t="shared" si="93"/>
        <v>0</v>
      </c>
      <c r="N44" s="302"/>
      <c r="O44" s="207">
        <f>TablasERxDiv!AT19-BU17</f>
        <v>0</v>
      </c>
      <c r="P44" s="304">
        <f t="shared" si="94"/>
        <v>0</v>
      </c>
      <c r="Q44" s="302"/>
      <c r="R44" s="207">
        <f>TablasERxDiv!BC19-BW17</f>
        <v>0</v>
      </c>
      <c r="S44" s="304">
        <f t="shared" si="95"/>
        <v>0</v>
      </c>
      <c r="T44" s="302"/>
      <c r="U44" s="207">
        <f t="shared" si="108"/>
        <v>0</v>
      </c>
      <c r="V44" s="302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0</v>
      </c>
      <c r="AT44" s="8">
        <f>(BDER_sig!C481+BDER_sig!C504+BDER_sig!C571+BDER_sig!C616)/1000</f>
        <v>0</v>
      </c>
      <c r="AU44" s="8">
        <f>(BDER_sig!C526+BDER_sig!C548+BDER_sig!C593+BDER_sig!C638+BDER_sig!C660)/1000</f>
        <v>0</v>
      </c>
      <c r="AV44" s="8">
        <f>(BDER_sig!C304+BDER_sig!C326+BDER_sig!C348+BDER_sig!C370)/1000</f>
        <v>0</v>
      </c>
      <c r="AW44" s="8">
        <f>(BDER_sig!C436+BDER_sig!C458)/1000</f>
        <v>0</v>
      </c>
      <c r="AX44" s="14">
        <f t="shared" si="107"/>
        <v>0</v>
      </c>
      <c r="BL44" s="344" t="s">
        <v>18</v>
      </c>
      <c r="BM44" s="212"/>
      <c r="BN44" s="355" t="str">
        <f t="shared" si="100"/>
        <v>N.D.</v>
      </c>
      <c r="BO44" s="354">
        <f>BO36-BO43</f>
        <v>0</v>
      </c>
      <c r="BP44" s="355" t="str">
        <f t="shared" si="101"/>
        <v>N.D.</v>
      </c>
      <c r="BQ44" s="354">
        <f>BQ36-BQ43</f>
        <v>0</v>
      </c>
      <c r="BR44" s="355" t="str">
        <f t="shared" si="102"/>
        <v>N.D.</v>
      </c>
      <c r="BS44" s="354">
        <f>BS36-BS43</f>
        <v>0</v>
      </c>
      <c r="BT44" s="355" t="str">
        <f t="shared" si="103"/>
        <v>N.D.</v>
      </c>
      <c r="BU44" s="354">
        <f>BU36-BU43</f>
        <v>0</v>
      </c>
      <c r="BV44" s="355" t="str">
        <f t="shared" si="104"/>
        <v>N.D.</v>
      </c>
      <c r="BW44" s="354">
        <f>BW36-BW43</f>
        <v>0</v>
      </c>
      <c r="BX44" s="355" t="str">
        <f t="shared" si="105"/>
        <v>N.D.</v>
      </c>
      <c r="BY44" s="354">
        <f t="shared" si="109"/>
        <v>0</v>
      </c>
      <c r="BZ44" s="355" t="str">
        <f t="shared" si="106"/>
        <v>N.D.</v>
      </c>
    </row>
    <row r="45" spans="1:78" x14ac:dyDescent="0.35">
      <c r="B45" s="4" t="s">
        <v>17</v>
      </c>
      <c r="C45" s="14"/>
      <c r="D45" s="314"/>
      <c r="E45" s="317"/>
      <c r="F45" s="14">
        <f>TablasERxDiv!AA20-BO18</f>
        <v>0</v>
      </c>
      <c r="G45" s="314">
        <f t="shared" si="91"/>
        <v>0</v>
      </c>
      <c r="H45" s="317"/>
      <c r="I45" s="214">
        <f>TablasER!G23-BQ18</f>
        <v>0</v>
      </c>
      <c r="J45" s="314">
        <f t="shared" si="92"/>
        <v>0</v>
      </c>
      <c r="K45" s="317"/>
      <c r="L45" s="214">
        <f>TablasER!I23-BS18</f>
        <v>0</v>
      </c>
      <c r="M45" s="314">
        <f t="shared" si="93"/>
        <v>0</v>
      </c>
      <c r="N45" s="317"/>
      <c r="O45" s="214">
        <f>TablasERxDiv!AT20-BU18</f>
        <v>0</v>
      </c>
      <c r="P45" s="314">
        <f t="shared" si="94"/>
        <v>0</v>
      </c>
      <c r="Q45" s="317"/>
      <c r="R45" s="214">
        <f>TablasERxDiv!BC20-BW18</f>
        <v>0</v>
      </c>
      <c r="S45" s="314">
        <f t="shared" si="95"/>
        <v>0</v>
      </c>
      <c r="T45" s="317"/>
      <c r="U45" s="214">
        <f>U40+U41+U42-U43</f>
        <v>1</v>
      </c>
      <c r="V45" s="303">
        <f t="shared" si="97"/>
        <v>0</v>
      </c>
      <c r="AQ45" s="1"/>
      <c r="AX45" s="30"/>
      <c r="BL45" s="347"/>
      <c r="BM45" s="357"/>
      <c r="BN45" s="358"/>
      <c r="BO45" s="357"/>
      <c r="BP45" s="358"/>
      <c r="BQ45" s="357"/>
      <c r="BR45" s="358"/>
      <c r="BS45" s="357"/>
      <c r="BT45" s="358"/>
      <c r="BU45" s="357"/>
      <c r="BV45" s="358"/>
      <c r="BW45" s="357"/>
      <c r="BX45" s="358"/>
      <c r="BY45" s="357"/>
      <c r="BZ45" s="358"/>
    </row>
    <row r="46" spans="1:78" x14ac:dyDescent="0.35">
      <c r="B46" s="4" t="s">
        <v>18</v>
      </c>
      <c r="C46" s="14"/>
      <c r="D46" s="314"/>
      <c r="E46" s="317"/>
      <c r="F46" s="14">
        <f>TablasERxDiv!AA21-BO19</f>
        <v>0</v>
      </c>
      <c r="G46" s="314">
        <f t="shared" si="91"/>
        <v>0</v>
      </c>
      <c r="H46" s="317"/>
      <c r="I46" s="214">
        <f>TablasER!G24-BQ19</f>
        <v>0</v>
      </c>
      <c r="J46" s="314">
        <f t="shared" si="92"/>
        <v>0</v>
      </c>
      <c r="K46" s="317"/>
      <c r="L46" s="214">
        <f>TablasER!I24-BS19</f>
        <v>0</v>
      </c>
      <c r="M46" s="314">
        <f t="shared" si="93"/>
        <v>0</v>
      </c>
      <c r="N46" s="317"/>
      <c r="O46" s="214">
        <f>TablasERxDiv!AT21-BU19</f>
        <v>0</v>
      </c>
      <c r="P46" s="314">
        <f t="shared" si="94"/>
        <v>0</v>
      </c>
      <c r="Q46" s="317"/>
      <c r="R46" s="214">
        <f>TablasERxDiv!BC21-BW19</f>
        <v>0</v>
      </c>
      <c r="S46" s="314">
        <f t="shared" si="95"/>
        <v>0</v>
      </c>
      <c r="T46" s="317"/>
      <c r="U46" s="214">
        <f>+U38-U45</f>
        <v>-1</v>
      </c>
      <c r="V46" s="303">
        <f t="shared" si="97"/>
        <v>0</v>
      </c>
      <c r="AQ46" s="7" t="s">
        <v>35</v>
      </c>
      <c r="AR46" s="203"/>
      <c r="AS46" s="8">
        <f>(BDER_sig!C19+BDER_sig!C41+BDER_sig!C63+BDER_sig!C85+BDER_sig!C107+BDER_sig!C129)/1000</f>
        <v>0</v>
      </c>
      <c r="AT46" s="8">
        <f>(BDER_sig!C482+BDER_sig!C505+BDER_sig!C572+BDER_sig!C617)/1000</f>
        <v>0</v>
      </c>
      <c r="AU46" s="8">
        <f>(BDER_sig!C527+BDER_sig!C549+BDER_sig!C594+BDER_sig!C639+BDER_sig!C661)/1000</f>
        <v>0</v>
      </c>
      <c r="AV46" s="8">
        <f>(BDER_sig!C305+BDER_sig!C327+BDER_sig!C349+BDER_sig!C371)/1000</f>
        <v>0</v>
      </c>
      <c r="AW46" s="8">
        <f>(BDER_sig!C437+BDER_sig!C459)/1000</f>
        <v>0</v>
      </c>
      <c r="AX46" s="8">
        <f>SUM(AR46:AW46)</f>
        <v>0</v>
      </c>
      <c r="BL46" s="347" t="s">
        <v>35</v>
      </c>
      <c r="BM46" s="348"/>
      <c r="BN46" s="349" t="str">
        <f>IF(CC$3=0,"N.D.",BM46/CC$3)</f>
        <v>N.D.</v>
      </c>
      <c r="BO46" s="348">
        <f>proyeccion!B28</f>
        <v>0</v>
      </c>
      <c r="BP46" s="349" t="str">
        <f>IF(CE$3=0,"N.D.",BO46/CE$3)</f>
        <v>N.D.</v>
      </c>
      <c r="BQ46" s="348">
        <f>proyeccion!G28</f>
        <v>0</v>
      </c>
      <c r="BR46" s="349" t="str">
        <f>IF(CG$3=0,"N.D.",BQ46/CG$3)</f>
        <v>N.D.</v>
      </c>
      <c r="BS46" s="348">
        <f>proyeccion!H28</f>
        <v>0</v>
      </c>
      <c r="BT46" s="349" t="str">
        <f>IF(CI$3=0,"N.D.",BS46/CI$3)</f>
        <v>N.D.</v>
      </c>
      <c r="BU46" s="348">
        <f>proyeccion!E28</f>
        <v>0</v>
      </c>
      <c r="BV46" s="349" t="str">
        <f>IF(CK$3=0,"N.D.",BU46/CK$3)</f>
        <v>N.D.</v>
      </c>
      <c r="BW46" s="348">
        <f>proyeccion!F28</f>
        <v>0</v>
      </c>
      <c r="BX46" s="349" t="str">
        <f>IF(CM$3=0,"N.D.",BW46/CM$3)</f>
        <v>N.D.</v>
      </c>
      <c r="BY46" s="348">
        <f t="shared" ref="BY46:BY49" si="110">BM46+BO46+BQ46+BS46+BU46+BW46</f>
        <v>0</v>
      </c>
      <c r="BZ46" s="349" t="str">
        <f>IF(CO$3=0,"N.D.",BY46/CO$3)</f>
        <v>N.D.</v>
      </c>
    </row>
    <row r="47" spans="1:78" x14ac:dyDescent="0.35">
      <c r="A47" s="307"/>
      <c r="B47" s="1"/>
      <c r="C47" s="30"/>
      <c r="D47" s="304"/>
      <c r="E47" s="304"/>
      <c r="F47" s="30"/>
      <c r="G47" s="304"/>
      <c r="H47" s="304"/>
      <c r="I47" s="30"/>
      <c r="J47" s="304"/>
      <c r="K47" s="304"/>
      <c r="L47" s="30"/>
      <c r="M47" s="304"/>
      <c r="N47" s="304"/>
      <c r="O47" s="30"/>
      <c r="P47" s="304"/>
      <c r="Q47" s="304"/>
      <c r="R47" s="30"/>
      <c r="S47" s="304"/>
      <c r="T47" s="304"/>
      <c r="U47" s="30"/>
      <c r="V47" s="304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(BDER_sig!C483+BDER_sig!C506+BDER_sig!C573+BDER_sig!C618)/1000</f>
        <v>0</v>
      </c>
      <c r="AU47" s="8">
        <f>(BDER_sig!C528+BDER_sig!C550+BDER_sig!C595+BDER_sig!C640+BDER_sig!C662)/1000</f>
        <v>0</v>
      </c>
      <c r="AV47" s="8">
        <f>(BDER_sig!C306+BDER_sig!C328+BDER_sig!C350+BDER_sig!C372)/1000</f>
        <v>0</v>
      </c>
      <c r="AW47" s="8">
        <f>(BDER_sig!C438+BDER_sig!C460)/1000</f>
        <v>0</v>
      </c>
      <c r="AX47" s="11">
        <f t="shared" ref="AX47:AX49" si="111">SUM(AR47:AW47)</f>
        <v>0</v>
      </c>
      <c r="BL47" s="347" t="s">
        <v>20</v>
      </c>
      <c r="BM47" s="351"/>
      <c r="BN47" s="352" t="str">
        <f>IF(CC$3=0,"N.D.",BM47/CC$3)</f>
        <v>N.D.</v>
      </c>
      <c r="BO47" s="351">
        <f>proyeccion!B29</f>
        <v>0</v>
      </c>
      <c r="BP47" s="352" t="str">
        <f>IF(CE$3=0,"N.D.",BO47/CE$3)</f>
        <v>N.D.</v>
      </c>
      <c r="BQ47" s="351">
        <f>proyeccion!G29</f>
        <v>0</v>
      </c>
      <c r="BR47" s="352" t="str">
        <f>IF(CG$3=0,"N.D.",BQ47/CG$3)</f>
        <v>N.D.</v>
      </c>
      <c r="BS47" s="351">
        <f>proyeccion!H29</f>
        <v>0</v>
      </c>
      <c r="BT47" s="352" t="str">
        <f>IF(CI$3=0,"N.D.",BS47/CI$3)</f>
        <v>N.D.</v>
      </c>
      <c r="BU47" s="351">
        <f>proyeccion!E29</f>
        <v>0</v>
      </c>
      <c r="BV47" s="352" t="str">
        <f>IF(CK$3=0,"N.D.",BU47/CK$3)</f>
        <v>N.D.</v>
      </c>
      <c r="BW47" s="351">
        <f>proyeccion!F29</f>
        <v>0</v>
      </c>
      <c r="BX47" s="352" t="str">
        <f>IF(CM$3=0,"N.D.",BW47/CM$3)</f>
        <v>N.D.</v>
      </c>
      <c r="BY47" s="351">
        <f t="shared" si="110"/>
        <v>0</v>
      </c>
      <c r="BZ47" s="352" t="str">
        <f>IF(CO$3=0,"N.D.",BY47/CO$3)</f>
        <v>N.D.</v>
      </c>
    </row>
    <row r="48" spans="1:78" x14ac:dyDescent="0.35">
      <c r="B48" s="7" t="s">
        <v>35</v>
      </c>
      <c r="C48" s="8"/>
      <c r="D48" s="313"/>
      <c r="E48" s="302"/>
      <c r="F48" s="8">
        <f>TablasERxDiv!AA23-BO21</f>
        <v>0</v>
      </c>
      <c r="G48" s="313">
        <f t="shared" si="91"/>
        <v>0</v>
      </c>
      <c r="H48" s="302"/>
      <c r="I48" s="204">
        <f>TablasER!G26-BQ21</f>
        <v>0</v>
      </c>
      <c r="J48" s="313">
        <f t="shared" si="92"/>
        <v>0</v>
      </c>
      <c r="K48" s="302"/>
      <c r="L48" s="204">
        <f>TablasER!I26-BS21</f>
        <v>0</v>
      </c>
      <c r="M48" s="313">
        <f t="shared" si="93"/>
        <v>0</v>
      </c>
      <c r="N48" s="302"/>
      <c r="O48" s="204">
        <f>TablasERxDiv!AT23-BU21</f>
        <v>0</v>
      </c>
      <c r="P48" s="313">
        <f t="shared" si="94"/>
        <v>0</v>
      </c>
      <c r="Q48" s="302"/>
      <c r="R48" s="204">
        <f>TablasERxDiv!BC23-BW21</f>
        <v>0</v>
      </c>
      <c r="S48" s="313">
        <f t="shared" si="95"/>
        <v>0</v>
      </c>
      <c r="T48" s="302"/>
      <c r="U48" s="204">
        <f t="shared" ref="U48:U49" si="112">C48+F48+I48+L48+O48+R48</f>
        <v>0</v>
      </c>
      <c r="V48" s="137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0</v>
      </c>
      <c r="AT48" s="8">
        <f>(BDER_sig!C484+BDER_sig!C507+BDER_sig!C574+BDER_sig!C619)/1000</f>
        <v>0</v>
      </c>
      <c r="AU48" s="8">
        <f>(BDER_sig!C529+BDER_sig!C551+BDER_sig!C596+BDER_sig!C641+BDER_sig!C663)/1000</f>
        <v>0</v>
      </c>
      <c r="AV48" s="8">
        <f>(BDER_sig!C307+BDER_sig!C329+BDER_sig!C351+BDER_sig!C373)/1000</f>
        <v>0</v>
      </c>
      <c r="AW48" s="8">
        <f>(BDER_sig!C439+BDER_sig!C461)/1000</f>
        <v>0</v>
      </c>
      <c r="AX48" s="14">
        <f t="shared" si="111"/>
        <v>0</v>
      </c>
      <c r="BL48" s="344" t="s">
        <v>21</v>
      </c>
      <c r="BM48" s="354"/>
      <c r="BN48" s="355" t="str">
        <f>IF(CC$3=0,"N.D.",BM48/CC$3)</f>
        <v>N.D.</v>
      </c>
      <c r="BO48" s="354">
        <f>BO44-BO46-BO47</f>
        <v>0</v>
      </c>
      <c r="BP48" s="355" t="str">
        <f>IF(CE$3=0,"N.D.",BO48/CE$3)</f>
        <v>N.D.</v>
      </c>
      <c r="BQ48" s="354">
        <f>BQ44-BQ46-BQ47</f>
        <v>0</v>
      </c>
      <c r="BR48" s="355" t="str">
        <f>IF(CG$3=0,"N.D.",BQ48/CG$3)</f>
        <v>N.D.</v>
      </c>
      <c r="BS48" s="354">
        <f>BS44-BS46-BS47</f>
        <v>0</v>
      </c>
      <c r="BT48" s="355" t="str">
        <f>IF(CI$3=0,"N.D.",BS48/CI$3)</f>
        <v>N.D.</v>
      </c>
      <c r="BU48" s="354">
        <f>BU44-BU46-BU47</f>
        <v>0</v>
      </c>
      <c r="BV48" s="355" t="str">
        <f>IF(CK$3=0,"N.D.",BU48/CK$3)</f>
        <v>N.D.</v>
      </c>
      <c r="BW48" s="354">
        <f>BW44-BW46-BW47</f>
        <v>0</v>
      </c>
      <c r="BX48" s="355" t="str">
        <f>IF(CM$3=0,"N.D.",BW48/CM$3)</f>
        <v>N.D.</v>
      </c>
      <c r="BY48" s="354">
        <f t="shared" si="110"/>
        <v>0</v>
      </c>
      <c r="BZ48" s="355" t="str">
        <f>IF(CO$3=0,"N.D.",BY48/CO$3)</f>
        <v>N.D.</v>
      </c>
    </row>
    <row r="49" spans="2:78" x14ac:dyDescent="0.35">
      <c r="B49" s="7" t="s">
        <v>20</v>
      </c>
      <c r="C49" s="34"/>
      <c r="D49" s="304"/>
      <c r="E49" s="302"/>
      <c r="F49" s="34">
        <f>TablasERxDiv!AA24-BO22</f>
        <v>0</v>
      </c>
      <c r="G49" s="304">
        <f t="shared" si="91"/>
        <v>0</v>
      </c>
      <c r="H49" s="302"/>
      <c r="I49" s="207">
        <f>TablasER!G27-BQ22</f>
        <v>0</v>
      </c>
      <c r="J49" s="304">
        <f t="shared" si="92"/>
        <v>0</v>
      </c>
      <c r="K49" s="302"/>
      <c r="L49" s="207">
        <f>TablasER!I27-BS22</f>
        <v>0</v>
      </c>
      <c r="M49" s="304">
        <f t="shared" si="93"/>
        <v>0</v>
      </c>
      <c r="N49" s="302"/>
      <c r="O49" s="207">
        <f>TablasERxDiv!AT24-BU22</f>
        <v>0</v>
      </c>
      <c r="P49" s="304">
        <f t="shared" si="94"/>
        <v>0</v>
      </c>
      <c r="Q49" s="302"/>
      <c r="R49" s="207">
        <f>TablasERxDiv!BC24-BW22</f>
        <v>0</v>
      </c>
      <c r="S49" s="304">
        <f t="shared" si="95"/>
        <v>0</v>
      </c>
      <c r="T49" s="302"/>
      <c r="U49" s="207">
        <f t="shared" si="112"/>
        <v>0</v>
      </c>
      <c r="V49" s="302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0</v>
      </c>
      <c r="AT49" s="8">
        <f>(BDER_sig!C485+BDER_sig!C508+BDER_sig!C575+BDER_sig!C620)/1000</f>
        <v>0</v>
      </c>
      <c r="AU49" s="8">
        <f>(BDER_sig!C530+BDER_sig!C552+BDER_sig!C597+BDER_sig!C642+BDER_sig!C664)/1000</f>
        <v>0</v>
      </c>
      <c r="AV49" s="8">
        <f>(BDER_sig!C308+BDER_sig!C330+BDER_sig!C352+BDER_sig!C374)/1000</f>
        <v>0</v>
      </c>
      <c r="AW49" s="8">
        <f>(BDER_sig!C440+BDER_sig!C462)/1000</f>
        <v>0</v>
      </c>
      <c r="AX49" s="20">
        <f t="shared" si="111"/>
        <v>0</v>
      </c>
      <c r="BL49" s="344" t="s">
        <v>22</v>
      </c>
      <c r="BM49" s="354"/>
      <c r="BN49" s="355" t="str">
        <f>IF(CC$3=0,"N.D.",BM49/CC$3)</f>
        <v>N.D.</v>
      </c>
      <c r="BO49" s="354">
        <f>BO36+BO34</f>
        <v>0</v>
      </c>
      <c r="BP49" s="355" t="str">
        <f>IF(CE$3=0,"N.D.",BO49/CE$3)</f>
        <v>N.D.</v>
      </c>
      <c r="BQ49" s="354">
        <f>BQ36+BQ34</f>
        <v>0</v>
      </c>
      <c r="BR49" s="355" t="str">
        <f>IF(CG$3=0,"N.D.",BQ49/CG$3)</f>
        <v>N.D.</v>
      </c>
      <c r="BS49" s="354">
        <f>BS36+BS34</f>
        <v>0</v>
      </c>
      <c r="BT49" s="355" t="str">
        <f>IF(CI$3=0,"N.D.",BS49/CI$3)</f>
        <v>N.D.</v>
      </c>
      <c r="BU49" s="354">
        <f>BU36+BU34</f>
        <v>0</v>
      </c>
      <c r="BV49" s="355" t="str">
        <f>IF(CK$3=0,"N.D.",BU49/CK$3)</f>
        <v>N.D.</v>
      </c>
      <c r="BW49" s="354">
        <f>BW36+BW34</f>
        <v>0</v>
      </c>
      <c r="BX49" s="355" t="str">
        <f>IF(CM$3=0,"N.D.",BW49/CM$3)</f>
        <v>N.D.</v>
      </c>
      <c r="BY49" s="354">
        <f t="shared" si="110"/>
        <v>0</v>
      </c>
      <c r="BZ49" s="355" t="str">
        <f>IF(CO$3=0,"N.D.",BY49/CO$3)</f>
        <v>N.D.</v>
      </c>
    </row>
    <row r="50" spans="2:78" x14ac:dyDescent="0.35">
      <c r="B50" s="4" t="s">
        <v>21</v>
      </c>
      <c r="C50" s="14"/>
      <c r="D50" s="314"/>
      <c r="E50" s="317"/>
      <c r="F50" s="14">
        <f>TablasERxDiv!AA25-BO23</f>
        <v>0</v>
      </c>
      <c r="G50" s="314">
        <f t="shared" si="91"/>
        <v>0</v>
      </c>
      <c r="H50" s="317"/>
      <c r="I50" s="214">
        <f>TablasER!G28-BQ23</f>
        <v>0</v>
      </c>
      <c r="J50" s="314">
        <f t="shared" si="92"/>
        <v>0</v>
      </c>
      <c r="K50" s="317"/>
      <c r="L50" s="214">
        <f>TablasER!I28-BS23</f>
        <v>0</v>
      </c>
      <c r="M50" s="314">
        <f t="shared" si="93"/>
        <v>0</v>
      </c>
      <c r="N50" s="317"/>
      <c r="O50" s="214">
        <f>TablasERxDiv!AT25-BU23</f>
        <v>0</v>
      </c>
      <c r="P50" s="314">
        <f t="shared" si="94"/>
        <v>0</v>
      </c>
      <c r="Q50" s="317"/>
      <c r="R50" s="214">
        <f>TablasERxDiv!BC25-BW23</f>
        <v>0</v>
      </c>
      <c r="S50" s="314">
        <f t="shared" si="95"/>
        <v>0</v>
      </c>
      <c r="T50" s="317"/>
      <c r="U50" s="214">
        <f>U46-U48-U49</f>
        <v>-1</v>
      </c>
      <c r="V50" s="303">
        <f t="shared" si="97"/>
        <v>0</v>
      </c>
    </row>
    <row r="51" spans="2:78" x14ac:dyDescent="0.35">
      <c r="B51" s="4" t="s">
        <v>22</v>
      </c>
      <c r="C51" s="14"/>
      <c r="D51" s="314"/>
      <c r="E51" s="317"/>
      <c r="F51" s="14">
        <f>TablasERxDiv!AA26-BO24</f>
        <v>0</v>
      </c>
      <c r="G51" s="314">
        <f>IFERROR(F51/BO24,0)</f>
        <v>0</v>
      </c>
      <c r="H51" s="317"/>
      <c r="I51" s="214">
        <f>TablasER!G29-BQ24</f>
        <v>0</v>
      </c>
      <c r="J51" s="314">
        <f t="shared" si="92"/>
        <v>0</v>
      </c>
      <c r="K51" s="317"/>
      <c r="L51" s="214">
        <f>TablasER!I29-BS24</f>
        <v>0</v>
      </c>
      <c r="M51" s="314">
        <f t="shared" si="93"/>
        <v>0</v>
      </c>
      <c r="N51" s="317"/>
      <c r="O51" s="214">
        <f>TablasERxDiv!AT26-BU24</f>
        <v>0</v>
      </c>
      <c r="P51" s="314">
        <f t="shared" si="94"/>
        <v>0</v>
      </c>
      <c r="Q51" s="317"/>
      <c r="R51" s="214">
        <f>TablasERxDiv!BC26-BW24</f>
        <v>0</v>
      </c>
      <c r="S51" s="314">
        <f t="shared" si="95"/>
        <v>0</v>
      </c>
      <c r="T51" s="317"/>
      <c r="U51" s="214">
        <f>+U38+U36</f>
        <v>0</v>
      </c>
      <c r="V51" s="303">
        <f t="shared" si="97"/>
        <v>0</v>
      </c>
    </row>
    <row r="52" spans="2:78" x14ac:dyDescent="0.35">
      <c r="U52" s="25" t="s">
        <v>413</v>
      </c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topLeftCell="E1" workbookViewId="0">
      <selection activeCell="K10" sqref="K10:L10"/>
    </sheetView>
  </sheetViews>
  <sheetFormatPr baseColWidth="10" defaultRowHeight="14.5" x14ac:dyDescent="0.35"/>
  <cols>
    <col min="9" max="9" width="0.6328125" style="300" customWidth="1"/>
  </cols>
  <sheetData>
    <row r="1" spans="1:12" x14ac:dyDescent="0.35">
      <c r="A1" s="297" t="s">
        <v>388</v>
      </c>
      <c r="B1" s="296" t="s">
        <v>378</v>
      </c>
      <c r="C1" s="296" t="s">
        <v>379</v>
      </c>
      <c r="D1" s="296" t="s">
        <v>380</v>
      </c>
      <c r="E1" s="296" t="s">
        <v>381</v>
      </c>
      <c r="F1" s="296" t="s">
        <v>382</v>
      </c>
      <c r="G1" s="296" t="s">
        <v>383</v>
      </c>
      <c r="H1" s="296" t="s">
        <v>386</v>
      </c>
      <c r="J1" s="296" t="s">
        <v>392</v>
      </c>
      <c r="K1" s="296" t="s">
        <v>387</v>
      </c>
      <c r="L1" s="296" t="s">
        <v>390</v>
      </c>
    </row>
    <row r="2" spans="1:12" x14ac:dyDescent="0.35">
      <c r="A2" t="s">
        <v>373</v>
      </c>
      <c r="J2">
        <v>1</v>
      </c>
      <c r="K2">
        <v>1</v>
      </c>
      <c r="L2">
        <v>1</v>
      </c>
    </row>
    <row r="3" spans="1:12" x14ac:dyDescent="0.35">
      <c r="A3" t="s">
        <v>374</v>
      </c>
    </row>
    <row r="4" spans="1:12" x14ac:dyDescent="0.35">
      <c r="A4" t="s">
        <v>375</v>
      </c>
    </row>
    <row r="5" spans="1:12" x14ac:dyDescent="0.35">
      <c r="A5" t="s">
        <v>376</v>
      </c>
    </row>
    <row r="6" spans="1:12" x14ac:dyDescent="0.35">
      <c r="A6" t="s">
        <v>384</v>
      </c>
    </row>
    <row r="7" spans="1:12" x14ac:dyDescent="0.35">
      <c r="A7" t="s">
        <v>385</v>
      </c>
    </row>
    <row r="8" spans="1:12" x14ac:dyDescent="0.35">
      <c r="A8" t="s">
        <v>377</v>
      </c>
    </row>
    <row r="9" spans="1:12" x14ac:dyDescent="0.35">
      <c r="A9" s="297" t="s">
        <v>389</v>
      </c>
      <c r="B9" s="296"/>
      <c r="C9" s="296"/>
      <c r="D9" s="296"/>
      <c r="E9" s="296"/>
      <c r="F9" s="296"/>
      <c r="G9" s="296"/>
      <c r="H9" s="296"/>
    </row>
    <row r="10" spans="1:12" x14ac:dyDescent="0.35">
      <c r="A10" t="s">
        <v>373</v>
      </c>
      <c r="J10">
        <v>1</v>
      </c>
      <c r="K10">
        <v>1</v>
      </c>
      <c r="L10">
        <v>1</v>
      </c>
    </row>
    <row r="11" spans="1:12" x14ac:dyDescent="0.35">
      <c r="A11" t="s">
        <v>374</v>
      </c>
    </row>
    <row r="12" spans="1:12" x14ac:dyDescent="0.35">
      <c r="A12" t="s">
        <v>375</v>
      </c>
    </row>
    <row r="13" spans="1:12" x14ac:dyDescent="0.35">
      <c r="A13" t="s">
        <v>376</v>
      </c>
    </row>
    <row r="14" spans="1:12" x14ac:dyDescent="0.35">
      <c r="A14" t="s">
        <v>384</v>
      </c>
    </row>
    <row r="15" spans="1:12" x14ac:dyDescent="0.35">
      <c r="A15" t="s">
        <v>385</v>
      </c>
    </row>
    <row r="16" spans="1:12" x14ac:dyDescent="0.35">
      <c r="A16" t="s">
        <v>377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D30"/>
  <sheetViews>
    <sheetView zoomScaleNormal="100" workbookViewId="0">
      <pane xSplit="1" topLeftCell="B1" activePane="topRight" state="frozen"/>
      <selection activeCell="A11" sqref="A11"/>
      <selection pane="topRight" activeCell="C3" sqref="C3"/>
    </sheetView>
  </sheetViews>
  <sheetFormatPr baseColWidth="10" defaultRowHeight="14.5" x14ac:dyDescent="0.35"/>
  <cols>
    <col min="1" max="1" width="16.81640625" bestFit="1" customWidth="1"/>
  </cols>
  <sheetData>
    <row r="1" spans="1:30" x14ac:dyDescent="0.35">
      <c r="A1" s="26" t="s">
        <v>106</v>
      </c>
      <c r="B1" s="2" t="s">
        <v>137</v>
      </c>
      <c r="C1" s="2" t="s">
        <v>138</v>
      </c>
      <c r="D1" s="2" t="s">
        <v>139</v>
      </c>
      <c r="E1" s="2" t="s">
        <v>140</v>
      </c>
      <c r="F1" s="2" t="s">
        <v>145</v>
      </c>
      <c r="G1" s="2" t="s">
        <v>146</v>
      </c>
      <c r="H1" s="2" t="s">
        <v>147</v>
      </c>
      <c r="I1" s="2" t="s">
        <v>148</v>
      </c>
      <c r="J1" s="2" t="s">
        <v>149</v>
      </c>
      <c r="K1" s="2" t="s">
        <v>150</v>
      </c>
      <c r="L1" s="2" t="s">
        <v>153</v>
      </c>
      <c r="M1" s="2" t="s">
        <v>154</v>
      </c>
      <c r="N1" s="2" t="s">
        <v>155</v>
      </c>
      <c r="O1" s="2" t="s">
        <v>156</v>
      </c>
      <c r="P1" s="2" t="s">
        <v>157</v>
      </c>
      <c r="Q1" s="2" t="s">
        <v>158</v>
      </c>
      <c r="R1" s="2" t="s">
        <v>159</v>
      </c>
      <c r="S1" s="2" t="s">
        <v>161</v>
      </c>
      <c r="T1" s="2" t="s">
        <v>162</v>
      </c>
      <c r="U1" s="2" t="s">
        <v>180</v>
      </c>
      <c r="V1" s="2" t="s">
        <v>181</v>
      </c>
      <c r="W1" s="2" t="s">
        <v>182</v>
      </c>
      <c r="X1" s="2" t="s">
        <v>183</v>
      </c>
      <c r="Y1" s="2" t="s">
        <v>184</v>
      </c>
      <c r="Z1" s="2" t="s">
        <v>187</v>
      </c>
      <c r="AA1" s="2" t="s">
        <v>188</v>
      </c>
      <c r="AB1" s="2" t="s">
        <v>189</v>
      </c>
      <c r="AC1" s="2" t="s">
        <v>190</v>
      </c>
      <c r="AD1" s="2" t="s">
        <v>191</v>
      </c>
    </row>
    <row r="2" spans="1:30" x14ac:dyDescent="0.35">
      <c r="A2" s="7" t="s">
        <v>372</v>
      </c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5"/>
      <c r="S2" s="295"/>
      <c r="T2" s="295"/>
      <c r="U2" s="295"/>
      <c r="V2" s="295"/>
      <c r="W2" s="295"/>
    </row>
    <row r="3" spans="1:30" x14ac:dyDescent="0.35">
      <c r="A3" s="7" t="s">
        <v>5</v>
      </c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  <c r="M3" s="295"/>
      <c r="N3" s="295"/>
      <c r="O3" s="295"/>
      <c r="P3" s="295"/>
      <c r="Q3" s="295"/>
      <c r="R3" s="295"/>
      <c r="S3" s="295"/>
      <c r="T3" s="295"/>
      <c r="U3" s="295"/>
      <c r="V3" s="295"/>
      <c r="W3" s="295"/>
    </row>
    <row r="4" spans="1:30" x14ac:dyDescent="0.35">
      <c r="A4" s="7" t="s">
        <v>6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5"/>
      <c r="V4" s="295"/>
      <c r="W4" s="295"/>
    </row>
    <row r="5" spans="1:30" x14ac:dyDescent="0.35">
      <c r="A5" s="7" t="s">
        <v>8</v>
      </c>
      <c r="B5" s="295"/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5"/>
      <c r="V5" s="295"/>
      <c r="W5" s="295"/>
    </row>
    <row r="6" spans="1:30" x14ac:dyDescent="0.35">
      <c r="A6" s="7" t="s">
        <v>9</v>
      </c>
      <c r="B6" s="295"/>
      <c r="C6" s="295"/>
      <c r="D6" s="295"/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</row>
    <row r="7" spans="1:30" x14ac:dyDescent="0.35">
      <c r="A7" s="7" t="s">
        <v>10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</row>
    <row r="8" spans="1:30" x14ac:dyDescent="0.35">
      <c r="A8" s="7" t="s">
        <v>13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</row>
    <row r="9" spans="1:30" x14ac:dyDescent="0.35">
      <c r="A9" s="7" t="s">
        <v>14</v>
      </c>
      <c r="B9" s="295"/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</row>
    <row r="10" spans="1:30" x14ac:dyDescent="0.35">
      <c r="A10" s="7" t="s">
        <v>15</v>
      </c>
      <c r="B10" s="295"/>
      <c r="C10" s="295"/>
      <c r="D10" s="295"/>
      <c r="E10" s="295"/>
      <c r="F10" s="295"/>
      <c r="G10" s="295"/>
      <c r="H10" s="295"/>
      <c r="I10" s="295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</row>
    <row r="11" spans="1:30" x14ac:dyDescent="0.35">
      <c r="A11" s="7" t="s">
        <v>16</v>
      </c>
      <c r="B11" s="295"/>
      <c r="C11" s="295"/>
      <c r="D11" s="295"/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</row>
    <row r="12" spans="1:30" x14ac:dyDescent="0.35">
      <c r="A12" s="7" t="s">
        <v>144</v>
      </c>
      <c r="B12" s="295"/>
      <c r="C12" s="295"/>
      <c r="D12" s="295"/>
      <c r="E12" s="295"/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5"/>
      <c r="V12" s="295"/>
      <c r="W12" s="295"/>
    </row>
    <row r="13" spans="1:30" x14ac:dyDescent="0.35">
      <c r="A13" s="7" t="s">
        <v>19</v>
      </c>
      <c r="B13" s="295"/>
      <c r="C13" s="295"/>
      <c r="D13" s="295"/>
      <c r="E13" s="295"/>
      <c r="F13" s="295"/>
      <c r="G13" s="295"/>
      <c r="H13" s="295"/>
      <c r="I13" s="295"/>
      <c r="J13" s="295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5"/>
      <c r="V13" s="295"/>
      <c r="W13" s="295"/>
    </row>
    <row r="14" spans="1:30" x14ac:dyDescent="0.35">
      <c r="A14" s="7" t="s">
        <v>43</v>
      </c>
      <c r="B14" s="295"/>
      <c r="C14" s="295"/>
      <c r="D14" s="295"/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95"/>
      <c r="W14" s="295"/>
    </row>
    <row r="15" spans="1:30" x14ac:dyDescent="0.35">
      <c r="A15" s="7" t="s">
        <v>292</v>
      </c>
      <c r="B15" s="295"/>
      <c r="C15" s="295"/>
      <c r="D15" s="295"/>
      <c r="E15" s="295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Q15" s="295"/>
      <c r="R15" s="295"/>
      <c r="S15" s="295"/>
      <c r="T15" s="295"/>
      <c r="U15" s="295"/>
      <c r="V15" s="295"/>
      <c r="W15" s="295"/>
    </row>
    <row r="16" spans="1:30" x14ac:dyDescent="0.35">
      <c r="A16" s="26" t="s">
        <v>71</v>
      </c>
    </row>
    <row r="17" spans="1:23" x14ac:dyDescent="0.35">
      <c r="A17" s="7" t="s">
        <v>372</v>
      </c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295"/>
      <c r="T17" s="295"/>
      <c r="U17" s="295"/>
      <c r="V17" s="295"/>
      <c r="W17" s="295"/>
    </row>
    <row r="18" spans="1:23" x14ac:dyDescent="0.35">
      <c r="A18" s="7" t="s">
        <v>5</v>
      </c>
      <c r="B18" s="295"/>
      <c r="C18" s="295"/>
      <c r="D18" s="295"/>
      <c r="E18" s="295"/>
      <c r="F18" s="295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295"/>
      <c r="V18" s="295"/>
      <c r="W18" s="295"/>
    </row>
    <row r="19" spans="1:23" x14ac:dyDescent="0.35">
      <c r="A19" s="7" t="s">
        <v>6</v>
      </c>
      <c r="B19" s="295"/>
      <c r="C19" s="295"/>
      <c r="D19" s="295"/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</row>
    <row r="20" spans="1:23" x14ac:dyDescent="0.35">
      <c r="A20" s="7" t="s">
        <v>8</v>
      </c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95"/>
      <c r="W20" s="295"/>
    </row>
    <row r="21" spans="1:23" x14ac:dyDescent="0.35">
      <c r="A21" s="7" t="s">
        <v>9</v>
      </c>
      <c r="B21" s="295"/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  <c r="O21" s="295"/>
      <c r="P21" s="295"/>
      <c r="Q21" s="295"/>
      <c r="R21" s="295"/>
      <c r="S21" s="295"/>
      <c r="T21" s="295"/>
      <c r="U21" s="295"/>
      <c r="V21" s="295"/>
      <c r="W21" s="295"/>
    </row>
    <row r="22" spans="1:23" x14ac:dyDescent="0.35">
      <c r="A22" s="7" t="s">
        <v>10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  <c r="V22" s="295"/>
      <c r="W22" s="295"/>
    </row>
    <row r="23" spans="1:23" x14ac:dyDescent="0.35">
      <c r="A23" s="7" t="s">
        <v>13</v>
      </c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5"/>
      <c r="T23" s="295"/>
      <c r="U23" s="295"/>
      <c r="V23" s="295"/>
      <c r="W23" s="295"/>
    </row>
    <row r="24" spans="1:23" x14ac:dyDescent="0.35">
      <c r="A24" s="7" t="s">
        <v>14</v>
      </c>
      <c r="B24" s="295"/>
      <c r="C24" s="295"/>
      <c r="D24" s="295"/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5"/>
      <c r="T24" s="295"/>
      <c r="U24" s="295"/>
      <c r="V24" s="295"/>
      <c r="W24" s="295"/>
    </row>
    <row r="25" spans="1:23" x14ac:dyDescent="0.35">
      <c r="A25" s="7" t="s">
        <v>15</v>
      </c>
      <c r="B25" s="295"/>
      <c r="C25" s="295"/>
      <c r="D25" s="295"/>
      <c r="E25" s="295"/>
      <c r="F25" s="295"/>
      <c r="G25" s="295"/>
      <c r="H25" s="295"/>
      <c r="I25" s="295"/>
      <c r="J25" s="295"/>
      <c r="K25" s="295"/>
      <c r="L25" s="295"/>
      <c r="M25" s="295"/>
      <c r="N25" s="295"/>
      <c r="O25" s="295"/>
      <c r="P25" s="295"/>
      <c r="Q25" s="295"/>
      <c r="R25" s="295"/>
      <c r="S25" s="295"/>
      <c r="T25" s="295"/>
      <c r="U25" s="295"/>
      <c r="V25" s="295"/>
      <c r="W25" s="295"/>
    </row>
    <row r="26" spans="1:23" x14ac:dyDescent="0.35">
      <c r="A26" s="7" t="s">
        <v>16</v>
      </c>
      <c r="B26" s="295"/>
      <c r="C26" s="295"/>
      <c r="D26" s="295"/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5"/>
      <c r="U26" s="295"/>
      <c r="V26" s="295"/>
      <c r="W26" s="295"/>
    </row>
    <row r="27" spans="1:23" x14ac:dyDescent="0.35">
      <c r="A27" s="7" t="s">
        <v>144</v>
      </c>
      <c r="B27" s="295"/>
      <c r="C27" s="295"/>
      <c r="D27" s="295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</row>
    <row r="28" spans="1:23" x14ac:dyDescent="0.35">
      <c r="A28" s="7" t="s">
        <v>19</v>
      </c>
      <c r="B28" s="295"/>
      <c r="C28" s="295"/>
      <c r="D28" s="295"/>
      <c r="E28" s="295"/>
      <c r="F28" s="295"/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</row>
    <row r="29" spans="1:23" x14ac:dyDescent="0.35">
      <c r="A29" s="7" t="s">
        <v>43</v>
      </c>
      <c r="B29" s="295"/>
      <c r="C29" s="295"/>
      <c r="D29" s="295"/>
      <c r="E29" s="295"/>
      <c r="F29" s="295"/>
      <c r="G29" s="295"/>
      <c r="H29" s="295"/>
      <c r="I29" s="295"/>
      <c r="J29" s="295"/>
      <c r="K29" s="295"/>
      <c r="L29" s="295"/>
      <c r="M29" s="295"/>
      <c r="N29" s="295"/>
      <c r="O29" s="295"/>
      <c r="P29" s="295"/>
      <c r="Q29" s="295"/>
      <c r="R29" s="295"/>
      <c r="S29" s="295"/>
      <c r="T29" s="295"/>
      <c r="U29" s="295"/>
      <c r="V29" s="295"/>
      <c r="W29" s="295"/>
    </row>
    <row r="30" spans="1:23" x14ac:dyDescent="0.35">
      <c r="A30" s="7" t="s">
        <v>292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C3" sqref="C3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398</v>
      </c>
      <c r="B1" s="26" t="s">
        <v>378</v>
      </c>
      <c r="C1" s="26" t="s">
        <v>379</v>
      </c>
      <c r="D1" s="26" t="s">
        <v>380</v>
      </c>
      <c r="E1" s="26" t="s">
        <v>408</v>
      </c>
      <c r="F1" s="26" t="s">
        <v>382</v>
      </c>
      <c r="G1" s="26" t="s">
        <v>383</v>
      </c>
      <c r="H1" s="26" t="s">
        <v>386</v>
      </c>
      <c r="I1" s="26" t="s">
        <v>400</v>
      </c>
      <c r="J1" s="26" t="s">
        <v>378</v>
      </c>
      <c r="K1" s="26" t="s">
        <v>379</v>
      </c>
      <c r="L1" s="26" t="s">
        <v>380</v>
      </c>
      <c r="M1" s="26" t="s">
        <v>381</v>
      </c>
      <c r="N1" s="26" t="s">
        <v>382</v>
      </c>
      <c r="O1" s="26" t="s">
        <v>383</v>
      </c>
      <c r="P1" s="26" t="s">
        <v>386</v>
      </c>
      <c r="Q1" s="26" t="s">
        <v>401</v>
      </c>
      <c r="R1" s="26" t="s">
        <v>378</v>
      </c>
      <c r="S1" s="26" t="s">
        <v>379</v>
      </c>
      <c r="T1" s="26" t="s">
        <v>380</v>
      </c>
      <c r="U1" s="26" t="s">
        <v>381</v>
      </c>
      <c r="V1" s="26" t="s">
        <v>382</v>
      </c>
      <c r="W1" s="26" t="s">
        <v>383</v>
      </c>
      <c r="X1" s="26" t="s">
        <v>386</v>
      </c>
    </row>
    <row r="2" spans="1:24" x14ac:dyDescent="0.35">
      <c r="A2" s="7" t="s">
        <v>372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144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292</v>
      </c>
    </row>
    <row r="16" spans="1:24" x14ac:dyDescent="0.35">
      <c r="A16" s="26" t="s">
        <v>399</v>
      </c>
    </row>
    <row r="17" spans="1:1" x14ac:dyDescent="0.35">
      <c r="A17" s="7" t="s">
        <v>372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144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AD5" sqref="AD5"/>
    </sheetView>
  </sheetViews>
  <sheetFormatPr baseColWidth="10" defaultRowHeight="14.5" x14ac:dyDescent="0.35"/>
  <sheetData>
    <row r="3" spans="2:29" x14ac:dyDescent="0.35">
      <c r="B3" s="287" t="s">
        <v>337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7" t="s">
        <v>338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9" t="s">
        <v>339</v>
      </c>
      <c r="C4" s="269" t="s">
        <v>340</v>
      </c>
      <c r="D4" s="269" t="s">
        <v>341</v>
      </c>
      <c r="E4" s="269" t="s">
        <v>342</v>
      </c>
      <c r="F4" s="269" t="s">
        <v>343</v>
      </c>
      <c r="G4" s="269" t="s">
        <v>344</v>
      </c>
      <c r="H4" s="269" t="s">
        <v>345</v>
      </c>
      <c r="I4" s="269" t="s">
        <v>346</v>
      </c>
      <c r="J4" s="269" t="s">
        <v>347</v>
      </c>
      <c r="K4" s="269" t="s">
        <v>348</v>
      </c>
      <c r="L4" s="269" t="s">
        <v>349</v>
      </c>
      <c r="M4" s="269" t="s">
        <v>350</v>
      </c>
      <c r="N4" s="269" t="s">
        <v>351</v>
      </c>
      <c r="O4" s="25"/>
      <c r="P4" s="40"/>
      <c r="Q4" s="269" t="s">
        <v>339</v>
      </c>
      <c r="R4" s="269" t="s">
        <v>340</v>
      </c>
      <c r="S4" s="269" t="s">
        <v>341</v>
      </c>
      <c r="T4" s="269" t="s">
        <v>342</v>
      </c>
      <c r="U4" s="269" t="s">
        <v>343</v>
      </c>
      <c r="V4" s="269" t="s">
        <v>344</v>
      </c>
      <c r="W4" s="269" t="s">
        <v>345</v>
      </c>
      <c r="X4" s="269" t="s">
        <v>346</v>
      </c>
      <c r="Y4" s="269" t="s">
        <v>347</v>
      </c>
      <c r="Z4" s="269" t="s">
        <v>348</v>
      </c>
      <c r="AA4" s="269" t="s">
        <v>349</v>
      </c>
      <c r="AB4" s="269" t="s">
        <v>350</v>
      </c>
      <c r="AC4" s="269" t="s">
        <v>351</v>
      </c>
    </row>
    <row r="5" spans="2:29" x14ac:dyDescent="0.35"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0</v>
      </c>
      <c r="O5" s="40"/>
      <c r="P5" s="25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0</v>
      </c>
    </row>
    <row r="6" spans="2:29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0</v>
      </c>
      <c r="O6" s="25"/>
      <c r="P6" s="25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0</v>
      </c>
      <c r="O7" s="25"/>
      <c r="P7" s="25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0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0</v>
      </c>
      <c r="O9" s="25"/>
      <c r="P9" s="25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0</v>
      </c>
    </row>
    <row r="10" spans="2:29" x14ac:dyDescent="0.3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0</v>
      </c>
      <c r="O10" s="25"/>
      <c r="P10" s="25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0</v>
      </c>
    </row>
    <row r="11" spans="2:29" x14ac:dyDescent="0.3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0</v>
      </c>
      <c r="O11" s="25"/>
      <c r="P11" s="25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0</v>
      </c>
    </row>
    <row r="12" spans="2:29" x14ac:dyDescent="0.35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0</v>
      </c>
      <c r="O12" s="25"/>
      <c r="P12" s="25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0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0</v>
      </c>
      <c r="O14" s="25"/>
      <c r="P14" s="288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0</v>
      </c>
    </row>
    <row r="15" spans="2:29" x14ac:dyDescent="0.35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8"/>
      <c r="P15" s="28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8"/>
      <c r="P16" s="25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0</v>
      </c>
      <c r="O17" s="25"/>
      <c r="P17" s="25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0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0</v>
      </c>
      <c r="O20" s="25"/>
      <c r="P20" s="25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0</v>
      </c>
    </row>
    <row r="21" spans="2:29" x14ac:dyDescent="0.3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0</v>
      </c>
    </row>
    <row r="22" spans="2:29" x14ac:dyDescent="0.3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0</v>
      </c>
      <c r="O24" s="25"/>
      <c r="P24" s="25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0</v>
      </c>
    </row>
    <row r="25" spans="2:29" x14ac:dyDescent="0.3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0</v>
      </c>
      <c r="O25" s="25"/>
      <c r="P25" s="25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0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0</v>
      </c>
      <c r="O29" s="25"/>
      <c r="P29" s="25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0</v>
      </c>
    </row>
    <row r="30" spans="2:29" x14ac:dyDescent="0.35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0</v>
      </c>
      <c r="O30" s="25"/>
      <c r="P30" s="25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0</v>
      </c>
    </row>
    <row r="31" spans="2:29" x14ac:dyDescent="0.35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0</v>
      </c>
      <c r="O31" s="25"/>
      <c r="P31" s="288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0</v>
      </c>
    </row>
    <row r="32" spans="2:29" x14ac:dyDescent="0.35">
      <c r="B32" s="289"/>
      <c r="C32" s="289"/>
      <c r="D32" s="289"/>
      <c r="E32" s="289"/>
      <c r="F32" s="289"/>
      <c r="G32" s="289"/>
      <c r="H32" s="289"/>
      <c r="I32" s="289"/>
      <c r="J32" s="289"/>
      <c r="K32" s="289"/>
      <c r="L32" s="289"/>
      <c r="M32" s="289"/>
      <c r="N32" s="289">
        <f>SUM(B32:CHOOSE(MONTH(Mes_cierre),B32,C32,D32,E32,F32,G32,H32,I32,J32,K32,L32,M32))</f>
        <v>0</v>
      </c>
      <c r="O32" s="288"/>
      <c r="P32" s="25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>
        <f>SUM(Q32:CHOOSE(MONTH(Mes_cierre),Q32,R32,S32,T32,U32,V32,W32,X32,Y32,Z32,AA32,AB32))</f>
        <v>0</v>
      </c>
    </row>
    <row r="33" spans="2:29" x14ac:dyDescent="0.35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0</v>
      </c>
      <c r="O33" s="25"/>
      <c r="P33" s="288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0</v>
      </c>
    </row>
    <row r="34" spans="2:29" x14ac:dyDescent="0.3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>
        <f>SUM(B34:CHOOSE(MONTH(Mes_cierre),B34,C34,D34,E34,F34,G34,H34,I34,J34,K34,L34,M34))</f>
        <v>0</v>
      </c>
      <c r="O34" s="288"/>
      <c r="P34" s="288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>
        <f>SUM(Q34:CHOOSE(MONTH(Mes_cierre),Q34,R34,S34,T34,U34,V34,W34,X34,Y34,Z34,AA34,AB34))</f>
        <v>0</v>
      </c>
    </row>
    <row r="35" spans="2:29" x14ac:dyDescent="0.35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0</v>
      </c>
      <c r="O35" s="25"/>
      <c r="P35" s="287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0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7" t="s">
        <v>363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7" t="s">
        <v>365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9" t="s">
        <v>352</v>
      </c>
      <c r="C39" s="269" t="s">
        <v>353</v>
      </c>
      <c r="D39" s="269" t="s">
        <v>354</v>
      </c>
      <c r="E39" s="269" t="s">
        <v>355</v>
      </c>
      <c r="F39" s="269" t="s">
        <v>343</v>
      </c>
      <c r="G39" s="269" t="s">
        <v>356</v>
      </c>
      <c r="H39" s="269" t="s">
        <v>357</v>
      </c>
      <c r="I39" s="269" t="s">
        <v>358</v>
      </c>
      <c r="J39" s="269" t="s">
        <v>359</v>
      </c>
      <c r="K39" s="269" t="s">
        <v>360</v>
      </c>
      <c r="L39" s="269" t="s">
        <v>361</v>
      </c>
      <c r="M39" s="269" t="s">
        <v>362</v>
      </c>
      <c r="N39" s="269" t="s">
        <v>351</v>
      </c>
      <c r="O39" s="25"/>
      <c r="P39" s="25"/>
      <c r="Q39" s="269" t="s">
        <v>352</v>
      </c>
      <c r="R39" s="269" t="s">
        <v>353</v>
      </c>
      <c r="S39" s="269" t="s">
        <v>354</v>
      </c>
      <c r="T39" s="269" t="s">
        <v>355</v>
      </c>
      <c r="U39" s="269" t="s">
        <v>343</v>
      </c>
      <c r="V39" s="269" t="s">
        <v>356</v>
      </c>
      <c r="W39" s="269" t="s">
        <v>357</v>
      </c>
      <c r="X39" s="269" t="s">
        <v>358</v>
      </c>
      <c r="Y39" s="269" t="s">
        <v>359</v>
      </c>
      <c r="Z39" s="269" t="s">
        <v>360</v>
      </c>
      <c r="AA39" s="269" t="s">
        <v>361</v>
      </c>
      <c r="AB39" s="269" t="s">
        <v>362</v>
      </c>
      <c r="AC39" s="269" t="s">
        <v>351</v>
      </c>
    </row>
    <row r="40" spans="2:29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0</v>
      </c>
      <c r="O40" s="25"/>
      <c r="P40" s="25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0</v>
      </c>
    </row>
    <row r="41" spans="2:29" x14ac:dyDescent="0.3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0</v>
      </c>
      <c r="O41" s="25"/>
      <c r="P41" s="25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0</v>
      </c>
      <c r="O42" s="25"/>
      <c r="P42" s="25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0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0</v>
      </c>
      <c r="O44" s="25"/>
      <c r="P44" s="25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0</v>
      </c>
    </row>
    <row r="45" spans="2:29" x14ac:dyDescent="0.35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0</v>
      </c>
      <c r="O45" s="25"/>
      <c r="P45" s="25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0</v>
      </c>
      <c r="O46" s="25"/>
      <c r="P46" s="25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0</v>
      </c>
    </row>
    <row r="47" spans="2:29" x14ac:dyDescent="0.3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0</v>
      </c>
      <c r="O47" s="25"/>
      <c r="P47" s="25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0</v>
      </c>
    </row>
    <row r="48" spans="2:29" x14ac:dyDescent="0.3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0</v>
      </c>
      <c r="O48" s="25"/>
      <c r="P48" s="25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0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0</v>
      </c>
      <c r="O51" s="25"/>
      <c r="P51" s="2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0</v>
      </c>
      <c r="O52" s="25"/>
      <c r="P52" s="2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0</v>
      </c>
    </row>
    <row r="53" spans="2:29" x14ac:dyDescent="0.35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90"/>
      <c r="C55" s="290"/>
      <c r="D55" s="290"/>
      <c r="E55" s="290"/>
      <c r="F55" s="290"/>
      <c r="G55" s="290"/>
      <c r="H55" s="290"/>
      <c r="I55" s="290"/>
      <c r="J55" s="290"/>
      <c r="K55" s="290"/>
      <c r="L55" s="290"/>
      <c r="M55" s="290"/>
      <c r="N55" s="290">
        <f>SUM(B55:CHOOSE(MONTH(Mes_cierre),B55,C55,D55,E55,F55,G55,H55,I55,J55,K55,L55,M55))</f>
        <v>0</v>
      </c>
      <c r="O55" s="25"/>
      <c r="P55" s="25"/>
      <c r="Q55" s="290"/>
      <c r="R55" s="290"/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>
        <f>SUM(Q55:CHOOSE(MONTH(Mes_cierre),Q55,R55,S55,T55,U55,V55,W55,X55,Y55,Z55,AA55,AB55))</f>
        <v>0</v>
      </c>
    </row>
    <row r="56" spans="2:29" x14ac:dyDescent="0.3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0</v>
      </c>
      <c r="O56" s="25"/>
      <c r="P56" s="25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0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0</v>
      </c>
      <c r="O60" s="25"/>
      <c r="P60" s="25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0</v>
      </c>
    </row>
    <row r="61" spans="2:29" x14ac:dyDescent="0.35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0</v>
      </c>
      <c r="O61" s="25"/>
      <c r="P61" s="25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0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7" t="s">
        <v>364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7" t="s">
        <v>366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9" t="s">
        <v>352</v>
      </c>
      <c r="C65" s="269" t="s">
        <v>353</v>
      </c>
      <c r="D65" s="269" t="s">
        <v>354</v>
      </c>
      <c r="E65" s="269" t="s">
        <v>355</v>
      </c>
      <c r="F65" s="269" t="s">
        <v>343</v>
      </c>
      <c r="G65" s="269" t="s">
        <v>356</v>
      </c>
      <c r="H65" s="269" t="s">
        <v>357</v>
      </c>
      <c r="I65" s="269" t="s">
        <v>358</v>
      </c>
      <c r="J65" s="269" t="s">
        <v>359</v>
      </c>
      <c r="K65" s="269" t="s">
        <v>360</v>
      </c>
      <c r="L65" s="269" t="s">
        <v>361</v>
      </c>
      <c r="M65" s="269" t="s">
        <v>362</v>
      </c>
      <c r="N65" s="269" t="s">
        <v>351</v>
      </c>
      <c r="O65" s="25"/>
      <c r="P65" s="25"/>
      <c r="Q65" s="269" t="s">
        <v>27</v>
      </c>
      <c r="R65" s="269" t="s">
        <v>27</v>
      </c>
      <c r="S65" s="269" t="s">
        <v>27</v>
      </c>
      <c r="T65" s="269" t="s">
        <v>27</v>
      </c>
      <c r="U65" s="269" t="s">
        <v>27</v>
      </c>
      <c r="V65" s="269" t="s">
        <v>356</v>
      </c>
      <c r="W65" s="269" t="s">
        <v>357</v>
      </c>
      <c r="X65" s="269" t="s">
        <v>358</v>
      </c>
      <c r="Y65" s="269" t="s">
        <v>359</v>
      </c>
      <c r="Z65" s="269" t="s">
        <v>360</v>
      </c>
      <c r="AA65" s="269" t="s">
        <v>361</v>
      </c>
      <c r="AB65" s="269" t="s">
        <v>362</v>
      </c>
      <c r="AC65" s="269" t="s">
        <v>351</v>
      </c>
    </row>
    <row r="66" spans="2:29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0</v>
      </c>
      <c r="O66" s="25"/>
      <c r="P66" s="25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0</v>
      </c>
    </row>
    <row r="67" spans="2:29" x14ac:dyDescent="0.3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0</v>
      </c>
      <c r="O67" s="25"/>
      <c r="P67" s="25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0</v>
      </c>
      <c r="O68" s="25"/>
      <c r="P68" s="25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0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0</v>
      </c>
      <c r="O70" s="25"/>
      <c r="P70" s="25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0</v>
      </c>
    </row>
    <row r="71" spans="2:29" x14ac:dyDescent="0.3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0</v>
      </c>
      <c r="O71" s="25"/>
      <c r="P71" s="25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0</v>
      </c>
    </row>
    <row r="72" spans="2:29" x14ac:dyDescent="0.3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0</v>
      </c>
      <c r="O72" s="25"/>
      <c r="P72" s="25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0</v>
      </c>
    </row>
    <row r="73" spans="2:29" x14ac:dyDescent="0.3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0</v>
      </c>
      <c r="O73" s="25"/>
      <c r="P73" s="25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0</v>
      </c>
    </row>
    <row r="74" spans="2:29" x14ac:dyDescent="0.35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0</v>
      </c>
      <c r="O74" s="25"/>
      <c r="P74" s="25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0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0</v>
      </c>
      <c r="O77" s="25"/>
      <c r="P77" s="25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0</v>
      </c>
    </row>
    <row r="78" spans="2:29" x14ac:dyDescent="0.3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0</v>
      </c>
      <c r="O78" s="25"/>
      <c r="P78" s="25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0</v>
      </c>
    </row>
    <row r="79" spans="2:29" x14ac:dyDescent="0.3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90"/>
      <c r="C81" s="290"/>
      <c r="D81" s="290"/>
      <c r="E81" s="290"/>
      <c r="F81" s="290"/>
      <c r="G81" s="290"/>
      <c r="H81" s="290"/>
      <c r="I81" s="290"/>
      <c r="J81" s="290"/>
      <c r="K81" s="290"/>
      <c r="L81" s="290"/>
      <c r="M81" s="290"/>
      <c r="N81" s="290">
        <f>SUM(B81:CHOOSE(MONTH(Mes_cierre),B81,C81,D81,E81,F81,G81,H81,I81,J81,K81,L81,M81))</f>
        <v>0</v>
      </c>
      <c r="O81" s="25"/>
      <c r="P81" s="25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>
        <f>SUM(Q81:CHOOSE(MONTH(Mes_cierre),Q81,R81,S81,T81,U81,V81,W81,X81,Y81,Z81,AA81,AB81))</f>
        <v>0</v>
      </c>
    </row>
    <row r="82" spans="2:29" x14ac:dyDescent="0.35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0</v>
      </c>
      <c r="O82" s="25"/>
      <c r="P82" s="25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0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0</v>
      </c>
      <c r="O86" s="25"/>
      <c r="P86" s="25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0</v>
      </c>
    </row>
    <row r="87" spans="2:29" x14ac:dyDescent="0.35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0</v>
      </c>
      <c r="O87" s="25"/>
      <c r="P87" s="25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12" sqref="D12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6" customWidth="1"/>
    <col min="3" max="3" width="11" style="146" hidden="1" customWidth="1"/>
    <col min="4" max="4" width="11.453125" style="146" customWidth="1"/>
    <col min="5" max="6" width="11.1796875" style="146" customWidth="1"/>
    <col min="7" max="7" width="10.81640625" style="146" customWidth="1"/>
    <col min="8" max="8" width="12" style="146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6328125" style="48" bestFit="1" customWidth="1"/>
    <col min="27" max="27" width="6.90625" style="48" customWidth="1"/>
    <col min="28" max="28" width="11.81640625" style="48" bestFit="1" customWidth="1"/>
    <col min="29" max="29" width="6.6328125" style="48" bestFit="1" customWidth="1"/>
    <col min="30" max="30" width="10.36328125" style="48" customWidth="1"/>
    <col min="31" max="31" width="10.453125" style="48" customWidth="1"/>
    <col min="32" max="32" width="8.453125" style="48" customWidth="1"/>
    <col min="33" max="33" width="10.36328125" style="48" customWidth="1"/>
    <col min="34" max="34" width="9.1796875" style="48" customWidth="1"/>
    <col min="35" max="35" width="6.6328125" style="48" bestFit="1" customWidth="1"/>
    <col min="36" max="36" width="10.36328125" style="48" bestFit="1" customWidth="1"/>
    <col min="37" max="38" width="6.6328125" style="48" bestFit="1" customWidth="1"/>
    <col min="39" max="40" width="5.6328125" style="48" bestFit="1" customWidth="1"/>
    <col min="41" max="41" width="6.632812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7"/>
      <c r="D3" s="147"/>
      <c r="E3" s="147"/>
      <c r="F3" s="147"/>
      <c r="G3" s="147"/>
      <c r="H3" s="147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8"/>
      <c r="B4" s="148" t="s">
        <v>115</v>
      </c>
      <c r="C4" s="148" t="s">
        <v>25</v>
      </c>
      <c r="D4" s="148" t="s">
        <v>116</v>
      </c>
      <c r="E4" s="148" t="s">
        <v>27</v>
      </c>
      <c r="F4" s="148" t="s">
        <v>28</v>
      </c>
      <c r="G4" s="148" t="s">
        <v>29</v>
      </c>
      <c r="H4" s="148" t="s">
        <v>108</v>
      </c>
      <c r="I4" s="148"/>
      <c r="J4" s="148"/>
      <c r="K4" s="148"/>
      <c r="L4" s="148"/>
      <c r="M4" s="148" t="s">
        <v>117</v>
      </c>
      <c r="N4" s="56"/>
      <c r="Y4" s="4" t="s">
        <v>11</v>
      </c>
      <c r="Z4" s="48">
        <f>TablasER!C11</f>
        <v>0</v>
      </c>
      <c r="AA4" s="176" t="str">
        <f>TablasER!D11</f>
        <v>N.D.</v>
      </c>
      <c r="AB4" s="48">
        <f>TablasER!E11</f>
        <v>0</v>
      </c>
      <c r="AC4" s="48" t="str">
        <f>TablasER!F11</f>
        <v>N.D.</v>
      </c>
      <c r="AD4" s="48">
        <f>TablasER!G11</f>
        <v>0</v>
      </c>
      <c r="AE4" s="48" t="str">
        <f>TablasER!H11</f>
        <v>N.D.</v>
      </c>
      <c r="AF4" s="48">
        <f>TablasER!I11</f>
        <v>0</v>
      </c>
      <c r="AG4" s="48" t="str">
        <f>TablasER!J11</f>
        <v>N.D.</v>
      </c>
      <c r="AH4" s="48">
        <f>TablasER!K11</f>
        <v>0</v>
      </c>
      <c r="AI4" s="48" t="str">
        <f>TablasER!L11</f>
        <v>N.D.</v>
      </c>
      <c r="AJ4" s="48">
        <f>TablasER!M11</f>
        <v>0</v>
      </c>
      <c r="AK4" s="48" t="str">
        <f>TablasER!N11</f>
        <v>N.D.</v>
      </c>
    </row>
    <row r="5" spans="1:37" ht="14" x14ac:dyDescent="0.3">
      <c r="A5" s="48" t="str">
        <f>"Costo "&amp;RIGHT(YEAR(Mes_cierre),2)</f>
        <v>Costo 20</v>
      </c>
      <c r="B5" s="149" t="str">
        <f>TablasER!AZ5</f>
        <v>N.D.</v>
      </c>
      <c r="C5" s="149"/>
      <c r="D5" s="149" t="str">
        <f>TablasER!$F$5</f>
        <v>N.D.</v>
      </c>
      <c r="E5" s="149" t="str">
        <f>TablasER!$H$5</f>
        <v>N.D.</v>
      </c>
      <c r="F5" s="149" t="str">
        <f>TablasER!$J$5</f>
        <v>N.D.</v>
      </c>
      <c r="G5" s="149" t="str">
        <f>TablasER!$L$5</f>
        <v>N.D.</v>
      </c>
      <c r="H5" s="149" t="str">
        <f>TablasER!$N$5</f>
        <v>N.D.</v>
      </c>
      <c r="I5" s="151"/>
      <c r="J5" s="151"/>
      <c r="K5" s="151"/>
      <c r="L5" s="152"/>
      <c r="M5" s="150" t="e">
        <f>(G5+D5+C5+H5+E5+F5)/6</f>
        <v>#VALUE!</v>
      </c>
      <c r="N5" s="153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 t="str">
        <f>TablasER!F14</f>
        <v>N.D.</v>
      </c>
      <c r="AD5" s="48">
        <f>TablasER!G14</f>
        <v>0</v>
      </c>
      <c r="AE5" s="48" t="str">
        <f>TablasER!H14</f>
        <v>N.D.</v>
      </c>
      <c r="AF5" s="48">
        <f>TablasER!I14</f>
        <v>0</v>
      </c>
      <c r="AG5" s="48" t="str">
        <f>TablasER!J14</f>
        <v>N.D.</v>
      </c>
      <c r="AH5" s="48">
        <f>TablasER!K14</f>
        <v>0</v>
      </c>
      <c r="AI5" s="48" t="str">
        <f>TablasER!L14</f>
        <v>N.D.</v>
      </c>
      <c r="AJ5" s="48">
        <f>TablasER!M14</f>
        <v>0</v>
      </c>
      <c r="AK5" s="48" t="str">
        <f>TablasER!N14</f>
        <v>N.D.</v>
      </c>
    </row>
    <row r="6" spans="1:37" ht="14" x14ac:dyDescent="0.3">
      <c r="A6" s="48" t="str">
        <f>"Costo P. "&amp;RIGHT(YEAR(Mes_cierre),2)</f>
        <v>Costo P. 20</v>
      </c>
      <c r="B6" s="154" t="str">
        <f>TablasER!BB5</f>
        <v>N.D.</v>
      </c>
      <c r="C6" s="154"/>
      <c r="D6" s="154" t="str">
        <f>TablasER!$V$5</f>
        <v>N.D.</v>
      </c>
      <c r="E6" s="154" t="str">
        <f>TablasER!$X$5</f>
        <v>N.D.</v>
      </c>
      <c r="F6" s="154" t="str">
        <f>TablasER!$Z$5</f>
        <v>N.D.</v>
      </c>
      <c r="G6" s="154" t="str">
        <f>TablasER!$AB$5</f>
        <v>N.D.</v>
      </c>
      <c r="H6" s="154" t="str">
        <f>TablasER!$AD$5</f>
        <v>N.D.</v>
      </c>
      <c r="I6" s="154" t="str">
        <f>TablasER!Z$5</f>
        <v>N.D.</v>
      </c>
      <c r="J6" s="154">
        <f>TablasER!AA$5</f>
        <v>0</v>
      </c>
      <c r="K6" s="154" t="str">
        <f>TablasER!AB$5</f>
        <v>N.D.</v>
      </c>
      <c r="L6" s="154">
        <f>TablasER!AC$5</f>
        <v>0</v>
      </c>
      <c r="M6" s="154" t="e">
        <f>(G6+D6+C6+H6+E6+F6)/6</f>
        <v>#VALUE!</v>
      </c>
      <c r="N6" s="153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 t="str">
        <f>TablasER!F15</f>
        <v>N.D.</v>
      </c>
      <c r="AD6" s="48">
        <f>TablasER!G15</f>
        <v>0</v>
      </c>
      <c r="AE6" s="48" t="str">
        <f>TablasER!H15</f>
        <v>N.D.</v>
      </c>
      <c r="AF6" s="48">
        <f>TablasER!I15</f>
        <v>0</v>
      </c>
      <c r="AG6" s="48" t="str">
        <f>TablasER!J15</f>
        <v>N.D.</v>
      </c>
      <c r="AH6" s="48">
        <f>TablasER!K15</f>
        <v>0</v>
      </c>
      <c r="AI6" s="48" t="str">
        <f>TablasER!L15</f>
        <v>N.D.</v>
      </c>
      <c r="AJ6" s="48">
        <f>TablasER!M15</f>
        <v>0</v>
      </c>
      <c r="AK6" s="48" t="str">
        <f>TablasER!N15</f>
        <v>N.D.</v>
      </c>
    </row>
    <row r="7" spans="1:37" x14ac:dyDescent="0.25">
      <c r="A7" s="48" t="str">
        <f>"Costo "&amp;RIGHT(YEAR(Mes_cierre)-1,2)</f>
        <v>Costo 19</v>
      </c>
      <c r="B7" s="156" t="str">
        <f>TablasER!BD5</f>
        <v>N.D.</v>
      </c>
      <c r="C7" s="154"/>
      <c r="D7" s="154" t="str">
        <f>TablasER!$AL$5</f>
        <v>N.D.</v>
      </c>
      <c r="E7" s="154" t="str">
        <f>TablasER!$AN$5</f>
        <v>N.D.</v>
      </c>
      <c r="F7" s="154" t="str">
        <f>TablasER!$AP$5</f>
        <v>N.D.</v>
      </c>
      <c r="G7" s="154" t="str">
        <f>TablasER!$AR$5</f>
        <v>N.D.</v>
      </c>
      <c r="H7" s="154" t="str">
        <f>TablasER!$AT$5</f>
        <v>N.D.</v>
      </c>
      <c r="I7" s="155"/>
      <c r="J7" s="155"/>
      <c r="K7" s="155"/>
      <c r="L7" s="155"/>
      <c r="M7" s="156" t="e">
        <f>(G7+D7+C7+H7+E7+F7)/6</f>
        <v>#VALUE!</v>
      </c>
      <c r="N7" s="153"/>
      <c r="Z7" s="48">
        <f>SUM(Z4:Z6)</f>
        <v>0</v>
      </c>
      <c r="AA7" s="176">
        <f>SUM(AA4:AA6)</f>
        <v>0</v>
      </c>
      <c r="AB7" s="177">
        <f>SUM(AB4:AB6)</f>
        <v>0</v>
      </c>
      <c r="AC7" s="176">
        <f t="shared" ref="AC7:AK7" si="0">SUM(AC4:AC6)</f>
        <v>0</v>
      </c>
      <c r="AD7" s="177">
        <f t="shared" si="0"/>
        <v>0</v>
      </c>
      <c r="AE7" s="176">
        <f t="shared" si="0"/>
        <v>0</v>
      </c>
      <c r="AF7" s="177">
        <f t="shared" si="0"/>
        <v>0</v>
      </c>
      <c r="AG7" s="176">
        <f t="shared" si="0"/>
        <v>0</v>
      </c>
      <c r="AH7" s="177">
        <f t="shared" si="0"/>
        <v>0</v>
      </c>
      <c r="AI7" s="176">
        <f t="shared" si="0"/>
        <v>0</v>
      </c>
      <c r="AJ7" s="177">
        <f t="shared" si="0"/>
        <v>0</v>
      </c>
      <c r="AK7" s="176">
        <f t="shared" si="0"/>
        <v>0</v>
      </c>
    </row>
    <row r="8" spans="1:37" x14ac:dyDescent="0.25">
      <c r="B8" s="157">
        <f>SUM(C8:H8)</f>
        <v>0</v>
      </c>
      <c r="C8" s="279"/>
      <c r="D8" s="279">
        <f>TablasER!$E$5/1000</f>
        <v>0</v>
      </c>
      <c r="E8" s="279">
        <f>TablasER!$G$5/1000</f>
        <v>0</v>
      </c>
      <c r="F8" s="279">
        <f>TablasER!$I$5/1000</f>
        <v>0</v>
      </c>
      <c r="G8" s="279">
        <f>TablasER!$K$5/1000</f>
        <v>0</v>
      </c>
      <c r="H8" s="279">
        <f>TablasER!$M$5/1000</f>
        <v>0</v>
      </c>
      <c r="I8" s="158"/>
      <c r="J8" s="159"/>
      <c r="K8" s="160"/>
      <c r="L8" s="158"/>
      <c r="M8" s="157">
        <f>(G8+D8+C8+H8+E8)</f>
        <v>0</v>
      </c>
      <c r="N8" s="59"/>
    </row>
    <row r="9" spans="1:37" x14ac:dyDescent="0.25">
      <c r="B9" s="157">
        <f>SUM(C9:H9)</f>
        <v>0</v>
      </c>
      <c r="C9" s="280"/>
      <c r="D9" s="280">
        <f>TablasER!$U$5/1000</f>
        <v>0</v>
      </c>
      <c r="E9" s="157">
        <f>TablasER!$W$5/1000</f>
        <v>0</v>
      </c>
      <c r="F9" s="157">
        <f>TablasER!$Y$5/1000</f>
        <v>0</v>
      </c>
      <c r="G9" s="157">
        <f>TablasER!$AA$5/1000</f>
        <v>0</v>
      </c>
      <c r="H9" s="157">
        <f>TablasER!$AC$5/1000</f>
        <v>0</v>
      </c>
      <c r="I9" s="158">
        <f>TablasER!$AC$5</f>
        <v>0</v>
      </c>
      <c r="J9" s="158"/>
      <c r="K9" s="158"/>
      <c r="L9" s="158"/>
      <c r="M9" s="157">
        <f>(G9+D9+C9+H9+E9)</f>
        <v>0</v>
      </c>
      <c r="N9" s="59"/>
    </row>
    <row r="10" spans="1:37" x14ac:dyDescent="0.25">
      <c r="B10" s="161">
        <f>SUM(C10:H10)</f>
        <v>0</v>
      </c>
      <c r="C10" s="280"/>
      <c r="D10" s="281">
        <f>TablasER!$AK$5/1000</f>
        <v>0</v>
      </c>
      <c r="E10" s="161">
        <f>TablasER!$AM$5/1000</f>
        <v>0</v>
      </c>
      <c r="F10" s="161">
        <f>TablasER!$AO$5/1000</f>
        <v>0</v>
      </c>
      <c r="G10" s="161">
        <f>TablasER!$AQ$5/1000</f>
        <v>0</v>
      </c>
      <c r="H10" s="161">
        <f>TablasER!$AS$5/1000</f>
        <v>0</v>
      </c>
      <c r="I10" s="162">
        <f>TablasER!$AS$5</f>
        <v>0</v>
      </c>
      <c r="J10" s="162"/>
      <c r="K10" s="163"/>
      <c r="L10" s="162"/>
      <c r="M10" s="161">
        <f>(G10+D10+C10+H10+E10)</f>
        <v>0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4"/>
      <c r="J11" s="164"/>
      <c r="K11" s="164"/>
      <c r="L11" s="164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5"/>
      <c r="J12" s="165"/>
      <c r="K12" s="165"/>
      <c r="L12" s="165"/>
      <c r="M12" s="66"/>
      <c r="N12" s="66"/>
    </row>
    <row r="13" spans="1:37" x14ac:dyDescent="0.25">
      <c r="B13" s="166"/>
    </row>
    <row r="14" spans="1:37" x14ac:dyDescent="0.25">
      <c r="A14" s="73"/>
      <c r="M14" s="74"/>
      <c r="N14" s="74"/>
    </row>
    <row r="15" spans="1:37" x14ac:dyDescent="0.25">
      <c r="A15" s="73"/>
      <c r="B15" s="167"/>
      <c r="C15" s="167"/>
      <c r="D15" s="167"/>
      <c r="E15" s="167"/>
      <c r="F15" s="167"/>
      <c r="G15" s="168"/>
      <c r="H15" s="168"/>
      <c r="I15" s="74"/>
      <c r="J15" s="74"/>
      <c r="K15" s="74"/>
      <c r="L15" s="74"/>
      <c r="M15" s="74"/>
      <c r="N15" s="74"/>
    </row>
    <row r="17" spans="1:14" x14ac:dyDescent="0.25">
      <c r="A17" s="73"/>
      <c r="B17" s="167"/>
      <c r="C17" s="167"/>
      <c r="D17" s="167"/>
      <c r="E17" s="167"/>
      <c r="F17" s="167"/>
      <c r="G17" s="167"/>
      <c r="H17" s="167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7"/>
      <c r="C18" s="167"/>
      <c r="D18" s="167"/>
      <c r="E18" s="167"/>
      <c r="F18" s="167"/>
      <c r="G18" s="167"/>
      <c r="H18" s="167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7"/>
      <c r="C20" s="147"/>
      <c r="D20" s="147"/>
      <c r="E20" s="147"/>
      <c r="F20" s="147"/>
      <c r="G20" s="147"/>
      <c r="H20" s="147"/>
      <c r="I20" s="53"/>
      <c r="J20" s="53"/>
      <c r="K20" s="53"/>
      <c r="L20" s="53"/>
      <c r="M20" s="53"/>
      <c r="N20" s="53"/>
    </row>
    <row r="21" spans="1:14" ht="13" x14ac:dyDescent="0.3">
      <c r="A21" s="148"/>
      <c r="B21" s="148" t="s">
        <v>115</v>
      </c>
      <c r="C21" s="148" t="s">
        <v>25</v>
      </c>
      <c r="D21" s="148" t="s">
        <v>116</v>
      </c>
      <c r="E21" s="148" t="s">
        <v>27</v>
      </c>
      <c r="F21" s="148" t="s">
        <v>28</v>
      </c>
      <c r="G21" s="148" t="s">
        <v>29</v>
      </c>
      <c r="H21" s="148" t="s">
        <v>108</v>
      </c>
      <c r="I21" s="148"/>
      <c r="J21" s="148"/>
      <c r="K21" s="148"/>
      <c r="L21" s="148"/>
      <c r="M21" s="148" t="s">
        <v>117</v>
      </c>
      <c r="N21" s="56"/>
    </row>
    <row r="22" spans="1:14" x14ac:dyDescent="0.25">
      <c r="A22" s="48" t="str">
        <f>"Gasto "&amp;RIGHT(YEAR(Mes_cierre),2)</f>
        <v>Gasto 20</v>
      </c>
      <c r="B22" s="149" t="str">
        <f>TablasER!$AZ$11</f>
        <v>N.D.</v>
      </c>
      <c r="C22" s="184"/>
      <c r="D22" s="184">
        <f>$AC$7</f>
        <v>0</v>
      </c>
      <c r="E22" s="184">
        <f>$AE$7</f>
        <v>0</v>
      </c>
      <c r="F22" s="184">
        <f>$AG$7</f>
        <v>0</v>
      </c>
      <c r="G22" s="184">
        <f>$AI$7</f>
        <v>0</v>
      </c>
      <c r="H22" s="184">
        <f>$AK$7</f>
        <v>0</v>
      </c>
      <c r="I22" s="151"/>
      <c r="J22" s="151"/>
      <c r="K22" s="151"/>
      <c r="L22" s="152"/>
      <c r="M22" s="150">
        <f>(G22+D22+C22+H22+E22+F22)/6</f>
        <v>0</v>
      </c>
      <c r="N22" s="153"/>
    </row>
    <row r="23" spans="1:14" ht="14" x14ac:dyDescent="0.3">
      <c r="A23" s="48" t="str">
        <f>"Gasto P. "&amp;RIGHT(YEAR(Mes_cierre),2)</f>
        <v>Gasto P. 20</v>
      </c>
      <c r="B23" s="154" t="str">
        <f>TablasER!$BB$11</f>
        <v>N.D.</v>
      </c>
      <c r="C23" s="199"/>
      <c r="D23" s="199" t="str">
        <f>TablasER!$V$11</f>
        <v>N.D.</v>
      </c>
      <c r="E23" s="199" t="str">
        <f>TablasER!$X$11</f>
        <v>N.D.</v>
      </c>
      <c r="F23" s="199" t="str">
        <f>TablasER!$Z$11</f>
        <v>N.D.</v>
      </c>
      <c r="G23" s="199" t="str">
        <f>TablasER!$AB$11</f>
        <v>N.D.</v>
      </c>
      <c r="H23" s="199" t="str">
        <f>TablasER!$AD$11</f>
        <v>N.D.</v>
      </c>
      <c r="I23" s="155"/>
      <c r="J23" s="155"/>
      <c r="K23" s="155"/>
      <c r="L23" s="155"/>
      <c r="M23" s="154" t="e">
        <f>(G23+D23+C23+H23+E23+F23)/6</f>
        <v>#VALUE!</v>
      </c>
      <c r="N23" s="153"/>
    </row>
    <row r="24" spans="1:14" ht="14" x14ac:dyDescent="0.3">
      <c r="A24" s="48" t="str">
        <f>"Gasto "&amp;RIGHT(YEAR(Mes_cierre)-1,2)</f>
        <v>Gasto 19</v>
      </c>
      <c r="B24" s="156" t="str">
        <f>TablasER!$BD$11</f>
        <v>N.D.</v>
      </c>
      <c r="C24" s="199"/>
      <c r="D24" s="199" t="str">
        <f>TablasER!$AL$11</f>
        <v>N.D.</v>
      </c>
      <c r="E24" s="199" t="str">
        <f>TablasER!$AN$11</f>
        <v>N.D.</v>
      </c>
      <c r="F24" s="199" t="str">
        <f>TablasER!$AP$11</f>
        <v>N.D.</v>
      </c>
      <c r="G24" s="199" t="str">
        <f>TablasER!$AR$11</f>
        <v>N.D.</v>
      </c>
      <c r="H24" s="199" t="str">
        <f>TablasER!$AT$11</f>
        <v>N.D.</v>
      </c>
      <c r="I24" s="155"/>
      <c r="J24" s="155"/>
      <c r="K24" s="155"/>
      <c r="L24" s="155"/>
      <c r="M24" s="156" t="e">
        <f>(G24+D24+C24+H24+E24+F24)/6</f>
        <v>#VALUE!</v>
      </c>
      <c r="N24" s="153"/>
    </row>
    <row r="25" spans="1:14" x14ac:dyDescent="0.25">
      <c r="B25" s="157">
        <f>TablasER!$AY$11/1000</f>
        <v>0</v>
      </c>
      <c r="C25" s="282"/>
      <c r="D25" s="282">
        <f>$AB$7/1000</f>
        <v>0</v>
      </c>
      <c r="E25" s="282">
        <f>$AD$7/1000</f>
        <v>0</v>
      </c>
      <c r="F25" s="282">
        <f>$AF$7/1000</f>
        <v>0</v>
      </c>
      <c r="G25" s="282">
        <f>$AH$7/1000</f>
        <v>0</v>
      </c>
      <c r="H25" s="282">
        <f>$AJ$7/1000</f>
        <v>0</v>
      </c>
      <c r="I25" s="155"/>
      <c r="J25" s="74"/>
      <c r="K25" s="169"/>
      <c r="L25" s="155"/>
      <c r="M25" s="170">
        <f>(G25+D25+C25+H25+E25)</f>
        <v>0</v>
      </c>
      <c r="N25" s="59"/>
    </row>
    <row r="26" spans="1:14" ht="14" x14ac:dyDescent="0.3">
      <c r="B26" s="157">
        <f>TablasER!$BA$11/1000</f>
        <v>0</v>
      </c>
      <c r="C26" s="283"/>
      <c r="D26" s="283">
        <f>TablasER!$U$11/1000</f>
        <v>0</v>
      </c>
      <c r="E26" s="283">
        <f>TablasER!$W$11/1000</f>
        <v>0</v>
      </c>
      <c r="F26" s="283">
        <f>TablasER!$Y$11/1000</f>
        <v>0</v>
      </c>
      <c r="G26" s="283">
        <f>TablasER!$AA$11/1000</f>
        <v>0</v>
      </c>
      <c r="H26" s="283">
        <f>TablasER!$AC$11/1000</f>
        <v>0</v>
      </c>
      <c r="I26" s="155"/>
      <c r="J26" s="155"/>
      <c r="K26" s="155"/>
      <c r="L26" s="155"/>
      <c r="M26" s="170">
        <f>(G26+D26+C26+H26+E26)</f>
        <v>0</v>
      </c>
      <c r="N26" s="59"/>
    </row>
    <row r="27" spans="1:14" ht="14" x14ac:dyDescent="0.3">
      <c r="B27" s="161">
        <f>TablasER!$BC$11/1000</f>
        <v>0</v>
      </c>
      <c r="C27" s="283"/>
      <c r="D27" s="283">
        <f>TablasER!$AK$11/1000</f>
        <v>0</v>
      </c>
      <c r="E27" s="283">
        <f>TablasER!$AM$11/1000</f>
        <v>0</v>
      </c>
      <c r="F27" s="283">
        <f>TablasER!$AO$11/1000</f>
        <v>0</v>
      </c>
      <c r="G27" s="283">
        <f>TablasER!$AQ$11/1000</f>
        <v>0</v>
      </c>
      <c r="H27" s="283">
        <f>TablasER!$AS$11/1000</f>
        <v>0</v>
      </c>
      <c r="I27" s="171"/>
      <c r="J27" s="171"/>
      <c r="K27" s="172"/>
      <c r="L27" s="171"/>
      <c r="M27" s="173">
        <f>(G27+D27+C27+H27+E27)</f>
        <v>0</v>
      </c>
      <c r="N27" s="59"/>
    </row>
    <row r="28" spans="1:14" x14ac:dyDescent="0.25">
      <c r="B28" s="167"/>
      <c r="C28" s="167"/>
      <c r="D28" s="167"/>
      <c r="E28" s="167"/>
      <c r="F28" s="167"/>
      <c r="G28" s="167"/>
      <c r="H28" s="167"/>
      <c r="I28" s="74"/>
      <c r="J28" s="74"/>
      <c r="K28" s="74"/>
      <c r="L28" s="74"/>
      <c r="M28" s="167"/>
      <c r="N28" s="59"/>
    </row>
    <row r="29" spans="1:14" x14ac:dyDescent="0.25">
      <c r="B29" s="167"/>
      <c r="C29" s="167"/>
      <c r="D29" s="167"/>
      <c r="E29" s="167"/>
      <c r="F29" s="167"/>
      <c r="G29" s="167"/>
      <c r="H29" s="167"/>
      <c r="I29" s="74"/>
      <c r="J29" s="74"/>
      <c r="K29" s="74"/>
      <c r="L29" s="74"/>
      <c r="M29" s="167"/>
      <c r="N29" s="59"/>
    </row>
    <row r="30" spans="1:14" x14ac:dyDescent="0.25">
      <c r="B30" s="167"/>
      <c r="C30" s="167"/>
      <c r="D30" s="167"/>
      <c r="E30" s="167"/>
      <c r="F30" s="167"/>
      <c r="G30" s="167"/>
      <c r="H30" s="167"/>
      <c r="I30" s="74"/>
      <c r="J30" s="74"/>
      <c r="K30" s="74"/>
      <c r="L30" s="74"/>
      <c r="M30" s="167"/>
      <c r="N30" s="59"/>
    </row>
    <row r="31" spans="1:14" x14ac:dyDescent="0.25">
      <c r="B31" s="167"/>
      <c r="C31" s="167"/>
      <c r="D31" s="167"/>
      <c r="E31" s="167"/>
      <c r="F31" s="167"/>
      <c r="G31" s="167"/>
      <c r="H31" s="167"/>
      <c r="I31" s="74"/>
      <c r="J31" s="74"/>
      <c r="K31" s="74"/>
      <c r="L31" s="74"/>
      <c r="M31" s="167"/>
      <c r="N31" s="59"/>
    </row>
    <row r="32" spans="1:14" x14ac:dyDescent="0.25">
      <c r="B32" s="167"/>
      <c r="C32" s="167"/>
      <c r="D32" s="167"/>
      <c r="E32" s="167"/>
      <c r="F32" s="167"/>
      <c r="G32" s="167"/>
      <c r="H32" s="167"/>
      <c r="I32" s="74"/>
      <c r="J32" s="74"/>
      <c r="K32" s="74"/>
      <c r="L32" s="74"/>
      <c r="M32" s="167"/>
      <c r="N32" s="59"/>
    </row>
    <row r="33" spans="1:14" x14ac:dyDescent="0.25">
      <c r="B33" s="167"/>
      <c r="C33" s="167"/>
      <c r="D33" s="167"/>
      <c r="E33" s="167"/>
      <c r="F33" s="167"/>
      <c r="G33" s="167"/>
      <c r="H33" s="167"/>
      <c r="I33" s="74"/>
      <c r="J33" s="74"/>
      <c r="K33" s="74"/>
      <c r="L33" s="74"/>
      <c r="M33" s="167"/>
      <c r="N33" s="59"/>
    </row>
    <row r="34" spans="1:14" x14ac:dyDescent="0.25">
      <c r="B34" s="167"/>
      <c r="C34" s="167"/>
      <c r="D34" s="167"/>
      <c r="E34" s="167"/>
      <c r="F34" s="167"/>
      <c r="G34" s="167"/>
      <c r="H34" s="167"/>
      <c r="I34" s="74"/>
      <c r="J34" s="74"/>
      <c r="K34" s="74"/>
      <c r="L34" s="74"/>
      <c r="M34" s="167"/>
      <c r="N34" s="59"/>
    </row>
    <row r="35" spans="1:14" x14ac:dyDescent="0.25">
      <c r="B35" s="167"/>
      <c r="C35" s="167"/>
      <c r="D35" s="167"/>
      <c r="E35" s="167"/>
      <c r="F35" s="167"/>
      <c r="G35" s="167"/>
      <c r="H35" s="167"/>
      <c r="I35" s="74"/>
      <c r="J35" s="74"/>
      <c r="K35" s="74"/>
      <c r="L35" s="74"/>
      <c r="M35" s="167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7"/>
      <c r="C39" s="167"/>
      <c r="D39" s="167"/>
      <c r="E39" s="167"/>
      <c r="F39" s="167"/>
      <c r="G39" s="167"/>
      <c r="H39" s="167"/>
      <c r="I39" s="74"/>
      <c r="J39" s="74"/>
      <c r="K39" s="74"/>
      <c r="L39" s="74"/>
      <c r="M39" s="74"/>
      <c r="N39" s="74"/>
    </row>
    <row r="40" spans="1:14" x14ac:dyDescent="0.25">
      <c r="A40" s="73"/>
      <c r="B40" s="167"/>
      <c r="C40" s="167"/>
      <c r="D40" s="167"/>
      <c r="E40" s="167"/>
      <c r="F40" s="167"/>
      <c r="G40" s="167"/>
      <c r="H40" s="167"/>
      <c r="I40" s="74"/>
      <c r="J40" s="74"/>
      <c r="K40" s="74"/>
      <c r="L40" s="74"/>
      <c r="M40" s="74"/>
      <c r="N40" s="74"/>
    </row>
    <row r="41" spans="1:14" x14ac:dyDescent="0.25">
      <c r="A41" s="73"/>
      <c r="B41" s="167"/>
      <c r="C41" s="167"/>
      <c r="D41" s="167"/>
      <c r="E41" s="167"/>
      <c r="F41" s="167"/>
      <c r="G41" s="167"/>
      <c r="H41" s="167"/>
      <c r="I41" s="74"/>
      <c r="J41" s="74"/>
      <c r="K41" s="74"/>
      <c r="L41" s="74"/>
      <c r="M41" s="74"/>
      <c r="N41" s="74"/>
    </row>
    <row r="42" spans="1:14" ht="13" x14ac:dyDescent="0.3">
      <c r="A42" s="174"/>
      <c r="B42" s="175"/>
      <c r="C42" s="167"/>
      <c r="D42" s="167"/>
      <c r="E42" s="167"/>
      <c r="F42" s="167"/>
      <c r="G42" s="167"/>
      <c r="H42" s="167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topLeftCell="A4" zoomScale="70" zoomScaleNormal="70" zoomScaleSheetLayoutView="75" zoomScalePageLayoutView="80" workbookViewId="0">
      <selection activeCell="O18" sqref="O18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089843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20</v>
      </c>
      <c r="B4" s="58">
        <f>B51+B70+B34+B90+B149+B161</f>
        <v>0</v>
      </c>
      <c r="C4" s="58">
        <f t="shared" ref="B4:I8" si="0">C51+C70+C34+C90+C149+C161</f>
        <v>0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20</v>
      </c>
      <c r="B5" s="60">
        <f t="shared" si="0"/>
        <v>0</v>
      </c>
      <c r="C5" s="60">
        <f t="shared" si="0"/>
        <v>0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19</v>
      </c>
      <c r="B6" s="60">
        <f t="shared" si="0"/>
        <v>0</v>
      </c>
      <c r="C6" s="60">
        <f t="shared" si="0"/>
        <v>0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20</v>
      </c>
      <c r="B7" s="60">
        <f t="shared" si="0"/>
        <v>0</v>
      </c>
      <c r="C7" s="60">
        <f t="shared" si="0"/>
        <v>0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UAFIRFL.P.20</v>
      </c>
      <c r="B8" s="60">
        <f t="shared" si="0"/>
        <v>0</v>
      </c>
      <c r="C8" s="60">
        <f t="shared" si="0"/>
        <v>0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20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0</v>
      </c>
      <c r="C11" s="65">
        <f t="shared" ref="C11:M12" si="4">IFERROR(C7/C4,0)</f>
        <v>0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</v>
      </c>
      <c r="C12" s="67">
        <f>IFERROR(C8/C5,0)</f>
        <v>0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20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0</v>
      </c>
      <c r="O34" s="92"/>
      <c r="P34" s="93">
        <f>TablasER!$K$4</f>
        <v>0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20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0</v>
      </c>
      <c r="O35" s="92">
        <v>0</v>
      </c>
      <c r="P35" s="93">
        <f>TablasER!$AA$4</f>
        <v>0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19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0</v>
      </c>
      <c r="O36" s="92"/>
      <c r="P36" s="93">
        <f>TablasER!$AQ$4</f>
        <v>0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20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0</v>
      </c>
      <c r="O37" s="92"/>
      <c r="P37" s="93">
        <f>TablasER!$K$29</f>
        <v>0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0</v>
      </c>
      <c r="O38" s="92"/>
      <c r="P38" s="93">
        <f>TablasER!$AA$25</f>
        <v>0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20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0</v>
      </c>
      <c r="P39" s="299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9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0</v>
      </c>
      <c r="C41" s="65">
        <f t="shared" si="6"/>
        <v>0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</v>
      </c>
      <c r="C42" s="95">
        <f>IFERROR(C38/C35,0)</f>
        <v>0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20</v>
      </c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0</v>
      </c>
      <c r="P51" s="93">
        <f>TablasER!$E$4</f>
        <v>0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20</v>
      </c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19</v>
      </c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0</v>
      </c>
      <c r="P53" s="93">
        <f>TablasER!$AK$4</f>
        <v>0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20</v>
      </c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0</v>
      </c>
      <c r="P54" s="93">
        <f>TablasER!$E$29</f>
        <v>0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UAFIRFL.P.20</v>
      </c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20</v>
      </c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0</v>
      </c>
      <c r="C58" s="65">
        <f t="shared" si="9"/>
        <v>0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 t="e">
        <f>D57/D142</f>
        <v>#DIV/0!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20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7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20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7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19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7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20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7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UAFIRFL.P.20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7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20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8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8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20</v>
      </c>
      <c r="B90" s="58"/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0</v>
      </c>
      <c r="P90" s="93">
        <f>TablasER!$M$4</f>
        <v>0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20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0</v>
      </c>
      <c r="O91" s="92">
        <v>0</v>
      </c>
      <c r="P91" s="93">
        <f>TablasER!$AC$4</f>
        <v>0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19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0</v>
      </c>
      <c r="P92" s="93">
        <f>TablasER!$AS$4</f>
        <v>0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20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0</v>
      </c>
      <c r="P93" s="93">
        <f>TablasER!$M$29</f>
        <v>0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UAFIRFL.P.20</v>
      </c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0</v>
      </c>
      <c r="P94" s="93">
        <f>TablasER!$AC$25</f>
        <v>0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20</v>
      </c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0</v>
      </c>
      <c r="C97" s="65">
        <f t="shared" si="13"/>
        <v>0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</v>
      </c>
      <c r="C98" s="95">
        <f t="shared" si="13"/>
        <v>0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20</v>
      </c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0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20</v>
      </c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0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19</v>
      </c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0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20</v>
      </c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0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UAFIRFL.P.20</v>
      </c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0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20</v>
      </c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0</v>
      </c>
      <c r="C115" s="102">
        <f>IFERROR(C111/C108,0)</f>
        <v>0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0</v>
      </c>
      <c r="C116" s="95">
        <f t="shared" si="15"/>
        <v>0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20</v>
      </c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0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20</v>
      </c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0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19</v>
      </c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0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20</v>
      </c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0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UAFIRFL.P.20</v>
      </c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0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20</v>
      </c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</v>
      </c>
      <c r="C130" s="102">
        <f t="shared" si="17"/>
        <v>0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</v>
      </c>
      <c r="C131" s="95">
        <f t="shared" si="17"/>
        <v>0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/>
      <c r="C142" s="108"/>
      <c r="D142" s="108"/>
      <c r="E142" s="109"/>
      <c r="F142" s="109"/>
      <c r="G142" s="109"/>
      <c r="H142" s="109"/>
      <c r="I142" s="109"/>
      <c r="J142" s="109"/>
      <c r="K142" s="109"/>
      <c r="L142" s="109"/>
      <c r="M142" s="109"/>
      <c r="N142" s="110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10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/>
      <c r="C144" s="109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10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10"/>
      <c r="C145" s="110"/>
      <c r="D145" s="111"/>
      <c r="E145" s="111"/>
      <c r="F145" s="112"/>
      <c r="G145" s="112"/>
      <c r="H145" s="112"/>
      <c r="I145" s="112"/>
      <c r="J145" s="112"/>
      <c r="K145" s="112"/>
      <c r="L145" s="113"/>
      <c r="M145" s="112"/>
      <c r="N145" s="110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10"/>
      <c r="C146" s="110"/>
      <c r="D146" s="111"/>
      <c r="E146" s="111"/>
      <c r="F146" s="112"/>
      <c r="G146" s="112"/>
      <c r="H146" s="112"/>
      <c r="I146" s="112"/>
      <c r="J146" s="112"/>
      <c r="K146" s="112"/>
      <c r="L146" s="113"/>
      <c r="M146" s="112"/>
      <c r="N146" s="110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10"/>
      <c r="C147" s="110"/>
      <c r="D147" s="114"/>
      <c r="E147" s="64"/>
      <c r="F147" s="64"/>
      <c r="G147" s="64"/>
      <c r="H147" s="64"/>
      <c r="I147" s="64"/>
      <c r="J147" s="64"/>
      <c r="K147" s="64"/>
      <c r="L147" s="64"/>
      <c r="M147" s="64"/>
      <c r="N147" s="110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20</v>
      </c>
      <c r="B149" s="58">
        <f>B108*B142</f>
        <v>0</v>
      </c>
      <c r="C149" s="58">
        <f t="shared" ref="C149:M149" si="19">C108*C142</f>
        <v>0</v>
      </c>
      <c r="D149" s="58">
        <f>D108*D142</f>
        <v>0</v>
      </c>
      <c r="E149" s="58">
        <f>E108*E142</f>
        <v>0</v>
      </c>
      <c r="F149" s="58">
        <f>F108*F142</f>
        <v>0</v>
      </c>
      <c r="G149" s="58">
        <f>G108*G142</f>
        <v>0</v>
      </c>
      <c r="H149" s="58">
        <f>H108*H142</f>
        <v>0</v>
      </c>
      <c r="I149" s="58">
        <f t="shared" si="19"/>
        <v>0</v>
      </c>
      <c r="J149" s="58">
        <f>J108*J142</f>
        <v>0</v>
      </c>
      <c r="K149" s="58">
        <f t="shared" si="19"/>
        <v>0</v>
      </c>
      <c r="L149" s="58">
        <f t="shared" si="19"/>
        <v>0</v>
      </c>
      <c r="M149" s="58">
        <f t="shared" si="19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6" t="str">
        <f t="shared" si="18"/>
        <v>Vtas. P. 20</v>
      </c>
      <c r="B150" s="60">
        <f t="shared" ref="B150:G150" si="20">B109*B145</f>
        <v>0</v>
      </c>
      <c r="C150" s="60">
        <f t="shared" si="20"/>
        <v>0</v>
      </c>
      <c r="D150" s="60">
        <f t="shared" si="20"/>
        <v>0</v>
      </c>
      <c r="E150" s="60">
        <f t="shared" si="20"/>
        <v>0</v>
      </c>
      <c r="F150" s="60">
        <f t="shared" si="20"/>
        <v>0</v>
      </c>
      <c r="G150" s="60">
        <f t="shared" si="20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19</v>
      </c>
      <c r="B151" s="60">
        <f>B110*B144</f>
        <v>0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1">F144*F110</f>
        <v>0</v>
      </c>
      <c r="G151" s="60">
        <f t="shared" si="21"/>
        <v>0</v>
      </c>
      <c r="H151" s="60">
        <f t="shared" si="21"/>
        <v>0</v>
      </c>
      <c r="I151" s="60">
        <f t="shared" si="21"/>
        <v>0</v>
      </c>
      <c r="J151" s="60">
        <f>J144*J110</f>
        <v>0</v>
      </c>
      <c r="K151" s="60">
        <f t="shared" si="21"/>
        <v>0</v>
      </c>
      <c r="L151" s="60">
        <f t="shared" si="21"/>
        <v>0</v>
      </c>
      <c r="M151" s="60">
        <f t="shared" si="21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20</v>
      </c>
      <c r="B152" s="60">
        <f>B111*B142</f>
        <v>0</v>
      </c>
      <c r="C152" s="60">
        <f t="shared" ref="C152:M153" si="22">C111*C142</f>
        <v>0</v>
      </c>
      <c r="D152" s="60">
        <f>D111*D142</f>
        <v>0</v>
      </c>
      <c r="E152" s="60">
        <f>E111*E142</f>
        <v>0</v>
      </c>
      <c r="F152" s="60">
        <f>F111*F142</f>
        <v>0</v>
      </c>
      <c r="G152" s="60">
        <f>G111*G142</f>
        <v>0</v>
      </c>
      <c r="H152" s="60">
        <f t="shared" si="22"/>
        <v>0</v>
      </c>
      <c r="I152" s="60">
        <f t="shared" si="22"/>
        <v>0</v>
      </c>
      <c r="J152" s="60">
        <f t="shared" si="22"/>
        <v>0</v>
      </c>
      <c r="K152" s="60">
        <f t="shared" si="22"/>
        <v>0</v>
      </c>
      <c r="L152" s="60">
        <f t="shared" si="22"/>
        <v>0</v>
      </c>
      <c r="M152" s="60">
        <f t="shared" si="22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UAFIRFL.P.20</v>
      </c>
      <c r="B153" s="60">
        <f>B112*B143</f>
        <v>0</v>
      </c>
      <c r="C153" s="60">
        <f t="shared" si="22"/>
        <v>0</v>
      </c>
      <c r="D153" s="60">
        <f t="shared" si="22"/>
        <v>0</v>
      </c>
      <c r="E153" s="60">
        <f t="shared" si="22"/>
        <v>0</v>
      </c>
      <c r="F153" s="60">
        <f t="shared" si="22"/>
        <v>0</v>
      </c>
      <c r="G153" s="60">
        <f t="shared" si="22"/>
        <v>0</v>
      </c>
      <c r="H153" s="60">
        <f t="shared" si="22"/>
        <v>0</v>
      </c>
      <c r="I153" s="60">
        <f t="shared" si="22"/>
        <v>0</v>
      </c>
      <c r="J153" s="60">
        <f>J112*J143</f>
        <v>0</v>
      </c>
      <c r="K153" s="60">
        <f t="shared" si="22"/>
        <v>0</v>
      </c>
      <c r="L153" s="60">
        <f t="shared" si="22"/>
        <v>0</v>
      </c>
      <c r="M153" s="60">
        <f t="shared" si="22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20</v>
      </c>
      <c r="B154" s="60">
        <f>B113*B142</f>
        <v>0</v>
      </c>
      <c r="C154" s="60">
        <f t="shared" ref="C154:M154" si="23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3"/>
        <v>0</v>
      </c>
      <c r="I154" s="60">
        <f t="shared" si="23"/>
        <v>0</v>
      </c>
      <c r="J154" s="60">
        <f>J113*J142</f>
        <v>0</v>
      </c>
      <c r="K154" s="60">
        <f t="shared" si="23"/>
        <v>0</v>
      </c>
      <c r="L154" s="60">
        <f t="shared" si="23"/>
        <v>0</v>
      </c>
      <c r="M154" s="60">
        <f t="shared" si="23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0</v>
      </c>
      <c r="C155" s="60">
        <f t="shared" ref="C155:M155" si="24">C114*C142</f>
        <v>0</v>
      </c>
      <c r="D155" s="60">
        <f>D114*D142</f>
        <v>0</v>
      </c>
      <c r="E155" s="60">
        <f t="shared" si="24"/>
        <v>0</v>
      </c>
      <c r="F155" s="60">
        <f>F114*F142</f>
        <v>0</v>
      </c>
      <c r="G155" s="60">
        <f>G114*G142</f>
        <v>0</v>
      </c>
      <c r="H155" s="60">
        <f t="shared" si="24"/>
        <v>0</v>
      </c>
      <c r="I155" s="60">
        <f>I114*I142</f>
        <v>0</v>
      </c>
      <c r="J155" s="60">
        <f>J114*J142</f>
        <v>0</v>
      </c>
      <c r="K155" s="60">
        <f t="shared" si="24"/>
        <v>0</v>
      </c>
      <c r="L155" s="60">
        <f t="shared" si="24"/>
        <v>0</v>
      </c>
      <c r="M155" s="60">
        <f t="shared" si="24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5">IFERROR(B152/B149,0)</f>
        <v>0</v>
      </c>
      <c r="C156" s="65">
        <f t="shared" si="25"/>
        <v>0</v>
      </c>
      <c r="D156" s="65">
        <f t="shared" si="25"/>
        <v>0</v>
      </c>
      <c r="E156" s="65">
        <f t="shared" si="25"/>
        <v>0</v>
      </c>
      <c r="F156" s="65">
        <f t="shared" si="25"/>
        <v>0</v>
      </c>
      <c r="G156" s="65">
        <f t="shared" si="25"/>
        <v>0</v>
      </c>
      <c r="H156" s="65">
        <f t="shared" si="25"/>
        <v>0</v>
      </c>
      <c r="I156" s="65">
        <f t="shared" si="25"/>
        <v>0</v>
      </c>
      <c r="J156" s="65">
        <f t="shared" si="25"/>
        <v>0</v>
      </c>
      <c r="K156" s="65">
        <f t="shared" si="25"/>
        <v>0</v>
      </c>
      <c r="L156" s="65">
        <f t="shared" si="25"/>
        <v>0</v>
      </c>
      <c r="M156" s="65">
        <f t="shared" si="25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5"/>
        <v>0</v>
      </c>
      <c r="D157" s="95">
        <f t="shared" si="25"/>
        <v>0</v>
      </c>
      <c r="E157" s="95">
        <f t="shared" si="25"/>
        <v>0</v>
      </c>
      <c r="F157" s="95">
        <f t="shared" si="25"/>
        <v>0</v>
      </c>
      <c r="G157" s="95">
        <f t="shared" si="25"/>
        <v>0</v>
      </c>
      <c r="H157" s="95">
        <f t="shared" si="25"/>
        <v>0</v>
      </c>
      <c r="I157" s="95">
        <f t="shared" si="25"/>
        <v>0</v>
      </c>
      <c r="J157" s="95">
        <f t="shared" si="25"/>
        <v>0</v>
      </c>
      <c r="K157" s="95">
        <f t="shared" si="25"/>
        <v>0</v>
      </c>
      <c r="L157" s="95">
        <f t="shared" si="25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10"/>
      <c r="C159" s="110"/>
      <c r="D159" s="114"/>
      <c r="E159" s="64"/>
      <c r="F159" s="64"/>
      <c r="G159" s="64"/>
      <c r="H159" s="64"/>
      <c r="I159" s="64"/>
      <c r="J159" s="64"/>
      <c r="K159" s="64"/>
      <c r="L159" s="64"/>
      <c r="M159" s="64"/>
      <c r="N159" s="110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6">A4</f>
        <v>Vtas. 20</v>
      </c>
      <c r="B161" s="58">
        <f t="shared" ref="B161:M162" si="27">B123*B142</f>
        <v>0</v>
      </c>
      <c r="C161" s="58">
        <f t="shared" si="27"/>
        <v>0</v>
      </c>
      <c r="D161" s="58">
        <f t="shared" si="27"/>
        <v>0</v>
      </c>
      <c r="E161" s="58">
        <f t="shared" si="27"/>
        <v>0</v>
      </c>
      <c r="F161" s="58">
        <f t="shared" si="27"/>
        <v>0</v>
      </c>
      <c r="G161" s="58">
        <f t="shared" si="27"/>
        <v>0</v>
      </c>
      <c r="H161" s="58">
        <f t="shared" si="27"/>
        <v>0</v>
      </c>
      <c r="I161" s="58">
        <f t="shared" si="27"/>
        <v>0</v>
      </c>
      <c r="J161" s="58">
        <f t="shared" si="27"/>
        <v>0</v>
      </c>
      <c r="K161" s="58">
        <f>K123*K142</f>
        <v>0</v>
      </c>
      <c r="L161" s="58">
        <f t="shared" si="27"/>
        <v>0</v>
      </c>
      <c r="M161" s="58">
        <f t="shared" si="27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6"/>
        <v>Vtas. P. 20</v>
      </c>
      <c r="B162" s="60">
        <f t="shared" ref="B162:G162" si="28">B124*B145</f>
        <v>0</v>
      </c>
      <c r="C162" s="60">
        <f t="shared" si="28"/>
        <v>0</v>
      </c>
      <c r="D162" s="60">
        <f t="shared" si="28"/>
        <v>0</v>
      </c>
      <c r="E162" s="60">
        <f t="shared" si="28"/>
        <v>0</v>
      </c>
      <c r="F162" s="60">
        <f t="shared" si="28"/>
        <v>0</v>
      </c>
      <c r="G162" s="60">
        <f t="shared" si="28"/>
        <v>0</v>
      </c>
      <c r="H162" s="60">
        <f t="shared" si="27"/>
        <v>0</v>
      </c>
      <c r="I162" s="60">
        <f t="shared" si="27"/>
        <v>0</v>
      </c>
      <c r="J162" s="60">
        <f t="shared" si="27"/>
        <v>0</v>
      </c>
      <c r="K162" s="60">
        <f t="shared" si="27"/>
        <v>0</v>
      </c>
      <c r="L162" s="60">
        <f t="shared" si="27"/>
        <v>0</v>
      </c>
      <c r="M162" s="60">
        <f t="shared" si="27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6"/>
        <v>Vtas. 19</v>
      </c>
      <c r="B163" s="60">
        <f t="shared" ref="B163:M163" si="29">B144*B125</f>
        <v>0</v>
      </c>
      <c r="C163" s="60">
        <f t="shared" si="29"/>
        <v>0</v>
      </c>
      <c r="D163" s="60">
        <f t="shared" si="29"/>
        <v>0</v>
      </c>
      <c r="E163" s="60">
        <f t="shared" si="29"/>
        <v>0</v>
      </c>
      <c r="F163" s="60">
        <f t="shared" si="29"/>
        <v>0</v>
      </c>
      <c r="G163" s="60">
        <f t="shared" si="29"/>
        <v>0</v>
      </c>
      <c r="H163" s="60">
        <f t="shared" si="29"/>
        <v>0</v>
      </c>
      <c r="I163" s="60">
        <f t="shared" si="29"/>
        <v>0</v>
      </c>
      <c r="J163" s="60">
        <f t="shared" si="29"/>
        <v>0</v>
      </c>
      <c r="K163" s="60">
        <f t="shared" si="29"/>
        <v>0</v>
      </c>
      <c r="L163" s="60">
        <f t="shared" si="29"/>
        <v>0</v>
      </c>
      <c r="M163" s="60">
        <f t="shared" si="29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6"/>
        <v>UAFIR FL. 20</v>
      </c>
      <c r="B164" s="60">
        <f t="shared" ref="B164:M164" si="30">B126*B142</f>
        <v>0</v>
      </c>
      <c r="C164" s="60">
        <f t="shared" si="30"/>
        <v>0</v>
      </c>
      <c r="D164" s="60">
        <f t="shared" si="30"/>
        <v>0</v>
      </c>
      <c r="E164" s="60">
        <f t="shared" si="30"/>
        <v>0</v>
      </c>
      <c r="F164" s="60">
        <f t="shared" si="30"/>
        <v>0</v>
      </c>
      <c r="G164" s="60">
        <f t="shared" si="30"/>
        <v>0</v>
      </c>
      <c r="H164" s="60">
        <f t="shared" si="30"/>
        <v>0</v>
      </c>
      <c r="I164" s="60">
        <f t="shared" si="30"/>
        <v>0</v>
      </c>
      <c r="J164" s="60">
        <f t="shared" si="30"/>
        <v>0</v>
      </c>
      <c r="K164" s="60">
        <f t="shared" si="30"/>
        <v>0</v>
      </c>
      <c r="L164" s="60">
        <f t="shared" si="30"/>
        <v>0</v>
      </c>
      <c r="M164" s="60">
        <f t="shared" si="30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6"/>
        <v>UAFIRFL.P.20</v>
      </c>
      <c r="B165" s="117">
        <f t="shared" ref="B165:G165" si="31">B127*B143</f>
        <v>0</v>
      </c>
      <c r="C165" s="117">
        <f t="shared" si="31"/>
        <v>0</v>
      </c>
      <c r="D165" s="117">
        <f t="shared" si="31"/>
        <v>0</v>
      </c>
      <c r="E165" s="117">
        <f t="shared" si="31"/>
        <v>0</v>
      </c>
      <c r="F165" s="117">
        <f t="shared" si="31"/>
        <v>0</v>
      </c>
      <c r="G165" s="117">
        <f t="shared" si="31"/>
        <v>0</v>
      </c>
      <c r="H165" s="117">
        <f>H127*H143</f>
        <v>0</v>
      </c>
      <c r="I165" s="117">
        <f>I127*I143</f>
        <v>0</v>
      </c>
      <c r="J165" s="117">
        <f t="shared" ref="J165:M165" si="32">J127*J143</f>
        <v>0</v>
      </c>
      <c r="K165" s="117">
        <f t="shared" si="32"/>
        <v>0</v>
      </c>
      <c r="L165" s="117">
        <f t="shared" si="32"/>
        <v>0</v>
      </c>
      <c r="M165" s="117">
        <f t="shared" si="32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6"/>
        <v>S. Deuda 20</v>
      </c>
      <c r="B166" s="60">
        <f t="shared" ref="B166:M166" si="33">B128*B142</f>
        <v>0</v>
      </c>
      <c r="C166" s="60">
        <f t="shared" si="33"/>
        <v>0</v>
      </c>
      <c r="D166" s="60">
        <f t="shared" si="33"/>
        <v>0</v>
      </c>
      <c r="E166" s="60">
        <f t="shared" si="33"/>
        <v>0</v>
      </c>
      <c r="F166" s="60">
        <f t="shared" si="33"/>
        <v>0</v>
      </c>
      <c r="G166" s="60">
        <f t="shared" si="33"/>
        <v>0</v>
      </c>
      <c r="H166" s="60">
        <f t="shared" si="33"/>
        <v>0</v>
      </c>
      <c r="I166" s="60">
        <f t="shared" si="33"/>
        <v>0</v>
      </c>
      <c r="J166" s="60">
        <f t="shared" si="33"/>
        <v>0</v>
      </c>
      <c r="K166" s="60">
        <f t="shared" si="33"/>
        <v>0</v>
      </c>
      <c r="L166" s="60">
        <f t="shared" si="33"/>
        <v>0</v>
      </c>
      <c r="M166" s="60">
        <f t="shared" si="33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6"/>
        <v>Pagos Ext.</v>
      </c>
      <c r="B167" s="60">
        <f t="shared" ref="B167:M167" si="34">B129*B142</f>
        <v>0</v>
      </c>
      <c r="C167" s="60">
        <f t="shared" si="34"/>
        <v>0</v>
      </c>
      <c r="D167" s="60">
        <f t="shared" si="34"/>
        <v>0</v>
      </c>
      <c r="E167" s="60">
        <f t="shared" si="34"/>
        <v>0</v>
      </c>
      <c r="F167" s="60">
        <f t="shared" si="34"/>
        <v>0</v>
      </c>
      <c r="G167" s="60">
        <f t="shared" si="34"/>
        <v>0</v>
      </c>
      <c r="H167" s="60">
        <f t="shared" si="34"/>
        <v>0</v>
      </c>
      <c r="I167" s="60">
        <f t="shared" si="34"/>
        <v>0</v>
      </c>
      <c r="J167" s="60">
        <f t="shared" si="34"/>
        <v>0</v>
      </c>
      <c r="K167" s="60">
        <f t="shared" si="34"/>
        <v>0</v>
      </c>
      <c r="L167" s="60">
        <f t="shared" si="34"/>
        <v>0</v>
      </c>
      <c r="M167" s="60">
        <f t="shared" si="34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5">A156</f>
        <v>UAFIR FL./V.R.</v>
      </c>
      <c r="B168" s="65">
        <f t="shared" ref="B168:M169" si="36">IFERROR(B164/B161,0)</f>
        <v>0</v>
      </c>
      <c r="C168" s="65">
        <f t="shared" si="36"/>
        <v>0</v>
      </c>
      <c r="D168" s="65">
        <f t="shared" si="36"/>
        <v>0</v>
      </c>
      <c r="E168" s="65">
        <f t="shared" si="36"/>
        <v>0</v>
      </c>
      <c r="F168" s="65">
        <f t="shared" si="36"/>
        <v>0</v>
      </c>
      <c r="G168" s="65">
        <f t="shared" si="36"/>
        <v>0</v>
      </c>
      <c r="H168" s="65">
        <f t="shared" si="36"/>
        <v>0</v>
      </c>
      <c r="I168" s="65">
        <f t="shared" si="36"/>
        <v>0</v>
      </c>
      <c r="J168" s="65">
        <f t="shared" si="36"/>
        <v>0</v>
      </c>
      <c r="K168" s="65">
        <f t="shared" si="36"/>
        <v>0</v>
      </c>
      <c r="L168" s="65">
        <f t="shared" si="36"/>
        <v>0</v>
      </c>
      <c r="M168" s="65">
        <f t="shared" si="36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5"/>
        <v>UAFIR FL./V.P.</v>
      </c>
      <c r="B169" s="95">
        <f>IFERROR(B165/B162,0)</f>
        <v>0</v>
      </c>
      <c r="C169" s="95">
        <f t="shared" si="36"/>
        <v>0</v>
      </c>
      <c r="D169" s="95">
        <f t="shared" si="36"/>
        <v>0</v>
      </c>
      <c r="E169" s="95">
        <f t="shared" si="36"/>
        <v>0</v>
      </c>
      <c r="F169" s="95">
        <f t="shared" si="36"/>
        <v>0</v>
      </c>
      <c r="G169" s="95">
        <f t="shared" si="36"/>
        <v>0</v>
      </c>
      <c r="H169" s="95">
        <f t="shared" si="36"/>
        <v>0</v>
      </c>
      <c r="I169" s="95">
        <f t="shared" si="36"/>
        <v>0</v>
      </c>
      <c r="J169" s="95">
        <f t="shared" si="36"/>
        <v>0</v>
      </c>
      <c r="K169" s="95">
        <f t="shared" si="36"/>
        <v>0</v>
      </c>
      <c r="L169" s="95">
        <f t="shared" si="36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8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7">A4</f>
        <v>Vtas. 20</v>
      </c>
      <c r="B174" s="58">
        <f t="shared" ref="B174:L174" si="38">B51+B70+B34+B90</f>
        <v>0</v>
      </c>
      <c r="C174" s="58">
        <f t="shared" si="38"/>
        <v>0</v>
      </c>
      <c r="D174" s="58">
        <f t="shared" si="38"/>
        <v>0</v>
      </c>
      <c r="E174" s="58">
        <f t="shared" si="38"/>
        <v>0</v>
      </c>
      <c r="F174" s="58">
        <f t="shared" si="38"/>
        <v>0</v>
      </c>
      <c r="G174" s="58">
        <f t="shared" si="38"/>
        <v>0</v>
      </c>
      <c r="H174" s="58">
        <f t="shared" si="38"/>
        <v>0</v>
      </c>
      <c r="I174" s="58">
        <f t="shared" si="38"/>
        <v>0</v>
      </c>
      <c r="J174" s="58">
        <f t="shared" si="38"/>
        <v>0</v>
      </c>
      <c r="K174" s="58">
        <f t="shared" si="38"/>
        <v>0</v>
      </c>
      <c r="L174" s="58">
        <f t="shared" si="38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0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7"/>
        <v>Vtas. P. 20</v>
      </c>
      <c r="B175" s="60">
        <f t="shared" ref="B175:M175" si="39">B52+B71+B35+B91</f>
        <v>0</v>
      </c>
      <c r="C175" s="60">
        <f t="shared" si="39"/>
        <v>0</v>
      </c>
      <c r="D175" s="60">
        <f t="shared" si="39"/>
        <v>0</v>
      </c>
      <c r="E175" s="60">
        <f t="shared" si="39"/>
        <v>0</v>
      </c>
      <c r="F175" s="60">
        <f t="shared" si="39"/>
        <v>0</v>
      </c>
      <c r="G175" s="60">
        <f t="shared" si="39"/>
        <v>0</v>
      </c>
      <c r="H175" s="60">
        <f t="shared" si="39"/>
        <v>0</v>
      </c>
      <c r="I175" s="60">
        <f t="shared" si="39"/>
        <v>0</v>
      </c>
      <c r="J175" s="60">
        <f t="shared" si="39"/>
        <v>0</v>
      </c>
      <c r="K175" s="60">
        <f t="shared" si="39"/>
        <v>0</v>
      </c>
      <c r="L175" s="60">
        <f t="shared" si="39"/>
        <v>0</v>
      </c>
      <c r="M175" s="60">
        <f t="shared" si="39"/>
        <v>0</v>
      </c>
      <c r="N175" s="59"/>
      <c r="O175" s="48">
        <f>CHOOSE(MONTH(Mes_cierre),B175,C175,D175,E175,F175,G175,H175,I175,J175,K175,L175,M175)</f>
        <v>0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7"/>
        <v>Vtas. 19</v>
      </c>
      <c r="B176" s="60">
        <f t="shared" ref="B176:M176" si="40">B53+B72+B36+B92</f>
        <v>0</v>
      </c>
      <c r="C176" s="60">
        <f t="shared" si="40"/>
        <v>0</v>
      </c>
      <c r="D176" s="60">
        <f t="shared" si="40"/>
        <v>0</v>
      </c>
      <c r="E176" s="60">
        <f t="shared" si="40"/>
        <v>0</v>
      </c>
      <c r="F176" s="60">
        <f t="shared" si="40"/>
        <v>0</v>
      </c>
      <c r="G176" s="60">
        <f t="shared" si="40"/>
        <v>0</v>
      </c>
      <c r="H176" s="60">
        <f t="shared" si="40"/>
        <v>0</v>
      </c>
      <c r="I176" s="60">
        <f t="shared" si="40"/>
        <v>0</v>
      </c>
      <c r="J176" s="60">
        <f t="shared" si="40"/>
        <v>0</v>
      </c>
      <c r="K176" s="60">
        <f t="shared" si="40"/>
        <v>0</v>
      </c>
      <c r="L176" s="60">
        <f t="shared" si="40"/>
        <v>0</v>
      </c>
      <c r="M176" s="60">
        <f t="shared" si="40"/>
        <v>0</v>
      </c>
      <c r="N176" s="59"/>
      <c r="O176" s="48">
        <f>CHOOSE(MONTH(Mes_cierre),B176,C176,D176,E176,F176,G176,H176,I176,J176,K176,L176,M176)</f>
        <v>0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7"/>
        <v>UAFIR FL. 20</v>
      </c>
      <c r="B177" s="60">
        <f t="shared" ref="B177:M177" si="41">B54+B73+B37+B93</f>
        <v>0</v>
      </c>
      <c r="C177" s="60">
        <f t="shared" si="41"/>
        <v>0</v>
      </c>
      <c r="D177" s="60">
        <f t="shared" si="41"/>
        <v>0</v>
      </c>
      <c r="E177" s="60">
        <f t="shared" si="41"/>
        <v>0</v>
      </c>
      <c r="F177" s="60">
        <f t="shared" si="41"/>
        <v>0</v>
      </c>
      <c r="G177" s="60">
        <f t="shared" si="41"/>
        <v>0</v>
      </c>
      <c r="H177" s="60">
        <f t="shared" si="41"/>
        <v>0</v>
      </c>
      <c r="I177" s="60">
        <f t="shared" si="41"/>
        <v>0</v>
      </c>
      <c r="J177" s="60">
        <f t="shared" si="41"/>
        <v>0</v>
      </c>
      <c r="K177" s="60">
        <f t="shared" si="41"/>
        <v>0</v>
      </c>
      <c r="L177" s="60">
        <f t="shared" si="41"/>
        <v>0</v>
      </c>
      <c r="M177" s="60">
        <f t="shared" si="41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7"/>
        <v>UAFIRFL.P.20</v>
      </c>
      <c r="B178" s="60">
        <f t="shared" ref="B178:M178" si="42">B55+B74+B38+B94</f>
        <v>0</v>
      </c>
      <c r="C178" s="60">
        <f t="shared" si="42"/>
        <v>0</v>
      </c>
      <c r="D178" s="60">
        <f t="shared" si="42"/>
        <v>0</v>
      </c>
      <c r="E178" s="60">
        <f t="shared" si="42"/>
        <v>0</v>
      </c>
      <c r="F178" s="60">
        <f t="shared" si="42"/>
        <v>0</v>
      </c>
      <c r="G178" s="60">
        <f t="shared" si="42"/>
        <v>0</v>
      </c>
      <c r="H178" s="60">
        <f t="shared" si="42"/>
        <v>0</v>
      </c>
      <c r="I178" s="60">
        <f t="shared" si="42"/>
        <v>0</v>
      </c>
      <c r="J178" s="60">
        <f t="shared" si="42"/>
        <v>0</v>
      </c>
      <c r="K178" s="60">
        <f t="shared" si="42"/>
        <v>0</v>
      </c>
      <c r="L178" s="60">
        <f t="shared" si="42"/>
        <v>0</v>
      </c>
      <c r="M178" s="60">
        <f t="shared" si="42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7"/>
        <v>S. Deuda 20</v>
      </c>
      <c r="B179" s="60">
        <f t="shared" ref="B179:M179" si="43">B56+B75+B39+B95+B19</f>
        <v>0</v>
      </c>
      <c r="C179" s="60">
        <f t="shared" si="43"/>
        <v>0</v>
      </c>
      <c r="D179" s="60">
        <f t="shared" si="43"/>
        <v>0</v>
      </c>
      <c r="E179" s="60">
        <f t="shared" si="43"/>
        <v>0</v>
      </c>
      <c r="F179" s="60">
        <f t="shared" si="43"/>
        <v>0</v>
      </c>
      <c r="G179" s="60">
        <f t="shared" si="43"/>
        <v>0</v>
      </c>
      <c r="H179" s="60">
        <f t="shared" si="43"/>
        <v>0</v>
      </c>
      <c r="I179" s="60">
        <f t="shared" si="43"/>
        <v>0</v>
      </c>
      <c r="J179" s="60">
        <f t="shared" si="43"/>
        <v>0</v>
      </c>
      <c r="K179" s="60">
        <f t="shared" si="43"/>
        <v>0</v>
      </c>
      <c r="L179" s="60">
        <f t="shared" si="43"/>
        <v>0</v>
      </c>
      <c r="M179" s="60">
        <f t="shared" si="43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7"/>
        <v>Pagos Ext.</v>
      </c>
      <c r="B180" s="62">
        <f t="shared" ref="B180:M180" si="44">B57+B76+B40+B96+B21</f>
        <v>0</v>
      </c>
      <c r="C180" s="62">
        <f t="shared" si="44"/>
        <v>0</v>
      </c>
      <c r="D180" s="62">
        <f t="shared" si="44"/>
        <v>0</v>
      </c>
      <c r="E180" s="62">
        <f t="shared" si="44"/>
        <v>0</v>
      </c>
      <c r="F180" s="62">
        <f t="shared" si="44"/>
        <v>0</v>
      </c>
      <c r="G180" s="62">
        <f t="shared" si="44"/>
        <v>0</v>
      </c>
      <c r="H180" s="62">
        <f t="shared" si="44"/>
        <v>0</v>
      </c>
      <c r="I180" s="62">
        <f t="shared" si="44"/>
        <v>0</v>
      </c>
      <c r="J180" s="62">
        <f t="shared" si="44"/>
        <v>0</v>
      </c>
      <c r="K180" s="62">
        <f t="shared" si="44"/>
        <v>0</v>
      </c>
      <c r="L180" s="62">
        <f t="shared" si="44"/>
        <v>0</v>
      </c>
      <c r="M180" s="62">
        <f t="shared" si="44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5">IFERROR(B177/B174,0)</f>
        <v>0</v>
      </c>
      <c r="C181" s="65">
        <f t="shared" si="45"/>
        <v>0</v>
      </c>
      <c r="D181" s="65">
        <f t="shared" si="45"/>
        <v>0</v>
      </c>
      <c r="E181" s="65">
        <f t="shared" si="45"/>
        <v>0</v>
      </c>
      <c r="F181" s="65">
        <f t="shared" si="45"/>
        <v>0</v>
      </c>
      <c r="G181" s="65">
        <f t="shared" si="45"/>
        <v>0</v>
      </c>
      <c r="H181" s="65">
        <f t="shared" si="45"/>
        <v>0</v>
      </c>
      <c r="I181" s="65">
        <f t="shared" si="45"/>
        <v>0</v>
      </c>
      <c r="J181" s="65">
        <f t="shared" si="45"/>
        <v>0</v>
      </c>
      <c r="K181" s="65">
        <f t="shared" si="45"/>
        <v>0</v>
      </c>
      <c r="L181" s="65">
        <f t="shared" si="45"/>
        <v>0</v>
      </c>
      <c r="M181" s="65">
        <f t="shared" si="45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</v>
      </c>
      <c r="C182" s="67">
        <f t="shared" si="45"/>
        <v>0</v>
      </c>
      <c r="D182" s="67">
        <f t="shared" si="45"/>
        <v>0</v>
      </c>
      <c r="E182" s="67">
        <f t="shared" si="45"/>
        <v>0</v>
      </c>
      <c r="F182" s="67">
        <f t="shared" si="45"/>
        <v>0</v>
      </c>
      <c r="G182" s="67">
        <f t="shared" si="45"/>
        <v>0</v>
      </c>
      <c r="H182" s="67">
        <f t="shared" si="45"/>
        <v>0</v>
      </c>
      <c r="I182" s="67">
        <f t="shared" si="45"/>
        <v>0</v>
      </c>
      <c r="J182" s="67">
        <f t="shared" si="45"/>
        <v>0</v>
      </c>
      <c r="K182" s="67">
        <f t="shared" si="45"/>
        <v>0</v>
      </c>
      <c r="L182" s="67">
        <f t="shared" si="45"/>
        <v>0</v>
      </c>
      <c r="M182" s="67">
        <f t="shared" si="45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9" t="s">
        <v>107</v>
      </c>
      <c r="B184" s="88"/>
      <c r="C184" s="88"/>
      <c r="D184" s="88"/>
      <c r="E184" s="88"/>
      <c r="F184" s="88"/>
      <c r="G184" s="88"/>
      <c r="H184" s="88"/>
      <c r="I184" s="88"/>
      <c r="J184" s="120"/>
      <c r="K184" s="120"/>
      <c r="L184" s="120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1"/>
      <c r="I189" s="121"/>
      <c r="J189" s="121"/>
      <c r="K189" s="121"/>
      <c r="L189" s="121"/>
      <c r="M189" s="121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1"/>
      <c r="C190" s="121"/>
      <c r="D190" s="121"/>
      <c r="E190" s="121"/>
      <c r="F190" s="121"/>
      <c r="G190" s="121"/>
      <c r="H190" s="121"/>
      <c r="I190" s="121"/>
      <c r="J190" s="121"/>
      <c r="K190" s="121"/>
      <c r="L190" s="121"/>
      <c r="M190" s="121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1"/>
      <c r="C192" s="121"/>
      <c r="D192" s="121"/>
      <c r="E192" s="121"/>
      <c r="F192" s="121"/>
      <c r="G192" s="121"/>
      <c r="H192" s="121"/>
      <c r="I192" s="121"/>
      <c r="J192" s="121"/>
      <c r="K192" s="121"/>
      <c r="L192" s="121"/>
      <c r="M192" s="121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1"/>
      <c r="C194" s="121"/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1"/>
      <c r="C196" s="121"/>
      <c r="D196" s="121"/>
      <c r="E196" s="121"/>
      <c r="F196" s="121"/>
      <c r="G196" s="121"/>
      <c r="H196" s="121"/>
      <c r="I196" s="121"/>
      <c r="J196" s="121"/>
      <c r="K196" s="121"/>
      <c r="L196" s="121"/>
      <c r="M196" s="121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1"/>
      <c r="K197" s="121"/>
      <c r="L197" s="121"/>
      <c r="M197" s="121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1"/>
      <c r="K198" s="121"/>
      <c r="L198" s="121"/>
      <c r="M198" s="121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1"/>
      <c r="K199" s="121"/>
      <c r="L199" s="121"/>
      <c r="M199" s="121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2"/>
      <c r="K202" s="122"/>
      <c r="L202" s="122"/>
      <c r="M202" s="122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1"/>
      <c r="AU202" s="121"/>
      <c r="AV202" s="121"/>
      <c r="AW202" s="121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2"/>
      <c r="K203" s="122"/>
      <c r="L203" s="122"/>
      <c r="M203" s="122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1"/>
      <c r="AU203" s="121"/>
      <c r="AV203" s="121"/>
      <c r="AW203" s="121"/>
    </row>
    <row r="204" spans="1:49" ht="18" x14ac:dyDescent="0.4">
      <c r="A204" s="72"/>
      <c r="B204" s="64"/>
      <c r="C204" s="122"/>
      <c r="D204" s="97"/>
      <c r="E204" s="122"/>
      <c r="F204" s="122"/>
      <c r="G204" s="122"/>
      <c r="H204" s="122"/>
      <c r="I204" s="122"/>
      <c r="J204" s="122"/>
      <c r="K204" s="122"/>
      <c r="L204" s="122"/>
      <c r="M204" s="122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1"/>
      <c r="AU204" s="121"/>
      <c r="AV204" s="121"/>
      <c r="AW204" s="121"/>
    </row>
    <row r="205" spans="1:49" ht="18" x14ac:dyDescent="0.4">
      <c r="A205" s="72"/>
      <c r="B205" s="50" t="str">
        <f t="shared" ref="B205:B210" si="46">A149</f>
        <v>Vtas. 20</v>
      </c>
      <c r="C205" s="121"/>
      <c r="D205" s="122">
        <f t="shared" ref="D205:D211" si="47">CHOOSE(MONTH(Mes_cierre),B174,C174,D174,E174,F174,G174,H174,I174,J174,K174,L174,M174)</f>
        <v>0</v>
      </c>
      <c r="E205" s="123"/>
      <c r="F205" s="121"/>
      <c r="G205" s="50" t="str">
        <f t="shared" ref="G205:G210" si="48">B205</f>
        <v>Vtas. 20</v>
      </c>
      <c r="H205" s="121"/>
      <c r="I205" s="122">
        <f t="shared" ref="I205:I211" si="49">CHOOSE(MONTH(Mes_cierre),B108,C108,D108,E108,F108,G108,H108,I108,J108,K108,L108,M108)+CHOOSE(MONTH(Mes_cierre),B123,C123,D123,E123,F123,G123,H123,I123,J123,K123,L123,M123)</f>
        <v>0</v>
      </c>
      <c r="L205" s="122"/>
      <c r="M205" s="122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6"/>
        <v>Vtas. P. 20</v>
      </c>
      <c r="C206" s="121"/>
      <c r="D206" s="122">
        <f>CHOOSE(MONTH(Mes_cierre),B175,C175,D175,E175,F175,G175,H175,I175,J175,K175,L175,M175)</f>
        <v>0</v>
      </c>
      <c r="F206" s="121"/>
      <c r="G206" s="50" t="str">
        <f t="shared" si="48"/>
        <v>Vtas. P. 20</v>
      </c>
      <c r="H206" s="121"/>
      <c r="I206" s="122">
        <f t="shared" si="49"/>
        <v>0</v>
      </c>
      <c r="L206" s="122"/>
      <c r="M206" s="122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6"/>
        <v>Vtas. 19</v>
      </c>
      <c r="C207" s="121"/>
      <c r="D207" s="122">
        <f t="shared" si="47"/>
        <v>0</v>
      </c>
      <c r="F207" s="121"/>
      <c r="G207" s="50" t="str">
        <f t="shared" si="48"/>
        <v>Vtas. 19</v>
      </c>
      <c r="H207" s="121"/>
      <c r="I207" s="122">
        <f t="shared" si="49"/>
        <v>0</v>
      </c>
      <c r="J207" s="122"/>
      <c r="K207" s="122"/>
      <c r="L207" s="122"/>
      <c r="M207" s="122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2"/>
      <c r="AU207" s="122"/>
      <c r="AV207" s="122"/>
      <c r="AW207" s="122"/>
    </row>
    <row r="208" spans="1:49" ht="18" x14ac:dyDescent="0.4">
      <c r="A208" s="72"/>
      <c r="B208" s="50" t="str">
        <f t="shared" si="46"/>
        <v>UAFIR FL. 20</v>
      </c>
      <c r="C208" s="121"/>
      <c r="D208" s="122">
        <f t="shared" si="47"/>
        <v>0</v>
      </c>
      <c r="E208" s="121"/>
      <c r="F208" s="52"/>
      <c r="G208" s="50" t="str">
        <f t="shared" si="48"/>
        <v>UAFIR FL. 20</v>
      </c>
      <c r="H208" s="52"/>
      <c r="I208" s="122">
        <f t="shared" si="49"/>
        <v>0</v>
      </c>
      <c r="J208" s="122"/>
      <c r="K208" s="122"/>
      <c r="L208" s="122"/>
      <c r="M208" s="122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2"/>
      <c r="AU208" s="122"/>
      <c r="AV208" s="122"/>
      <c r="AW208" s="122"/>
    </row>
    <row r="209" spans="1:49" ht="18" x14ac:dyDescent="0.4">
      <c r="A209" s="76"/>
      <c r="B209" s="50" t="str">
        <f t="shared" si="46"/>
        <v>UAFIRFL.P.20</v>
      </c>
      <c r="C209" s="121"/>
      <c r="D209" s="122">
        <f t="shared" si="47"/>
        <v>0</v>
      </c>
      <c r="E209" s="121"/>
      <c r="F209" s="100"/>
      <c r="G209" s="50" t="str">
        <f t="shared" si="48"/>
        <v>UAFIRFL.P.20</v>
      </c>
      <c r="H209" s="100"/>
      <c r="I209" s="122">
        <f t="shared" si="49"/>
        <v>0</v>
      </c>
      <c r="J209" s="124"/>
      <c r="K209" s="124"/>
      <c r="L209" s="124"/>
      <c r="M209" s="124"/>
      <c r="AK209" s="72"/>
      <c r="AL209" s="64"/>
      <c r="AM209" s="122"/>
      <c r="AN209" s="97"/>
      <c r="AO209" s="122"/>
      <c r="AP209" s="122"/>
      <c r="AQ209" s="122"/>
      <c r="AR209" s="122"/>
      <c r="AS209" s="122"/>
      <c r="AT209" s="122"/>
      <c r="AU209" s="122"/>
      <c r="AV209" s="122"/>
      <c r="AW209" s="122"/>
    </row>
    <row r="210" spans="1:49" ht="18" x14ac:dyDescent="0.4">
      <c r="A210" s="76"/>
      <c r="B210" s="50" t="str">
        <f t="shared" si="46"/>
        <v>S. Deuda 20</v>
      </c>
      <c r="C210" s="122"/>
      <c r="D210" s="122">
        <f t="shared" si="47"/>
        <v>0</v>
      </c>
      <c r="E210" s="122"/>
      <c r="F210" s="122"/>
      <c r="G210" s="50" t="str">
        <f t="shared" si="48"/>
        <v>S. Deuda 20</v>
      </c>
      <c r="H210" s="122"/>
      <c r="I210" s="122">
        <f t="shared" si="49"/>
        <v>0</v>
      </c>
      <c r="J210" s="124"/>
      <c r="K210" s="124"/>
      <c r="L210" s="124"/>
      <c r="M210" s="124"/>
      <c r="AK210" s="72"/>
      <c r="AL210" s="50"/>
      <c r="AM210" s="121"/>
      <c r="AN210" s="122"/>
      <c r="AO210" s="123"/>
      <c r="AP210" s="121"/>
      <c r="AQ210" s="50"/>
      <c r="AR210" s="121"/>
      <c r="AS210" s="122"/>
      <c r="AV210" s="122"/>
      <c r="AW210" s="122"/>
    </row>
    <row r="211" spans="1:49" ht="18" x14ac:dyDescent="0.4">
      <c r="A211" s="76"/>
      <c r="B211" s="50" t="s">
        <v>57</v>
      </c>
      <c r="C211" s="122"/>
      <c r="D211" s="122">
        <f t="shared" si="47"/>
        <v>0</v>
      </c>
      <c r="E211" s="122"/>
      <c r="F211" s="122"/>
      <c r="G211" s="50" t="s">
        <v>57</v>
      </c>
      <c r="H211" s="122"/>
      <c r="I211" s="122">
        <f t="shared" si="49"/>
        <v>0</v>
      </c>
      <c r="J211" s="121"/>
      <c r="K211" s="121"/>
      <c r="L211" s="121"/>
      <c r="M211" s="121"/>
      <c r="AK211" s="72"/>
      <c r="AL211" s="50"/>
      <c r="AM211" s="121"/>
      <c r="AN211" s="122"/>
      <c r="AP211" s="121"/>
      <c r="AQ211" s="50"/>
      <c r="AR211" s="121"/>
      <c r="AS211" s="122"/>
      <c r="AV211" s="122"/>
      <c r="AW211" s="122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1"/>
      <c r="AN212" s="122"/>
      <c r="AP212" s="121"/>
      <c r="AQ212" s="50"/>
      <c r="AR212" s="121"/>
      <c r="AS212" s="122"/>
      <c r="AT212" s="122"/>
      <c r="AU212" s="122"/>
      <c r="AV212" s="122"/>
      <c r="AW212" s="122"/>
    </row>
    <row r="213" spans="1:49" ht="18" x14ac:dyDescent="0.4">
      <c r="A213" s="72"/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/>
      <c r="AK213" s="72"/>
      <c r="AL213" s="50"/>
      <c r="AM213" s="121"/>
      <c r="AN213" s="122"/>
      <c r="AO213" s="121"/>
      <c r="AP213" s="52"/>
      <c r="AQ213" s="50"/>
      <c r="AR213" s="52"/>
      <c r="AS213" s="122"/>
      <c r="AT213" s="122"/>
      <c r="AU213" s="122"/>
      <c r="AV213" s="122"/>
      <c r="AW213" s="122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1"/>
      <c r="AN214" s="122"/>
      <c r="AO214" s="121"/>
      <c r="AP214" s="100"/>
      <c r="AQ214" s="50"/>
      <c r="AR214" s="100"/>
      <c r="AS214" s="122"/>
      <c r="AT214" s="124"/>
      <c r="AU214" s="124"/>
      <c r="AV214" s="124"/>
      <c r="AW214" s="124"/>
    </row>
    <row r="215" spans="1:49" ht="18" x14ac:dyDescent="0.4">
      <c r="A215" s="72"/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/>
      <c r="AK215" s="76"/>
      <c r="AL215" s="50"/>
      <c r="AM215" s="122"/>
      <c r="AN215" s="122"/>
      <c r="AO215" s="122"/>
      <c r="AP215" s="122"/>
      <c r="AQ215" s="50"/>
      <c r="AR215" s="122"/>
      <c r="AS215" s="122"/>
      <c r="AT215" s="124"/>
      <c r="AU215" s="124"/>
      <c r="AV215" s="124"/>
      <c r="AW215" s="124"/>
    </row>
    <row r="216" spans="1:49" ht="18" x14ac:dyDescent="0.4">
      <c r="A216" s="72"/>
      <c r="B216" s="122"/>
      <c r="C216" s="122"/>
      <c r="D216" s="122"/>
      <c r="E216" s="122"/>
      <c r="F216" s="125"/>
      <c r="H216" s="122"/>
      <c r="I216" s="122"/>
      <c r="J216" s="122"/>
      <c r="K216" s="122"/>
      <c r="L216" s="122"/>
      <c r="M216" s="122"/>
      <c r="AK216" s="76"/>
      <c r="AL216" s="50"/>
      <c r="AM216" s="122"/>
      <c r="AN216" s="122"/>
      <c r="AO216" s="122"/>
      <c r="AP216" s="122"/>
      <c r="AQ216" s="50"/>
      <c r="AR216" s="122"/>
      <c r="AS216" s="122"/>
      <c r="AT216" s="121"/>
      <c r="AU216" s="121"/>
      <c r="AV216" s="121"/>
      <c r="AW216" s="121"/>
    </row>
    <row r="217" spans="1:49" x14ac:dyDescent="0.35">
      <c r="A217" s="76"/>
      <c r="B217" s="124"/>
      <c r="C217" s="124"/>
      <c r="D217" s="124"/>
      <c r="E217" s="124"/>
      <c r="F217" s="126"/>
      <c r="H217" s="124"/>
      <c r="I217" s="124"/>
      <c r="J217" s="124"/>
      <c r="K217" s="124"/>
      <c r="L217" s="124"/>
      <c r="M217" s="124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4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AK218" s="72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</row>
    <row r="219" spans="1:49" x14ac:dyDescent="0.35">
      <c r="A219" s="76"/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2"/>
      <c r="AM221" s="122"/>
      <c r="AN221" s="122"/>
      <c r="AO221" s="122"/>
      <c r="AP221" s="125"/>
      <c r="AR221" s="122"/>
      <c r="AS221" s="122"/>
      <c r="AT221" s="122"/>
      <c r="AU221" s="122"/>
      <c r="AV221" s="122"/>
      <c r="AW221" s="122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4"/>
      <c r="AM222" s="124"/>
      <c r="AN222" s="124"/>
      <c r="AO222" s="124"/>
      <c r="AP222" s="126"/>
      <c r="AR222" s="124"/>
      <c r="AS222" s="124"/>
      <c r="AT222" s="124"/>
      <c r="AU222" s="124"/>
      <c r="AV222" s="124"/>
      <c r="AW222" s="124"/>
    </row>
    <row r="223" spans="1:49" x14ac:dyDescent="0.35">
      <c r="A223" s="72"/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/>
      <c r="AK223" s="76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4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4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1"/>
      <c r="C234" s="121"/>
      <c r="D234" s="121"/>
      <c r="E234" s="121"/>
      <c r="F234" s="121"/>
      <c r="G234" s="121"/>
      <c r="H234" s="121"/>
      <c r="I234" s="121"/>
      <c r="J234" s="121"/>
      <c r="K234" s="121"/>
      <c r="L234" s="121"/>
      <c r="M234" s="121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</row>
    <row r="238" spans="1:49" hidden="1" x14ac:dyDescent="0.35">
      <c r="A238" s="72"/>
      <c r="B238" s="121"/>
      <c r="C238" s="121"/>
      <c r="D238" s="121"/>
      <c r="E238" s="121"/>
      <c r="F238" s="121"/>
      <c r="G238" s="121"/>
      <c r="H238" s="121"/>
      <c r="I238" s="121"/>
      <c r="J238" s="121"/>
      <c r="K238" s="121"/>
      <c r="L238" s="121"/>
      <c r="M238" s="121"/>
      <c r="AK238" s="76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4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4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</row>
    <row r="253" spans="1:49" hidden="1" x14ac:dyDescent="0.35">
      <c r="A253" s="72"/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/>
      <c r="AK253" s="76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1"/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1"/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4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4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</row>
    <row r="268" spans="1:49" hidden="1" x14ac:dyDescent="0.35">
      <c r="A268" s="72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AK268" s="76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1"/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1"/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4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</row>
    <row r="283" spans="1:49" ht="18" hidden="1" x14ac:dyDescent="0.4">
      <c r="A283" s="72"/>
      <c r="B283" s="127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AK283" s="76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1"/>
      <c r="AM284" s="121"/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7"/>
      <c r="AM288" s="121"/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4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4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2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</row>
    <row r="298" spans="1:49" ht="18" hidden="1" x14ac:dyDescent="0.4">
      <c r="A298" s="72"/>
      <c r="B298" s="127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AK298" s="76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8"/>
      <c r="J299" s="52"/>
      <c r="K299" s="52"/>
      <c r="L299" s="52"/>
      <c r="M299" s="52"/>
      <c r="AK299" s="76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</row>
    <row r="300" spans="1:49" ht="18" hidden="1" x14ac:dyDescent="0.4">
      <c r="A300" s="57"/>
      <c r="B300" s="100"/>
      <c r="C300" s="100"/>
      <c r="D300" s="123">
        <f>D208</f>
        <v>0</v>
      </c>
      <c r="E300" s="100"/>
      <c r="F300" s="129"/>
      <c r="G300" s="125"/>
      <c r="H300" s="100"/>
      <c r="I300" s="130"/>
      <c r="J300" s="131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2"/>
      <c r="C301" s="122"/>
      <c r="D301" s="123">
        <f>D209</f>
        <v>0</v>
      </c>
      <c r="E301" s="122"/>
      <c r="F301" s="132"/>
      <c r="G301" s="125"/>
      <c r="H301" s="122"/>
      <c r="J301" s="122"/>
      <c r="K301" s="122"/>
      <c r="L301" s="122"/>
      <c r="M301" s="122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2"/>
      <c r="C302" s="122"/>
      <c r="D302" s="122">
        <f>D300-D301</f>
        <v>0</v>
      </c>
      <c r="E302" s="122"/>
      <c r="F302" s="122"/>
      <c r="G302" s="122"/>
      <c r="H302" s="122"/>
      <c r="I302" s="128"/>
      <c r="J302" s="122"/>
      <c r="K302" s="122"/>
      <c r="L302" s="122"/>
      <c r="M302" s="122"/>
      <c r="AK302" s="72"/>
      <c r="AL302" s="122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2"/>
      <c r="C303" s="122"/>
      <c r="D303" s="122"/>
      <c r="E303" s="122"/>
      <c r="F303" s="122"/>
      <c r="G303" s="122"/>
      <c r="H303" s="122"/>
      <c r="I303" s="133"/>
      <c r="J303" s="122"/>
      <c r="K303" s="122"/>
      <c r="L303" s="122"/>
      <c r="M303" s="122"/>
      <c r="AK303" s="72"/>
      <c r="AL303" s="127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</row>
    <row r="304" spans="1:49" ht="18" x14ac:dyDescent="0.4">
      <c r="A304" s="72"/>
      <c r="B304" s="122"/>
      <c r="C304" s="122"/>
      <c r="D304" s="122"/>
      <c r="E304" s="122"/>
      <c r="F304" s="122"/>
      <c r="G304" s="122"/>
      <c r="H304" s="122"/>
      <c r="I304" s="128"/>
      <c r="J304" s="122"/>
      <c r="K304" s="122"/>
      <c r="L304" s="122"/>
      <c r="M304" s="122"/>
      <c r="AK304" s="76"/>
      <c r="AL304" s="52"/>
      <c r="AM304" s="51"/>
      <c r="AN304" s="52"/>
      <c r="AO304" s="52"/>
      <c r="AP304" s="52"/>
      <c r="AQ304" s="52"/>
      <c r="AR304" s="52"/>
      <c r="AS304" s="128"/>
      <c r="AT304" s="52"/>
      <c r="AU304" s="52"/>
      <c r="AV304" s="52"/>
      <c r="AW304" s="52"/>
    </row>
    <row r="305" spans="1:49" ht="18" x14ac:dyDescent="0.4">
      <c r="A305" s="7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AK305" s="57"/>
      <c r="AL305" s="100"/>
      <c r="AM305" s="100"/>
      <c r="AN305" s="123"/>
      <c r="AO305" s="100"/>
      <c r="AP305" s="129"/>
      <c r="AQ305" s="125"/>
      <c r="AR305" s="100"/>
      <c r="AS305" s="130"/>
      <c r="AT305" s="131"/>
      <c r="AU305" s="100"/>
      <c r="AV305" s="100"/>
      <c r="AW305" s="100"/>
    </row>
    <row r="306" spans="1:49" ht="18" x14ac:dyDescent="0.4">
      <c r="A306" s="7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AK306" s="72"/>
      <c r="AL306" s="122"/>
      <c r="AM306" s="122"/>
      <c r="AN306" s="123"/>
      <c r="AO306" s="122"/>
      <c r="AP306" s="132"/>
      <c r="AQ306" s="125"/>
      <c r="AR306" s="122"/>
      <c r="AT306" s="122"/>
      <c r="AU306" s="122"/>
      <c r="AV306" s="122"/>
      <c r="AW306" s="122"/>
    </row>
    <row r="307" spans="1:49" ht="18" x14ac:dyDescent="0.4">
      <c r="A307" s="7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AK307" s="72"/>
      <c r="AL307" s="122"/>
      <c r="AM307" s="122"/>
      <c r="AN307" s="122"/>
      <c r="AO307" s="122"/>
      <c r="AP307" s="122"/>
      <c r="AQ307" s="122"/>
      <c r="AR307" s="122"/>
      <c r="AS307" s="128"/>
      <c r="AT307" s="122"/>
      <c r="AU307" s="122"/>
      <c r="AV307" s="122"/>
      <c r="AW307" s="122"/>
    </row>
    <row r="308" spans="1:49" ht="18" x14ac:dyDescent="0.4">
      <c r="A308" s="76"/>
      <c r="B308" s="124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AK308" s="72"/>
      <c r="AL308" s="122"/>
      <c r="AM308" s="122"/>
      <c r="AN308" s="122"/>
      <c r="AO308" s="122"/>
      <c r="AP308" s="122"/>
      <c r="AQ308" s="122"/>
      <c r="AR308" s="122"/>
      <c r="AS308" s="133"/>
      <c r="AT308" s="122"/>
      <c r="AU308" s="122"/>
      <c r="AV308" s="122"/>
      <c r="AW308" s="122"/>
    </row>
    <row r="309" spans="1:49" ht="18" x14ac:dyDescent="0.4">
      <c r="A309" s="76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AK309" s="72"/>
      <c r="AL309" s="122"/>
      <c r="AM309" s="122"/>
      <c r="AN309" s="122"/>
      <c r="AO309" s="122"/>
      <c r="AP309" s="122"/>
      <c r="AQ309" s="122"/>
      <c r="AR309" s="122"/>
      <c r="AS309" s="128"/>
      <c r="AT309" s="122"/>
      <c r="AU309" s="122"/>
      <c r="AV309" s="122"/>
      <c r="AW309" s="122"/>
    </row>
    <row r="310" spans="1:49" ht="18" x14ac:dyDescent="0.4">
      <c r="A310" s="76"/>
      <c r="B310" s="121"/>
      <c r="C310" s="121"/>
      <c r="D310" s="121"/>
      <c r="E310" s="121"/>
      <c r="F310" s="121"/>
      <c r="G310" s="121"/>
      <c r="H310" s="121"/>
      <c r="I310" s="121"/>
      <c r="J310" s="121"/>
      <c r="K310" s="121"/>
      <c r="L310" s="121"/>
      <c r="M310" s="121"/>
      <c r="AK310" s="7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4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4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1"/>
      <c r="C340" s="121"/>
      <c r="D340" s="121"/>
      <c r="E340" s="121"/>
      <c r="F340" s="121"/>
      <c r="G340" s="121"/>
      <c r="H340" s="121"/>
      <c r="I340" s="121"/>
      <c r="J340" s="121"/>
      <c r="K340" s="121"/>
      <c r="L340" s="121"/>
      <c r="M340" s="121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</row>
    <row r="344" spans="1:49" ht="18" hidden="1" x14ac:dyDescent="0.4">
      <c r="A344" s="72"/>
      <c r="B344" s="122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2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4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</row>
    <row r="359" spans="1:49" ht="18" hidden="1" x14ac:dyDescent="0.4">
      <c r="A359" s="72"/>
      <c r="B359" s="122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2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4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1"/>
      <c r="C370" s="121"/>
      <c r="D370" s="121"/>
      <c r="E370" s="121"/>
      <c r="F370" s="121"/>
      <c r="G370" s="121"/>
      <c r="H370" s="121"/>
      <c r="I370" s="121"/>
      <c r="J370" s="121"/>
      <c r="K370" s="121"/>
      <c r="L370" s="121"/>
      <c r="M370" s="121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</row>
    <row r="374" spans="1:49" ht="18" hidden="1" x14ac:dyDescent="0.4">
      <c r="A374" s="72"/>
      <c r="B374" s="122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2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4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4"/>
      <c r="AM388" s="124"/>
      <c r="AN388" s="124"/>
      <c r="AO388" s="124"/>
      <c r="AP388" s="124"/>
      <c r="AQ388" s="124"/>
      <c r="AR388" s="124"/>
      <c r="AS388" s="124"/>
      <c r="AT388" s="124"/>
      <c r="AU388" s="124"/>
      <c r="AV388" s="124"/>
      <c r="AW388" s="124"/>
    </row>
    <row r="389" spans="1:49" ht="18" hidden="1" x14ac:dyDescent="0.4">
      <c r="A389" s="72"/>
      <c r="B389" s="127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/>
      <c r="AK389" s="76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</row>
    <row r="390" spans="1:49" hidden="1" x14ac:dyDescent="0.35">
      <c r="A390" s="76"/>
      <c r="B390" s="121"/>
      <c r="C390" s="121"/>
      <c r="D390" s="121"/>
      <c r="E390" s="121"/>
      <c r="F390" s="121"/>
      <c r="G390" s="121"/>
      <c r="H390" s="121"/>
      <c r="I390" s="121"/>
      <c r="J390" s="121"/>
      <c r="K390" s="121"/>
      <c r="L390" s="121"/>
      <c r="M390" s="121"/>
      <c r="AK390" s="76"/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5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AK394" s="72"/>
      <c r="AL394" s="127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</row>
    <row r="395" spans="1:49" ht="18" x14ac:dyDescent="0.4">
      <c r="A395" s="7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AK395" s="76"/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</row>
    <row r="396" spans="1:49" ht="18" x14ac:dyDescent="0.4">
      <c r="A396" s="7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AK397" s="115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AK398" s="7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</row>
    <row r="399" spans="1:49" ht="18" x14ac:dyDescent="0.4">
      <c r="A399" s="7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AK399" s="7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</row>
    <row r="400" spans="1:49" ht="18" x14ac:dyDescent="0.4">
      <c r="A400" s="76"/>
      <c r="B400" s="124"/>
      <c r="C400" s="124"/>
      <c r="D400" s="124"/>
      <c r="E400" s="124"/>
      <c r="F400" s="124"/>
      <c r="G400" s="124"/>
      <c r="H400" s="124"/>
      <c r="I400" s="124"/>
      <c r="J400" s="124"/>
      <c r="K400" s="124"/>
      <c r="L400" s="124"/>
      <c r="M400" s="124"/>
      <c r="AK400" s="7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</row>
    <row r="401" spans="1:49" ht="18" x14ac:dyDescent="0.4">
      <c r="A401" s="76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AK401" s="7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</row>
    <row r="402" spans="1:49" ht="18" x14ac:dyDescent="0.4">
      <c r="A402" s="76"/>
      <c r="B402" s="121"/>
      <c r="C402" s="121"/>
      <c r="D402" s="121"/>
      <c r="E402" s="121"/>
      <c r="F402" s="121"/>
      <c r="G402" s="121"/>
      <c r="H402" s="121"/>
      <c r="I402" s="121"/>
      <c r="J402" s="121"/>
      <c r="K402" s="121"/>
      <c r="L402" s="121"/>
      <c r="M402" s="121"/>
      <c r="AK402" s="7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4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4"/>
      <c r="AM420" s="124"/>
      <c r="AN420" s="124"/>
      <c r="AO420" s="124"/>
      <c r="AP420" s="124"/>
      <c r="AQ420" s="124"/>
      <c r="AR420" s="124"/>
      <c r="AS420" s="124"/>
      <c r="AT420" s="124"/>
      <c r="AU420" s="124"/>
      <c r="AV420" s="124"/>
      <c r="AW420" s="124"/>
    </row>
    <row r="421" spans="1:49" ht="18" hidden="1" x14ac:dyDescent="0.4">
      <c r="A421" s="72"/>
      <c r="B421" s="122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2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4"/>
      <c r="C430" s="124"/>
      <c r="D430" s="124"/>
      <c r="E430" s="124"/>
      <c r="F430" s="124"/>
      <c r="G430" s="124"/>
      <c r="H430" s="124"/>
      <c r="I430" s="124"/>
      <c r="J430" s="124"/>
      <c r="K430" s="124"/>
      <c r="L430" s="124"/>
      <c r="M430" s="124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1"/>
      <c r="C432" s="121"/>
      <c r="D432" s="121"/>
      <c r="E432" s="121"/>
      <c r="F432" s="121"/>
      <c r="G432" s="121"/>
      <c r="H432" s="121"/>
      <c r="I432" s="121"/>
      <c r="J432" s="121"/>
      <c r="K432" s="121"/>
      <c r="L432" s="121"/>
      <c r="M432" s="121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4"/>
      <c r="AM435" s="124"/>
      <c r="AN435" s="124"/>
      <c r="AO435" s="124"/>
      <c r="AP435" s="124"/>
      <c r="AQ435" s="124"/>
      <c r="AR435" s="124"/>
      <c r="AS435" s="124"/>
      <c r="AT435" s="124"/>
      <c r="AU435" s="124"/>
      <c r="AV435" s="124"/>
      <c r="AW435" s="124"/>
    </row>
    <row r="436" spans="1:49" ht="18" hidden="1" x14ac:dyDescent="0.4">
      <c r="A436" s="72"/>
      <c r="B436" s="122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2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4"/>
      <c r="C445" s="124"/>
      <c r="D445" s="124"/>
      <c r="E445" s="124"/>
      <c r="F445" s="124"/>
      <c r="G445" s="124"/>
      <c r="H445" s="124"/>
      <c r="I445" s="124"/>
      <c r="J445" s="124"/>
      <c r="K445" s="124"/>
      <c r="L445" s="124"/>
      <c r="M445" s="124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4"/>
      <c r="AM450" s="124"/>
      <c r="AN450" s="124"/>
      <c r="AO450" s="124"/>
      <c r="AP450" s="124"/>
      <c r="AQ450" s="124"/>
      <c r="AR450" s="124"/>
      <c r="AS450" s="124"/>
      <c r="AT450" s="124"/>
      <c r="AU450" s="124"/>
      <c r="AV450" s="124"/>
      <c r="AW450" s="124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</row>
    <row r="452" spans="1:49" ht="18" hidden="1" x14ac:dyDescent="0.4">
      <c r="A452" s="72"/>
      <c r="B452" s="127"/>
      <c r="C452" s="121"/>
      <c r="D452" s="121"/>
      <c r="E452" s="121"/>
      <c r="F452" s="121"/>
      <c r="G452" s="121"/>
      <c r="H452" s="121"/>
      <c r="I452" s="121"/>
      <c r="J452" s="121"/>
      <c r="K452" s="121"/>
      <c r="L452" s="121"/>
      <c r="M452" s="121"/>
      <c r="AK452" s="76"/>
      <c r="AL452" s="121"/>
      <c r="AM452" s="121"/>
      <c r="AN452" s="121"/>
      <c r="AO452" s="121"/>
      <c r="AP452" s="121"/>
      <c r="AQ452" s="121"/>
      <c r="AR452" s="121"/>
      <c r="AS452" s="121"/>
      <c r="AT452" s="121"/>
      <c r="AU452" s="121"/>
      <c r="AV452" s="121"/>
      <c r="AW452" s="121"/>
    </row>
    <row r="453" spans="1:49" hidden="1" x14ac:dyDescent="0.35">
      <c r="A453" s="76"/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AK457" s="72"/>
      <c r="AL457" s="127"/>
      <c r="AM457" s="121"/>
      <c r="AN457" s="121"/>
      <c r="AO457" s="121"/>
      <c r="AP457" s="121"/>
      <c r="AQ457" s="121"/>
      <c r="AR457" s="121"/>
      <c r="AS457" s="121"/>
      <c r="AT457" s="121"/>
      <c r="AU457" s="121"/>
      <c r="AV457" s="121"/>
      <c r="AW457" s="121"/>
    </row>
    <row r="458" spans="1:49" ht="18" x14ac:dyDescent="0.4">
      <c r="A458" s="7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AK458" s="76"/>
      <c r="AL458" s="121"/>
      <c r="AM458" s="121"/>
      <c r="AN458" s="121"/>
      <c r="AO458" s="121"/>
      <c r="AP458" s="121"/>
      <c r="AQ458" s="121"/>
      <c r="AR458" s="121"/>
      <c r="AS458" s="121"/>
      <c r="AT458" s="121"/>
      <c r="AU458" s="121"/>
      <c r="AV458" s="121"/>
      <c r="AW458" s="121"/>
    </row>
    <row r="459" spans="1:49" ht="18" x14ac:dyDescent="0.4">
      <c r="A459" s="7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AK461" s="7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</row>
    <row r="462" spans="1:49" ht="18" x14ac:dyDescent="0.4">
      <c r="A462" s="7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AK462" s="7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</row>
    <row r="463" spans="1:49" ht="18" x14ac:dyDescent="0.4">
      <c r="A463" s="76"/>
      <c r="B463" s="124"/>
      <c r="C463" s="124"/>
      <c r="D463" s="124"/>
      <c r="E463" s="124"/>
      <c r="F463" s="124"/>
      <c r="G463" s="124"/>
      <c r="H463" s="124"/>
      <c r="I463" s="124"/>
      <c r="J463" s="124"/>
      <c r="K463" s="124"/>
      <c r="L463" s="124"/>
      <c r="M463" s="124"/>
      <c r="AK463" s="7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</row>
    <row r="464" spans="1:49" ht="18" x14ac:dyDescent="0.4">
      <c r="A464" s="76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AK464" s="7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</row>
    <row r="465" spans="1:49" ht="18" x14ac:dyDescent="0.4">
      <c r="A465" s="76"/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AK465" s="7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</row>
    <row r="467" spans="1:49" ht="18" x14ac:dyDescent="0.4">
      <c r="A467" s="76"/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AK467" s="7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</row>
    <row r="468" spans="1:49" x14ac:dyDescent="0.35">
      <c r="A468" s="76"/>
      <c r="B468" s="121"/>
      <c r="C468" s="121"/>
      <c r="D468" s="121"/>
      <c r="E468" s="121"/>
      <c r="F468" s="121"/>
      <c r="G468" s="121"/>
      <c r="H468" s="121"/>
      <c r="I468" s="121"/>
      <c r="J468" s="121"/>
      <c r="K468" s="121"/>
      <c r="L468" s="121"/>
      <c r="M468" s="121"/>
      <c r="AK468" s="76"/>
      <c r="AL468" s="124"/>
      <c r="AM468" s="124"/>
      <c r="AN468" s="124"/>
      <c r="AO468" s="124"/>
      <c r="AP468" s="124"/>
      <c r="AQ468" s="124"/>
      <c r="AR468" s="124"/>
      <c r="AS468" s="124"/>
      <c r="AT468" s="124"/>
      <c r="AU468" s="124"/>
      <c r="AV468" s="124"/>
      <c r="AW468" s="124"/>
    </row>
    <row r="469" spans="1:49" ht="18" x14ac:dyDescent="0.4">
      <c r="A469" s="72"/>
      <c r="B469" s="127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/>
      <c r="AK469" s="76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</row>
    <row r="470" spans="1:49" x14ac:dyDescent="0.35">
      <c r="A470" s="76"/>
      <c r="B470" s="121"/>
      <c r="C470" s="121"/>
      <c r="D470" s="121"/>
      <c r="E470" s="121"/>
      <c r="F470" s="121"/>
      <c r="G470" s="121"/>
      <c r="H470" s="121"/>
      <c r="I470" s="121"/>
      <c r="J470" s="121"/>
      <c r="K470" s="121"/>
      <c r="L470" s="121"/>
      <c r="M470" s="121"/>
      <c r="AK470" s="76"/>
      <c r="AL470" s="121"/>
      <c r="AM470" s="121"/>
      <c r="AN470" s="121"/>
      <c r="AO470" s="121"/>
      <c r="AP470" s="121"/>
      <c r="AQ470" s="121"/>
      <c r="AR470" s="121"/>
      <c r="AS470" s="121"/>
      <c r="AT470" s="121"/>
      <c r="AU470" s="121"/>
      <c r="AV470" s="121"/>
      <c r="AW470" s="121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1"/>
      <c r="AM472" s="121"/>
      <c r="AN472" s="121"/>
      <c r="AO472" s="121"/>
      <c r="AP472" s="121"/>
      <c r="AQ472" s="121"/>
      <c r="AR472" s="121"/>
      <c r="AS472" s="121"/>
      <c r="AT472" s="121"/>
      <c r="AU472" s="121"/>
      <c r="AV472" s="121"/>
      <c r="AW472" s="121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1"/>
      <c r="AM473" s="121"/>
      <c r="AN473" s="121"/>
      <c r="AO473" s="121"/>
      <c r="AP473" s="121"/>
      <c r="AQ473" s="121"/>
      <c r="AR473" s="121"/>
      <c r="AS473" s="121"/>
      <c r="AT473" s="121"/>
      <c r="AU473" s="121"/>
      <c r="AV473" s="121"/>
      <c r="AW473" s="121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7"/>
      <c r="AM474" s="121"/>
      <c r="AN474" s="121"/>
      <c r="AO474" s="121"/>
      <c r="AP474" s="121"/>
      <c r="AQ474" s="121"/>
      <c r="AR474" s="121"/>
      <c r="AS474" s="121"/>
      <c r="AT474" s="121"/>
      <c r="AU474" s="121"/>
      <c r="AV474" s="121"/>
      <c r="AW474" s="121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1"/>
      <c r="AM475" s="121"/>
      <c r="AN475" s="121"/>
      <c r="AO475" s="121"/>
      <c r="AP475" s="121"/>
      <c r="AQ475" s="121"/>
      <c r="AR475" s="121"/>
      <c r="AS475" s="121"/>
      <c r="AT475" s="121"/>
      <c r="AU475" s="121"/>
      <c r="AV475" s="121"/>
      <c r="AW475" s="121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4"/>
      <c r="C479" s="124"/>
      <c r="D479" s="124"/>
      <c r="E479" s="124"/>
      <c r="F479" s="124"/>
      <c r="G479" s="124"/>
      <c r="H479" s="124"/>
      <c r="I479" s="124"/>
      <c r="J479" s="124"/>
      <c r="K479" s="124"/>
      <c r="L479" s="124"/>
      <c r="M479" s="124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7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1"/>
      <c r="C484" s="121"/>
      <c r="D484" s="121"/>
      <c r="E484" s="121"/>
      <c r="F484" s="121"/>
      <c r="G484" s="121"/>
      <c r="H484" s="121"/>
      <c r="I484" s="121"/>
      <c r="J484" s="121"/>
      <c r="K484" s="121"/>
      <c r="L484" s="121"/>
      <c r="M484" s="121"/>
      <c r="AK484" s="76"/>
      <c r="AL484" s="124"/>
      <c r="AM484" s="124"/>
      <c r="AN484" s="124"/>
      <c r="AO484" s="124"/>
      <c r="AP484" s="124"/>
      <c r="AQ484" s="124"/>
      <c r="AR484" s="124"/>
      <c r="AS484" s="124"/>
      <c r="AT484" s="124"/>
      <c r="AU484" s="124"/>
      <c r="AV484" s="124"/>
      <c r="AW484" s="124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</row>
    <row r="486" spans="1:49" ht="18" hidden="1" x14ac:dyDescent="0.4">
      <c r="A486" s="115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1"/>
      <c r="AM486" s="121"/>
      <c r="AN486" s="121"/>
      <c r="AO486" s="121"/>
      <c r="AP486" s="121"/>
      <c r="AQ486" s="121"/>
      <c r="AR486" s="121"/>
      <c r="AS486" s="121"/>
      <c r="AT486" s="121"/>
      <c r="AU486" s="121"/>
      <c r="AV486" s="121"/>
      <c r="AW486" s="121"/>
    </row>
    <row r="487" spans="1:49" ht="18" hidden="1" x14ac:dyDescent="0.4">
      <c r="A487" s="7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AK488" s="72"/>
      <c r="AL488" s="127"/>
      <c r="AM488" s="121"/>
      <c r="AN488" s="121"/>
      <c r="AO488" s="121"/>
      <c r="AP488" s="121"/>
      <c r="AQ488" s="121"/>
      <c r="AR488" s="121"/>
      <c r="AS488" s="121"/>
      <c r="AT488" s="121"/>
      <c r="AU488" s="121"/>
      <c r="AV488" s="121"/>
      <c r="AW488" s="121"/>
    </row>
    <row r="489" spans="1:49" ht="18" x14ac:dyDescent="0.4">
      <c r="A489" s="7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AK489" s="76"/>
      <c r="AL489" s="121"/>
      <c r="AM489" s="121"/>
      <c r="AN489" s="121"/>
      <c r="AO489" s="121"/>
      <c r="AP489" s="121"/>
      <c r="AQ489" s="121"/>
      <c r="AR489" s="121"/>
      <c r="AS489" s="121"/>
      <c r="AT489" s="121"/>
      <c r="AU489" s="121"/>
      <c r="AV489" s="121"/>
      <c r="AW489" s="121"/>
    </row>
    <row r="490" spans="1:49" ht="18" x14ac:dyDescent="0.4">
      <c r="A490" s="7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AK491" s="115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AK492" s="7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</row>
    <row r="493" spans="1:49" ht="18" x14ac:dyDescent="0.4">
      <c r="A493" s="7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AK493" s="7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</row>
    <row r="494" spans="1:49" ht="18" x14ac:dyDescent="0.4">
      <c r="A494" s="76"/>
      <c r="B494" s="124"/>
      <c r="C494" s="124"/>
      <c r="D494" s="124"/>
      <c r="E494" s="124"/>
      <c r="F494" s="124"/>
      <c r="G494" s="124"/>
      <c r="H494" s="124"/>
      <c r="I494" s="124"/>
      <c r="J494" s="124"/>
      <c r="K494" s="124"/>
      <c r="L494" s="124"/>
      <c r="M494" s="124"/>
      <c r="AK494" s="7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</row>
    <row r="495" spans="1:49" ht="18" x14ac:dyDescent="0.4">
      <c r="A495" s="76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AK495" s="7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</row>
    <row r="496" spans="1:49" ht="18" x14ac:dyDescent="0.4">
      <c r="A496" s="76"/>
      <c r="B496" s="121"/>
      <c r="C496" s="121"/>
      <c r="D496" s="121"/>
      <c r="E496" s="121"/>
      <c r="F496" s="121"/>
      <c r="G496" s="121"/>
      <c r="H496" s="121"/>
      <c r="I496" s="121"/>
      <c r="J496" s="121"/>
      <c r="K496" s="121"/>
      <c r="L496" s="121"/>
      <c r="M496" s="121"/>
      <c r="AK496" s="7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4"/>
      <c r="AM499" s="124"/>
      <c r="AN499" s="124"/>
      <c r="AO499" s="124"/>
      <c r="AP499" s="124"/>
      <c r="AQ499" s="124"/>
      <c r="AR499" s="124"/>
      <c r="AS499" s="124"/>
      <c r="AT499" s="124"/>
      <c r="AU499" s="124"/>
      <c r="AV499" s="124"/>
      <c r="AW499" s="124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1"/>
      <c r="AM501" s="121"/>
      <c r="AN501" s="121"/>
      <c r="AO501" s="121"/>
      <c r="AP501" s="121"/>
      <c r="AQ501" s="121"/>
      <c r="AR501" s="121"/>
      <c r="AS501" s="121"/>
      <c r="AT501" s="121"/>
      <c r="AU501" s="121"/>
      <c r="AV501" s="121"/>
      <c r="AW501" s="121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4"/>
      <c r="C509" s="124"/>
      <c r="D509" s="124"/>
      <c r="E509" s="124"/>
      <c r="F509" s="124"/>
      <c r="G509" s="124"/>
      <c r="H509" s="124"/>
      <c r="I509" s="124"/>
      <c r="J509" s="124"/>
      <c r="K509" s="124"/>
      <c r="L509" s="124"/>
      <c r="M509" s="124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1"/>
      <c r="C514" s="121"/>
      <c r="D514" s="121"/>
      <c r="E514" s="121"/>
      <c r="F514" s="121"/>
      <c r="G514" s="121"/>
      <c r="H514" s="121"/>
      <c r="I514" s="121"/>
      <c r="J514" s="121"/>
      <c r="K514" s="121"/>
      <c r="L514" s="121"/>
      <c r="M514" s="121"/>
      <c r="AK514" s="76"/>
      <c r="AL514" s="124"/>
      <c r="AM514" s="124"/>
      <c r="AN514" s="124"/>
      <c r="AO514" s="124"/>
      <c r="AP514" s="124"/>
      <c r="AQ514" s="124"/>
      <c r="AR514" s="124"/>
      <c r="AS514" s="124"/>
      <c r="AT514" s="124"/>
      <c r="AU514" s="124"/>
      <c r="AV514" s="124"/>
      <c r="AW514" s="124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1"/>
      <c r="AM516" s="121"/>
      <c r="AN516" s="121"/>
      <c r="AO516" s="121"/>
      <c r="AP516" s="121"/>
      <c r="AQ516" s="121"/>
      <c r="AR516" s="121"/>
      <c r="AS516" s="121"/>
      <c r="AT516" s="121"/>
      <c r="AU516" s="121"/>
      <c r="AV516" s="121"/>
      <c r="AW516" s="121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1"/>
      <c r="AM518" s="121"/>
      <c r="AN518" s="121"/>
      <c r="AO518" s="121"/>
      <c r="AP518" s="121"/>
      <c r="AQ518" s="121"/>
      <c r="AR518" s="121"/>
      <c r="AS518" s="121"/>
      <c r="AT518" s="121"/>
      <c r="AU518" s="121"/>
      <c r="AV518" s="121"/>
      <c r="AW518" s="121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1"/>
      <c r="AM519" s="121"/>
      <c r="AN519" s="121"/>
      <c r="AO519" s="121"/>
      <c r="AP519" s="121"/>
      <c r="AQ519" s="121"/>
      <c r="AR519" s="121"/>
      <c r="AS519" s="121"/>
      <c r="AT519" s="121"/>
      <c r="AU519" s="121"/>
      <c r="AV519" s="121"/>
      <c r="AW519" s="121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4"/>
      <c r="C524" s="124"/>
      <c r="D524" s="124"/>
      <c r="E524" s="124"/>
      <c r="F524" s="124"/>
      <c r="G524" s="124"/>
      <c r="H524" s="124"/>
      <c r="I524" s="124"/>
      <c r="J524" s="124"/>
      <c r="K524" s="124"/>
      <c r="L524" s="124"/>
      <c r="M524" s="124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1"/>
      <c r="C526" s="121"/>
      <c r="D526" s="121"/>
      <c r="E526" s="121"/>
      <c r="F526" s="121"/>
      <c r="G526" s="121"/>
      <c r="H526" s="121"/>
      <c r="I526" s="121"/>
      <c r="J526" s="121"/>
      <c r="K526" s="121"/>
      <c r="L526" s="121"/>
      <c r="M526" s="121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3"/>
      <c r="C528" s="123"/>
      <c r="D528" s="121"/>
      <c r="E528" s="121"/>
      <c r="F528" s="121"/>
      <c r="G528" s="121"/>
      <c r="H528" s="121"/>
      <c r="I528" s="121"/>
      <c r="J528" s="121"/>
      <c r="K528" s="121"/>
      <c r="L528" s="121"/>
      <c r="M528" s="121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/>
      <c r="AK529" s="76"/>
      <c r="AL529" s="124"/>
      <c r="AM529" s="124"/>
      <c r="AN529" s="124"/>
      <c r="AO529" s="124"/>
      <c r="AP529" s="124"/>
      <c r="AQ529" s="124"/>
      <c r="AR529" s="124"/>
      <c r="AS529" s="124"/>
      <c r="AT529" s="124"/>
      <c r="AU529" s="124"/>
      <c r="AV529" s="124"/>
      <c r="AW529" s="124"/>
    </row>
    <row r="530" spans="1:49" ht="18" hidden="1" x14ac:dyDescent="0.4">
      <c r="A530" s="72"/>
      <c r="B530" s="127"/>
      <c r="C530" s="121"/>
      <c r="D530" s="121"/>
      <c r="E530" s="121"/>
      <c r="F530" s="121"/>
      <c r="G530" s="121"/>
      <c r="H530" s="121"/>
      <c r="I530" s="121"/>
      <c r="J530" s="121"/>
      <c r="K530" s="121"/>
      <c r="L530" s="121"/>
      <c r="M530" s="121"/>
      <c r="AK530" s="76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</row>
    <row r="531" spans="1:49" hidden="1" x14ac:dyDescent="0.35">
      <c r="A531" s="76"/>
      <c r="B531" s="110"/>
      <c r="C531" s="135"/>
      <c r="D531" s="114"/>
      <c r="E531" s="114"/>
      <c r="F531" s="114"/>
      <c r="G531" s="114"/>
      <c r="H531" s="114"/>
      <c r="I531" s="114"/>
      <c r="J531" s="114"/>
      <c r="K531" s="114"/>
      <c r="L531" s="114"/>
      <c r="M531" s="136"/>
      <c r="AK531" s="76"/>
      <c r="AL531" s="121"/>
      <c r="AM531" s="121"/>
      <c r="AN531" s="121"/>
      <c r="AO531" s="121"/>
      <c r="AP531" s="121"/>
      <c r="AQ531" s="121"/>
      <c r="AR531" s="121"/>
      <c r="AS531" s="121"/>
      <c r="AT531" s="121"/>
      <c r="AU531" s="121"/>
      <c r="AV531" s="121"/>
      <c r="AW531" s="121"/>
    </row>
    <row r="532" spans="1:49" hidden="1" x14ac:dyDescent="0.35">
      <c r="A532" s="76"/>
      <c r="B532" s="110"/>
      <c r="C532" s="110"/>
      <c r="D532" s="114"/>
      <c r="E532" s="114"/>
      <c r="F532" s="114"/>
      <c r="G532" s="114"/>
      <c r="H532" s="114"/>
      <c r="I532" s="114"/>
      <c r="J532" s="114"/>
      <c r="K532" s="114"/>
      <c r="L532" s="114"/>
      <c r="M532" s="136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5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3"/>
      <c r="AM533" s="123"/>
      <c r="AN533" s="121"/>
      <c r="AO533" s="121"/>
      <c r="AP533" s="121"/>
      <c r="AQ533" s="121"/>
      <c r="AR533" s="121"/>
      <c r="AS533" s="121"/>
      <c r="AT533" s="121"/>
      <c r="AU533" s="121"/>
      <c r="AV533" s="121"/>
      <c r="AW533" s="121"/>
    </row>
    <row r="534" spans="1:49" ht="18" hidden="1" x14ac:dyDescent="0.4">
      <c r="A534" s="7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AK534" s="76"/>
      <c r="AL534" s="121"/>
      <c r="AM534" s="121"/>
      <c r="AN534" s="121"/>
      <c r="AO534" s="121"/>
      <c r="AP534" s="121"/>
      <c r="AQ534" s="121"/>
      <c r="AR534" s="121"/>
      <c r="AS534" s="121"/>
      <c r="AT534" s="121"/>
      <c r="AU534" s="121"/>
      <c r="AV534" s="121"/>
      <c r="AW534" s="121"/>
    </row>
    <row r="535" spans="1:49" ht="18" x14ac:dyDescent="0.4">
      <c r="A535" s="7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AK535" s="72"/>
      <c r="AL535" s="127"/>
      <c r="AM535" s="121"/>
      <c r="AN535" s="121"/>
      <c r="AO535" s="121"/>
      <c r="AP535" s="121"/>
      <c r="AQ535" s="121"/>
      <c r="AR535" s="121"/>
      <c r="AS535" s="121"/>
      <c r="AT535" s="121"/>
      <c r="AU535" s="121"/>
      <c r="AV535" s="121"/>
      <c r="AW535" s="121"/>
    </row>
    <row r="536" spans="1:49" ht="18" x14ac:dyDescent="0.4">
      <c r="A536" s="7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AK536" s="76"/>
      <c r="AL536" s="110"/>
      <c r="AM536" s="135"/>
      <c r="AN536" s="114"/>
      <c r="AO536" s="114"/>
      <c r="AP536" s="114"/>
      <c r="AQ536" s="114"/>
      <c r="AR536" s="114"/>
      <c r="AS536" s="114"/>
      <c r="AT536" s="114"/>
      <c r="AU536" s="114"/>
      <c r="AV536" s="114"/>
      <c r="AW536" s="136"/>
    </row>
    <row r="537" spans="1:49" ht="18" x14ac:dyDescent="0.4">
      <c r="A537" s="7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AK537" s="76"/>
      <c r="AL537" s="110"/>
      <c r="AM537" s="110"/>
      <c r="AN537" s="114"/>
      <c r="AO537" s="114"/>
      <c r="AP537" s="114"/>
      <c r="AQ537" s="114"/>
      <c r="AR537" s="114"/>
      <c r="AS537" s="114"/>
      <c r="AT537" s="114"/>
      <c r="AU537" s="114"/>
      <c r="AV537" s="114"/>
      <c r="AW537" s="136"/>
    </row>
    <row r="538" spans="1:49" ht="18" x14ac:dyDescent="0.4">
      <c r="A538" s="7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AK538" s="115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AK539" s="72"/>
      <c r="AL539" s="122"/>
      <c r="AM539" s="122"/>
      <c r="AN539" s="122"/>
      <c r="AO539" s="122"/>
      <c r="AP539" s="122"/>
      <c r="AQ539" s="122"/>
      <c r="AR539" s="122"/>
      <c r="AS539" s="122"/>
      <c r="AT539" s="122"/>
      <c r="AU539" s="122"/>
      <c r="AV539" s="122"/>
      <c r="AW539" s="122"/>
    </row>
    <row r="540" spans="1:49" ht="18" x14ac:dyDescent="0.4">
      <c r="A540" s="7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AK540" s="72"/>
      <c r="AL540" s="122"/>
      <c r="AM540" s="122"/>
      <c r="AN540" s="122"/>
      <c r="AO540" s="122"/>
      <c r="AP540" s="122"/>
      <c r="AQ540" s="122"/>
      <c r="AR540" s="122"/>
      <c r="AS540" s="122"/>
      <c r="AT540" s="122"/>
      <c r="AU540" s="122"/>
      <c r="AV540" s="122"/>
      <c r="AW540" s="122"/>
    </row>
    <row r="541" spans="1:49" ht="18" x14ac:dyDescent="0.4">
      <c r="A541" s="76"/>
      <c r="B541" s="124"/>
      <c r="C541" s="124"/>
      <c r="D541" s="124"/>
      <c r="E541" s="124"/>
      <c r="F541" s="124"/>
      <c r="G541" s="124"/>
      <c r="H541" s="124"/>
      <c r="I541" s="124"/>
      <c r="J541" s="124"/>
      <c r="K541" s="124"/>
      <c r="L541" s="124"/>
      <c r="M541" s="124"/>
      <c r="AK541" s="72"/>
      <c r="AL541" s="122"/>
      <c r="AM541" s="122"/>
      <c r="AN541" s="122"/>
      <c r="AO541" s="122"/>
      <c r="AP541" s="122"/>
      <c r="AQ541" s="122"/>
      <c r="AR541" s="122"/>
      <c r="AS541" s="122"/>
      <c r="AT541" s="122"/>
      <c r="AU541" s="122"/>
      <c r="AV541" s="122"/>
      <c r="AW541" s="122"/>
    </row>
    <row r="542" spans="1:49" ht="18" x14ac:dyDescent="0.4">
      <c r="A542" s="76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AK542" s="72"/>
      <c r="AL542" s="122"/>
      <c r="AM542" s="122"/>
      <c r="AN542" s="122"/>
      <c r="AO542" s="122"/>
      <c r="AP542" s="122"/>
      <c r="AQ542" s="122"/>
      <c r="AR542" s="122"/>
      <c r="AS542" s="122"/>
      <c r="AT542" s="122"/>
      <c r="AU542" s="122"/>
      <c r="AV542" s="122"/>
      <c r="AW542" s="122"/>
    </row>
    <row r="543" spans="1:49" ht="18" x14ac:dyDescent="0.4">
      <c r="A543" s="76"/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AK543" s="72"/>
      <c r="AL543" s="122"/>
      <c r="AM543" s="122"/>
      <c r="AN543" s="122"/>
      <c r="AO543" s="122"/>
      <c r="AP543" s="122"/>
      <c r="AQ543" s="122"/>
      <c r="AR543" s="122"/>
      <c r="AS543" s="122"/>
      <c r="AT543" s="122"/>
      <c r="AU543" s="122"/>
      <c r="AV543" s="122"/>
      <c r="AW543" s="122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2"/>
      <c r="AM544" s="122"/>
      <c r="AN544" s="122"/>
      <c r="AO544" s="122"/>
      <c r="AP544" s="122"/>
      <c r="AQ544" s="122"/>
      <c r="AR544" s="122"/>
      <c r="AS544" s="122"/>
      <c r="AT544" s="122"/>
      <c r="AU544" s="122"/>
      <c r="AV544" s="122"/>
      <c r="AW544" s="122"/>
    </row>
    <row r="545" spans="1:49" ht="18" x14ac:dyDescent="0.4">
      <c r="A545" s="76"/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AK545" s="72"/>
      <c r="AL545" s="122"/>
      <c r="AM545" s="122"/>
      <c r="AN545" s="122"/>
      <c r="AO545" s="122"/>
      <c r="AP545" s="122"/>
      <c r="AQ545" s="122"/>
      <c r="AR545" s="122"/>
      <c r="AS545" s="122"/>
      <c r="AT545" s="122"/>
      <c r="AU545" s="122"/>
      <c r="AV545" s="122"/>
      <c r="AW545" s="122"/>
    </row>
    <row r="546" spans="1:49" ht="18" x14ac:dyDescent="0.4">
      <c r="A546" s="72"/>
      <c r="B546" s="121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4"/>
      <c r="AM546" s="124"/>
      <c r="AN546" s="124"/>
      <c r="AO546" s="124"/>
      <c r="AP546" s="124"/>
      <c r="AQ546" s="124"/>
      <c r="AR546" s="124"/>
      <c r="AS546" s="124"/>
      <c r="AT546" s="124"/>
      <c r="AU546" s="124"/>
      <c r="AV546" s="124"/>
      <c r="AW546" s="124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</row>
    <row r="548" spans="1:49" ht="18" x14ac:dyDescent="0.4">
      <c r="A548" s="7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AK548" s="76"/>
      <c r="AL548" s="121"/>
      <c r="AM548" s="121"/>
      <c r="AN548" s="121"/>
      <c r="AO548" s="121"/>
      <c r="AP548" s="121"/>
      <c r="AQ548" s="121"/>
      <c r="AR548" s="121"/>
      <c r="AS548" s="121"/>
      <c r="AT548" s="121"/>
      <c r="AU548" s="121"/>
      <c r="AV548" s="121"/>
      <c r="AW548" s="121"/>
    </row>
    <row r="549" spans="1:49" ht="18" x14ac:dyDescent="0.4">
      <c r="A549" s="7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AK550" s="76"/>
      <c r="AL550" s="121"/>
      <c r="AM550" s="121"/>
      <c r="AN550" s="121"/>
      <c r="AO550" s="121"/>
      <c r="AP550" s="121"/>
      <c r="AQ550" s="121"/>
      <c r="AR550" s="121"/>
      <c r="AS550" s="121"/>
      <c r="AT550" s="121"/>
      <c r="AU550" s="121"/>
      <c r="AV550" s="121"/>
      <c r="AW550" s="121"/>
    </row>
    <row r="551" spans="1:49" ht="18" x14ac:dyDescent="0.4">
      <c r="A551" s="7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AK551" s="72"/>
      <c r="AL551" s="121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AK553" s="72"/>
      <c r="AL553" s="122"/>
      <c r="AM553" s="122"/>
      <c r="AN553" s="122"/>
      <c r="AO553" s="122"/>
      <c r="AP553" s="122"/>
      <c r="AQ553" s="122"/>
      <c r="AR553" s="122"/>
      <c r="AS553" s="122"/>
      <c r="AT553" s="122"/>
      <c r="AU553" s="122"/>
      <c r="AV553" s="122"/>
      <c r="AW553" s="122"/>
    </row>
    <row r="554" spans="1:49" ht="18" x14ac:dyDescent="0.4">
      <c r="A554" s="7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AK554" s="72"/>
      <c r="AL554" s="122"/>
      <c r="AM554" s="122"/>
      <c r="AN554" s="122"/>
      <c r="AO554" s="122"/>
      <c r="AP554" s="122"/>
      <c r="AQ554" s="122"/>
      <c r="AR554" s="122"/>
      <c r="AS554" s="122"/>
      <c r="AT554" s="122"/>
      <c r="AU554" s="122"/>
      <c r="AV554" s="122"/>
      <c r="AW554" s="122"/>
    </row>
    <row r="555" spans="1:49" ht="18" x14ac:dyDescent="0.4">
      <c r="A555" s="76"/>
      <c r="B555" s="124"/>
      <c r="C555" s="124"/>
      <c r="D555" s="124"/>
      <c r="E555" s="124"/>
      <c r="F555" s="124"/>
      <c r="G555" s="124"/>
      <c r="H555" s="124"/>
      <c r="I555" s="124"/>
      <c r="J555" s="124"/>
      <c r="K555" s="124"/>
      <c r="L555" s="124"/>
      <c r="M555" s="124"/>
      <c r="AK555" s="72"/>
      <c r="AL555" s="122"/>
      <c r="AM555" s="122"/>
      <c r="AN555" s="122"/>
      <c r="AO555" s="122"/>
      <c r="AP555" s="122"/>
      <c r="AQ555" s="122"/>
      <c r="AR555" s="122"/>
      <c r="AS555" s="122"/>
      <c r="AT555" s="122"/>
      <c r="AU555" s="122"/>
      <c r="AV555" s="122"/>
      <c r="AW555" s="122"/>
    </row>
    <row r="556" spans="1:49" ht="18" x14ac:dyDescent="0.4">
      <c r="A556" s="76"/>
      <c r="B556" s="124"/>
      <c r="C556" s="124"/>
      <c r="D556" s="124"/>
      <c r="E556" s="124"/>
      <c r="F556" s="124"/>
      <c r="G556" s="124"/>
      <c r="H556" s="124"/>
      <c r="I556" s="124"/>
      <c r="J556" s="124"/>
      <c r="K556" s="124"/>
      <c r="L556" s="124"/>
      <c r="M556" s="124"/>
      <c r="AK556" s="72"/>
      <c r="AL556" s="122"/>
      <c r="AM556" s="122"/>
      <c r="AN556" s="122"/>
      <c r="AO556" s="122"/>
      <c r="AP556" s="122"/>
      <c r="AQ556" s="122"/>
      <c r="AR556" s="122"/>
      <c r="AS556" s="122"/>
      <c r="AT556" s="122"/>
      <c r="AU556" s="122"/>
      <c r="AV556" s="122"/>
      <c r="AW556" s="122"/>
    </row>
    <row r="557" spans="1:49" ht="18" x14ac:dyDescent="0.4">
      <c r="A557" s="76"/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/>
      <c r="AK557" s="72"/>
      <c r="AL557" s="122"/>
      <c r="AM557" s="122"/>
      <c r="AN557" s="122"/>
      <c r="AO557" s="122"/>
      <c r="AP557" s="122"/>
      <c r="AQ557" s="122"/>
      <c r="AR557" s="122"/>
      <c r="AS557" s="122"/>
      <c r="AT557" s="122"/>
      <c r="AU557" s="122"/>
      <c r="AV557" s="122"/>
      <c r="AW557" s="122"/>
    </row>
    <row r="558" spans="1:49" ht="18" x14ac:dyDescent="0.4">
      <c r="A558" s="76"/>
      <c r="B558" s="121"/>
      <c r="C558" s="121"/>
      <c r="D558" s="121"/>
      <c r="E558" s="121"/>
      <c r="F558" s="121"/>
      <c r="G558" s="121"/>
      <c r="H558" s="121"/>
      <c r="I558" s="121"/>
      <c r="J558" s="121"/>
      <c r="K558" s="121"/>
      <c r="L558" s="121"/>
      <c r="M558" s="121"/>
      <c r="AK558" s="7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</row>
    <row r="559" spans="1:49" ht="18" x14ac:dyDescent="0.4">
      <c r="AK559" s="7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</row>
    <row r="560" spans="1:49" x14ac:dyDescent="0.35">
      <c r="AK560" s="76"/>
      <c r="AL560" s="124"/>
      <c r="AM560" s="124"/>
      <c r="AN560" s="124"/>
      <c r="AO560" s="124"/>
      <c r="AP560" s="124"/>
      <c r="AQ560" s="124"/>
      <c r="AR560" s="124"/>
      <c r="AS560" s="124"/>
      <c r="AT560" s="124"/>
      <c r="AU560" s="124"/>
      <c r="AV560" s="124"/>
      <c r="AW560" s="124"/>
    </row>
    <row r="561" spans="37:49" x14ac:dyDescent="0.35">
      <c r="AK561" s="76"/>
      <c r="AL561" s="124"/>
      <c r="AM561" s="124"/>
      <c r="AN561" s="124"/>
      <c r="AO561" s="124"/>
      <c r="AP561" s="124"/>
      <c r="AQ561" s="124"/>
      <c r="AR561" s="124"/>
      <c r="AS561" s="124"/>
      <c r="AT561" s="124"/>
      <c r="AU561" s="124"/>
      <c r="AV561" s="124"/>
      <c r="AW561" s="124"/>
    </row>
    <row r="562" spans="37:49" x14ac:dyDescent="0.35">
      <c r="AK562" s="76"/>
      <c r="AL562" s="121"/>
      <c r="AM562" s="121"/>
      <c r="AN562" s="121"/>
      <c r="AO562" s="121"/>
      <c r="AP562" s="121"/>
      <c r="AQ562" s="121"/>
      <c r="AR562" s="121"/>
      <c r="AS562" s="121"/>
      <c r="AT562" s="121"/>
      <c r="AU562" s="121"/>
      <c r="AV562" s="121"/>
      <c r="AW562" s="121"/>
    </row>
    <row r="563" spans="37:49" x14ac:dyDescent="0.35">
      <c r="AK563" s="76"/>
      <c r="AL563" s="121"/>
      <c r="AM563" s="121"/>
      <c r="AN563" s="121"/>
      <c r="AO563" s="121"/>
      <c r="AP563" s="121"/>
      <c r="AQ563" s="121"/>
      <c r="AR563" s="121"/>
      <c r="AS563" s="121"/>
      <c r="AT563" s="121"/>
      <c r="AU563" s="121"/>
      <c r="AV563" s="121"/>
      <c r="AW563" s="121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zoomScale="70" zoomScaleNormal="70" zoomScaleSheetLayoutView="80" workbookViewId="0">
      <selection activeCell="K69" sqref="K69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36328125" customWidth="1"/>
    <col min="8" max="8" width="10.26953125" customWidth="1"/>
    <col min="11" max="11" width="10.90625" customWidth="1"/>
  </cols>
  <sheetData>
    <row r="1" spans="3:9" x14ac:dyDescent="0.35">
      <c r="C1" t="s">
        <v>280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5" t="s">
        <v>268</v>
      </c>
      <c r="E2" s="235" t="s">
        <v>106</v>
      </c>
      <c r="F2" s="236"/>
      <c r="G2" s="236"/>
      <c r="H2" s="236"/>
      <c r="I2" s="236"/>
    </row>
    <row r="3" spans="3:9" ht="28.5" x14ac:dyDescent="0.35">
      <c r="D3" s="236"/>
      <c r="E3" s="238" t="s">
        <v>137</v>
      </c>
      <c r="F3" s="238" t="s">
        <v>269</v>
      </c>
      <c r="G3" s="238" t="s">
        <v>139</v>
      </c>
      <c r="H3" s="248" t="s">
        <v>140</v>
      </c>
      <c r="I3" s="238" t="s">
        <v>141</v>
      </c>
    </row>
    <row r="4" spans="3:9" x14ac:dyDescent="0.35">
      <c r="D4" s="235" t="s">
        <v>248</v>
      </c>
      <c r="E4" s="239">
        <f>(BDFE!C514+BDFE!C505)/1000</f>
        <v>0</v>
      </c>
      <c r="F4" s="239">
        <f>(BDFE!C444+BDFE!C435)/1000</f>
        <v>0</v>
      </c>
      <c r="G4" s="239">
        <f>(BDFE!C654+BDFE!C645)/1000</f>
        <v>0</v>
      </c>
      <c r="H4" s="239">
        <f>(BDFE!C584+BDFE!C575)/1000</f>
        <v>0</v>
      </c>
      <c r="I4" s="239">
        <f>SUM(E4,F4,G4,H4)</f>
        <v>0</v>
      </c>
    </row>
    <row r="5" spans="3:9" x14ac:dyDescent="0.35">
      <c r="D5" s="236"/>
      <c r="E5" s="240"/>
      <c r="F5" s="240"/>
      <c r="G5" s="240"/>
      <c r="H5" s="240"/>
      <c r="I5" s="240"/>
    </row>
    <row r="6" spans="3:9" x14ac:dyDescent="0.35">
      <c r="D6" s="235" t="s">
        <v>271</v>
      </c>
      <c r="E6" s="240"/>
      <c r="F6" s="240"/>
      <c r="G6" s="240"/>
      <c r="H6" s="240"/>
      <c r="I6" s="240"/>
    </row>
    <row r="7" spans="3:9" x14ac:dyDescent="0.35">
      <c r="D7" s="236" t="s">
        <v>197</v>
      </c>
      <c r="E7" s="241">
        <f>BDFE!$C$516/1000</f>
        <v>0</v>
      </c>
      <c r="F7" s="241">
        <f>(BDFE!$C$446)/1000</f>
        <v>0</v>
      </c>
      <c r="G7" s="241">
        <f>BDFE!$C$656/1000</f>
        <v>0</v>
      </c>
      <c r="H7" s="241">
        <f>BDFE!$C$586/1000</f>
        <v>0</v>
      </c>
      <c r="I7" s="241">
        <f t="shared" ref="I7:I13" si="0">SUM(E7,F7,G7,H7)</f>
        <v>0</v>
      </c>
    </row>
    <row r="8" spans="3:9" x14ac:dyDescent="0.35">
      <c r="D8" s="236" t="s">
        <v>198</v>
      </c>
      <c r="E8" s="242">
        <f>(BDFE!C517+BDFE!C518+BDFE!C519)/1000</f>
        <v>0</v>
      </c>
      <c r="F8" s="242">
        <f>(BDFE!C447+BDFE!C448+BDFE!C449)/1000</f>
        <v>0</v>
      </c>
      <c r="G8" s="242">
        <f>(BDFE!C657+BDFE!C658+BDFE!C659)/1000</f>
        <v>0</v>
      </c>
      <c r="H8" s="242">
        <f>(BDFE!C587+BDFE!C588+BDFE!C589)/1000</f>
        <v>0</v>
      </c>
      <c r="I8" s="242">
        <f t="shared" si="0"/>
        <v>0</v>
      </c>
    </row>
    <row r="9" spans="3:9" x14ac:dyDescent="0.35">
      <c r="D9" s="236" t="s">
        <v>199</v>
      </c>
      <c r="E9" s="242">
        <f>BDFE!$C$520/1000</f>
        <v>0</v>
      </c>
      <c r="F9" s="242">
        <f>BDFE!$C$450/1000</f>
        <v>0</v>
      </c>
      <c r="G9" s="242">
        <f>BDFE!$C$660/1000</f>
        <v>0</v>
      </c>
      <c r="H9" s="242">
        <f>BDFE!$C$590/1000</f>
        <v>0</v>
      </c>
      <c r="I9" s="242">
        <f t="shared" si="0"/>
        <v>0</v>
      </c>
    </row>
    <row r="10" spans="3:9" x14ac:dyDescent="0.35">
      <c r="D10" s="236" t="s">
        <v>200</v>
      </c>
      <c r="E10" s="242">
        <f>(BDFE!C521+BDFE!C522)/1000</f>
        <v>0</v>
      </c>
      <c r="F10" s="242">
        <f>(BDFE!C451+BDFE!C452)/1000</f>
        <v>0</v>
      </c>
      <c r="G10" s="242">
        <f>(BDFE!C661+BDFE!C662)/1000</f>
        <v>0</v>
      </c>
      <c r="H10" s="242">
        <f>(BDFE!C591+BDFE!C592)/1000</f>
        <v>0</v>
      </c>
      <c r="I10" s="242">
        <f t="shared" si="0"/>
        <v>0</v>
      </c>
    </row>
    <row r="11" spans="3:9" x14ac:dyDescent="0.35">
      <c r="D11" s="236" t="s">
        <v>223</v>
      </c>
      <c r="E11" s="242">
        <f>BDFE!$C$523/1000</f>
        <v>0</v>
      </c>
      <c r="F11" s="242">
        <f>BDFE!$C$453/1000</f>
        <v>0</v>
      </c>
      <c r="G11" s="242">
        <f>BDFE!$C$663/1000</f>
        <v>0</v>
      </c>
      <c r="H11" s="242">
        <f>BDFE!$C$593/1000</f>
        <v>0</v>
      </c>
      <c r="I11" s="242">
        <f t="shared" si="0"/>
        <v>0</v>
      </c>
    </row>
    <row r="12" spans="3:9" x14ac:dyDescent="0.35">
      <c r="D12" s="236" t="s">
        <v>249</v>
      </c>
      <c r="E12" s="242">
        <f>(BDFE!C524+BDFE!C525)/1000</f>
        <v>0</v>
      </c>
      <c r="F12" s="242">
        <f>(BDFE!C454 +BDFE!C455)/1000</f>
        <v>0</v>
      </c>
      <c r="G12" s="242">
        <f>(BDFE!C664+BDFE!C665)/1000</f>
        <v>0</v>
      </c>
      <c r="H12" s="242">
        <f>(BDFE!C594+BDFE!C595)/1000</f>
        <v>0</v>
      </c>
      <c r="I12" s="242">
        <f t="shared" si="0"/>
        <v>0</v>
      </c>
    </row>
    <row r="13" spans="3:9" x14ac:dyDescent="0.35">
      <c r="D13" s="236" t="s">
        <v>250</v>
      </c>
      <c r="E13" s="242">
        <f>(BDFE!C526+BDFE!C527+BDFE!C528+BDFE!C529)/1000</f>
        <v>0</v>
      </c>
      <c r="F13" s="242">
        <f>(BDFE!$C$456+ BDFE!C457+BDFE!C458+BDFE!C459)/1000</f>
        <v>0</v>
      </c>
      <c r="G13" s="242">
        <f>(BDFE!C666+BDFE!C667+BDFE!C668+BDFE!C669)/1000</f>
        <v>0</v>
      </c>
      <c r="H13" s="242">
        <f>(BDFE!C596+BDFE!C597+BDFE!C598+BDFE!C599)/1000</f>
        <v>0</v>
      </c>
      <c r="I13" s="242">
        <f t="shared" si="0"/>
        <v>0</v>
      </c>
    </row>
    <row r="14" spans="3:9" x14ac:dyDescent="0.35">
      <c r="D14" s="235" t="s">
        <v>271</v>
      </c>
      <c r="E14" s="239">
        <f>SUM(E7:E13)</f>
        <v>0</v>
      </c>
      <c r="F14" s="239">
        <f>SUM(F7:F13)</f>
        <v>0</v>
      </c>
      <c r="G14" s="239">
        <f t="shared" ref="G14:I14" si="1">SUM(G7:G13)</f>
        <v>0</v>
      </c>
      <c r="H14" s="239">
        <f t="shared" si="1"/>
        <v>0</v>
      </c>
      <c r="I14" s="239">
        <f t="shared" si="1"/>
        <v>0</v>
      </c>
    </row>
    <row r="15" spans="3:9" x14ac:dyDescent="0.35">
      <c r="D15" s="236"/>
      <c r="E15" s="243"/>
      <c r="F15" s="243"/>
      <c r="G15" s="243"/>
      <c r="H15" s="243"/>
      <c r="I15" s="243"/>
    </row>
    <row r="16" spans="3:9" x14ac:dyDescent="0.35">
      <c r="D16" s="235" t="s">
        <v>251</v>
      </c>
      <c r="E16" s="240"/>
      <c r="F16" s="240"/>
      <c r="G16" s="240"/>
      <c r="H16" s="240"/>
      <c r="I16" s="240"/>
    </row>
    <row r="17" spans="4:9" x14ac:dyDescent="0.35">
      <c r="D17" s="236" t="s">
        <v>252</v>
      </c>
      <c r="E17" s="241">
        <f>BDFE!$C$532/1000</f>
        <v>0</v>
      </c>
      <c r="F17" s="241">
        <f>BDFE!$C$462/1000</f>
        <v>0</v>
      </c>
      <c r="G17" s="241">
        <f>BDFE!$C$672/1000</f>
        <v>0</v>
      </c>
      <c r="H17" s="241">
        <f>BDFE!$C$602/1000</f>
        <v>0</v>
      </c>
      <c r="I17" s="241">
        <f t="shared" ref="I17:I22" si="2">SUM(E17,F17,G17,H17)</f>
        <v>0</v>
      </c>
    </row>
    <row r="18" spans="4:9" x14ac:dyDescent="0.35">
      <c r="D18" s="236" t="s">
        <v>253</v>
      </c>
      <c r="E18" s="242">
        <f>BDFE!$C$533/1000</f>
        <v>0</v>
      </c>
      <c r="F18" s="242">
        <f>BDFE!$C$463/1000</f>
        <v>0</v>
      </c>
      <c r="G18" s="242">
        <f>BDFE!$C$673/1000</f>
        <v>0</v>
      </c>
      <c r="H18" s="242">
        <f>BDFE!C603/1000</f>
        <v>0</v>
      </c>
      <c r="I18" s="242">
        <f t="shared" si="2"/>
        <v>0</v>
      </c>
    </row>
    <row r="19" spans="4:9" x14ac:dyDescent="0.35">
      <c r="D19" s="236" t="s">
        <v>238</v>
      </c>
      <c r="E19" s="242">
        <f>BDFE!$C$534/1000</f>
        <v>0</v>
      </c>
      <c r="F19" s="242">
        <f>BDFE!$C$464/1000</f>
        <v>0</v>
      </c>
      <c r="G19" s="242">
        <f>BDFE!$C$674/1000</f>
        <v>0</v>
      </c>
      <c r="H19" s="242">
        <f>BDFE!C604/1000</f>
        <v>0</v>
      </c>
      <c r="I19" s="242">
        <f t="shared" si="2"/>
        <v>0</v>
      </c>
    </row>
    <row r="20" spans="4:9" x14ac:dyDescent="0.35">
      <c r="D20" s="236" t="s">
        <v>254</v>
      </c>
      <c r="E20" s="242">
        <f>BDFE!$C$535/1000</f>
        <v>0</v>
      </c>
      <c r="F20" s="242">
        <f>BDFE!$C$465/1000</f>
        <v>0</v>
      </c>
      <c r="G20" s="242">
        <f>BDFE!$C$675/1000</f>
        <v>0</v>
      </c>
      <c r="H20" s="242">
        <f>BDFE!C605/1000</f>
        <v>0</v>
      </c>
      <c r="I20" s="242">
        <f t="shared" si="2"/>
        <v>0</v>
      </c>
    </row>
    <row r="21" spans="4:9" x14ac:dyDescent="0.35">
      <c r="D21" s="236" t="s">
        <v>272</v>
      </c>
      <c r="E21" s="242">
        <f>(BDFE!C536+BDFE!C537)/1000</f>
        <v>0</v>
      </c>
      <c r="F21" s="242">
        <f>(BDFE!C466+BDFE!C467)/1000</f>
        <v>0</v>
      </c>
      <c r="G21" s="242">
        <f>(BDFE!C676+BDFE!C677)/1000</f>
        <v>0</v>
      </c>
      <c r="H21" s="242">
        <f>(BDFE!C606+BDFE!C607)/1000</f>
        <v>0</v>
      </c>
      <c r="I21" s="242">
        <f t="shared" si="2"/>
        <v>0</v>
      </c>
    </row>
    <row r="22" spans="4:9" x14ac:dyDescent="0.35">
      <c r="D22" s="236" t="s">
        <v>255</v>
      </c>
      <c r="E22" s="242">
        <f>BDFE!$C$538/1000</f>
        <v>0</v>
      </c>
      <c r="F22" s="242">
        <f>BDFE!C468/1000</f>
        <v>0</v>
      </c>
      <c r="G22" s="242">
        <f>BDFE!$C$678/1000</f>
        <v>0</v>
      </c>
      <c r="H22" s="242">
        <f>BDFE!$C$608/1000</f>
        <v>0</v>
      </c>
      <c r="I22" s="245">
        <f t="shared" si="2"/>
        <v>0</v>
      </c>
    </row>
    <row r="23" spans="4:9" x14ac:dyDescent="0.35">
      <c r="D23" s="235" t="s">
        <v>256</v>
      </c>
      <c r="E23" s="239">
        <f>SUM(E17:E22)</f>
        <v>0</v>
      </c>
      <c r="F23" s="239">
        <f>SUM(F17:F22)</f>
        <v>0</v>
      </c>
      <c r="G23" s="239">
        <f t="shared" ref="G23:H23" si="3">SUM(G17:G22)</f>
        <v>0</v>
      </c>
      <c r="H23" s="239">
        <f t="shared" si="3"/>
        <v>0</v>
      </c>
      <c r="I23" s="239">
        <f>SUM(I17:I22)</f>
        <v>0</v>
      </c>
    </row>
    <row r="24" spans="4:9" x14ac:dyDescent="0.35">
      <c r="D24" s="235"/>
      <c r="E24" s="244"/>
      <c r="F24" s="244"/>
      <c r="G24" s="244"/>
      <c r="H24" s="244"/>
      <c r="I24" s="243"/>
    </row>
    <row r="25" spans="4:9" x14ac:dyDescent="0.35">
      <c r="D25" s="235" t="s">
        <v>257</v>
      </c>
      <c r="E25" s="240"/>
      <c r="F25" s="240"/>
      <c r="G25" s="240"/>
      <c r="H25" s="240"/>
      <c r="I25" s="240"/>
    </row>
    <row r="26" spans="4:9" x14ac:dyDescent="0.35">
      <c r="D26" s="236" t="s">
        <v>205</v>
      </c>
      <c r="E26" s="241">
        <f>BDFE!$C$541/1000</f>
        <v>0</v>
      </c>
      <c r="F26" s="241">
        <f>BDFE!$C$471/1000</f>
        <v>0</v>
      </c>
      <c r="G26" s="241">
        <f>BDFE!$C$681/1000</f>
        <v>0</v>
      </c>
      <c r="H26" s="241">
        <f>BDFE!$C$611/1000</f>
        <v>0</v>
      </c>
      <c r="I26" s="241">
        <f>SUM(E26,F26,G26,H26)</f>
        <v>0</v>
      </c>
    </row>
    <row r="27" spans="4:9" x14ac:dyDescent="0.35">
      <c r="D27" s="236" t="s">
        <v>209</v>
      </c>
      <c r="E27" s="242">
        <f>BDFE!$C$543/1000</f>
        <v>0</v>
      </c>
      <c r="F27" s="242">
        <f>BDFE!$C$473/1000</f>
        <v>0</v>
      </c>
      <c r="G27" s="242">
        <f>BDFE!$C$683/1000</f>
        <v>0</v>
      </c>
      <c r="H27" s="242">
        <f>BDFE!$C$613/1000</f>
        <v>0</v>
      </c>
      <c r="I27" s="242">
        <f t="shared" ref="I27:I38" si="4">SUM(E27,F27,G27,H27)</f>
        <v>0</v>
      </c>
    </row>
    <row r="28" spans="4:9" x14ac:dyDescent="0.35">
      <c r="D28" s="236" t="s">
        <v>208</v>
      </c>
      <c r="E28" s="242">
        <f>BDFE!$C$545/1000</f>
        <v>0</v>
      </c>
      <c r="F28" s="242">
        <f>BDFE!$C$475/1000</f>
        <v>0</v>
      </c>
      <c r="G28" s="242">
        <f>BDFE!$C$685/1000</f>
        <v>0</v>
      </c>
      <c r="H28" s="242">
        <f>BDFE!$C$615/1000</f>
        <v>0</v>
      </c>
      <c r="I28" s="242">
        <f t="shared" si="4"/>
        <v>0</v>
      </c>
    </row>
    <row r="29" spans="4:9" x14ac:dyDescent="0.35">
      <c r="D29" s="236" t="s">
        <v>207</v>
      </c>
      <c r="E29" s="242">
        <f>BDFE!$C$547/1000</f>
        <v>0</v>
      </c>
      <c r="F29" s="242">
        <f>BDFE!$C$477/1000</f>
        <v>0</v>
      </c>
      <c r="G29" s="242">
        <f>BDFE!$C$687/1000</f>
        <v>0</v>
      </c>
      <c r="H29" s="242">
        <f>BDFE!$C$617/1000</f>
        <v>0</v>
      </c>
      <c r="I29" s="242">
        <f t="shared" si="4"/>
        <v>0</v>
      </c>
    </row>
    <row r="30" spans="4:9" x14ac:dyDescent="0.35">
      <c r="D30" s="236" t="s">
        <v>258</v>
      </c>
      <c r="E30" s="242">
        <f>BDFE!$C$549/1000</f>
        <v>0</v>
      </c>
      <c r="F30" s="242">
        <f>BDFE!$C$479/1000</f>
        <v>0</v>
      </c>
      <c r="G30" s="242">
        <f>BDFE!$C$689/1000</f>
        <v>0</v>
      </c>
      <c r="H30" s="242">
        <f>BDFE!$C$619/1000</f>
        <v>0</v>
      </c>
      <c r="I30" s="242">
        <f t="shared" si="4"/>
        <v>0</v>
      </c>
    </row>
    <row r="31" spans="4:9" x14ac:dyDescent="0.35">
      <c r="D31" s="236" t="s">
        <v>273</v>
      </c>
      <c r="E31" s="242">
        <f>BDFE!$C$551/1000</f>
        <v>0</v>
      </c>
      <c r="F31" s="242">
        <f>BDFE!$C$481/1000</f>
        <v>0</v>
      </c>
      <c r="G31" s="242">
        <f>BDFE!$C$691/1000</f>
        <v>0</v>
      </c>
      <c r="H31" s="242">
        <f>BDFE!$C$621/1000</f>
        <v>0</v>
      </c>
      <c r="I31" s="242">
        <f t="shared" si="4"/>
        <v>0</v>
      </c>
    </row>
    <row r="32" spans="4:9" x14ac:dyDescent="0.35">
      <c r="D32" s="236" t="s">
        <v>274</v>
      </c>
      <c r="E32" s="242">
        <f>BDFE!$C$553/1000</f>
        <v>0</v>
      </c>
      <c r="F32" s="242">
        <f>BDFE!$C$483/1000</f>
        <v>0</v>
      </c>
      <c r="G32" s="242">
        <f>BDFE!$C$693/1000</f>
        <v>0</v>
      </c>
      <c r="H32" s="242">
        <f>BDFE!$C$623/1000</f>
        <v>0</v>
      </c>
      <c r="I32" s="242">
        <f t="shared" si="4"/>
        <v>0</v>
      </c>
    </row>
    <row r="33" spans="4:9" hidden="1" x14ac:dyDescent="0.35">
      <c r="D33" s="236" t="s">
        <v>275</v>
      </c>
      <c r="E33" s="242">
        <f>BDFE!$C$555/1000</f>
        <v>0</v>
      </c>
      <c r="F33" s="242">
        <f>BDFE!$C$485/1000</f>
        <v>0</v>
      </c>
      <c r="G33" s="242">
        <f>BDFE!$C$695/1000</f>
        <v>0</v>
      </c>
      <c r="H33" s="242">
        <f>BDFE!$C$625/1000</f>
        <v>0</v>
      </c>
      <c r="I33" s="242">
        <f t="shared" si="4"/>
        <v>0</v>
      </c>
    </row>
    <row r="34" spans="4:9" hidden="1" x14ac:dyDescent="0.35">
      <c r="D34" s="236" t="s">
        <v>259</v>
      </c>
      <c r="E34" s="242">
        <f>BDFE!$C$557/1000</f>
        <v>0</v>
      </c>
      <c r="F34" s="242">
        <f>BDFE!$C$487/1000</f>
        <v>0</v>
      </c>
      <c r="G34" s="242">
        <f>BDFE!$C$697/1000</f>
        <v>0</v>
      </c>
      <c r="H34" s="242">
        <f>BDFE!$C$627/1000</f>
        <v>0</v>
      </c>
      <c r="I34" s="242">
        <f t="shared" si="4"/>
        <v>0</v>
      </c>
    </row>
    <row r="35" spans="4:9" hidden="1" x14ac:dyDescent="0.35">
      <c r="D35" s="236" t="s">
        <v>260</v>
      </c>
      <c r="E35" s="242">
        <f>BDFE!$C$559/1000</f>
        <v>0</v>
      </c>
      <c r="F35" s="242">
        <f>BDFE!$C$489/1000</f>
        <v>0</v>
      </c>
      <c r="G35" s="242">
        <f>BDFE!$C$699/1000</f>
        <v>0</v>
      </c>
      <c r="H35" s="242">
        <f>BDFE!$C$629/1000</f>
        <v>0</v>
      </c>
      <c r="I35" s="242">
        <f t="shared" si="4"/>
        <v>0</v>
      </c>
    </row>
    <row r="36" spans="4:9" hidden="1" x14ac:dyDescent="0.35">
      <c r="D36" s="236" t="s">
        <v>261</v>
      </c>
      <c r="E36" s="242">
        <f>BDFE!$C$562/1000</f>
        <v>0</v>
      </c>
      <c r="F36" s="242">
        <f>BDFE!$C$492/1000</f>
        <v>0</v>
      </c>
      <c r="G36" s="242">
        <f>BDFE!$C$702/1000</f>
        <v>0</v>
      </c>
      <c r="H36" s="242">
        <f>BDFE!$C$632/1000</f>
        <v>0</v>
      </c>
      <c r="I36" s="242">
        <f t="shared" si="4"/>
        <v>0</v>
      </c>
    </row>
    <row r="37" spans="4:9" x14ac:dyDescent="0.35">
      <c r="D37" s="236" t="s">
        <v>262</v>
      </c>
      <c r="E37" s="242">
        <f>BDFE!$C$563/1000</f>
        <v>0</v>
      </c>
      <c r="F37" s="242">
        <f>BDFE!$C$493/1000</f>
        <v>0</v>
      </c>
      <c r="G37" s="242">
        <f>BDFE!$C$703/1000</f>
        <v>0</v>
      </c>
      <c r="H37" s="242">
        <f>BDFE!$C$633/1000</f>
        <v>0</v>
      </c>
      <c r="I37" s="242">
        <f t="shared" si="4"/>
        <v>0</v>
      </c>
    </row>
    <row r="38" spans="4:9" x14ac:dyDescent="0.35">
      <c r="D38" s="236" t="s">
        <v>10</v>
      </c>
      <c r="E38" s="245">
        <f>(BDFE!C542+BDFE!C544+BDFE!C546+BDFE!C548+BDFE!C550+BDFE!C552+BDFE!C554+BDFE!C556+BDFE!C558+BDFE!C560-BDFE!C505)/1000</f>
        <v>0</v>
      </c>
      <c r="F38" s="245">
        <f>(BDFE!C472+BDFE!C474+BDFE!C476+BDFE!C478+BDFE!C480+BDFE!C482+BDFE!C484+BDFE!C486+BDFE!C488+BDFE!C490-BDFE!C435)/1000</f>
        <v>0</v>
      </c>
      <c r="G38" s="245">
        <f>(BDFE!C682+BDFE!C684+BDFE!C686+BDFE!C688+BDFE!C690+BDFE!C692+BDFE!C694+BDFE!C696+BDFE!C698+BDFE!C700-BDFE!C645)/1000</f>
        <v>0</v>
      </c>
      <c r="H38" s="245">
        <f>(BDFE!C612+BDFE!C614+BDFE!C616+BDFE!C618+BDFE!C620+BDFE!C622+BDFE!C624+BDFE!C626+BDFE!C628+BDFE!C630-BDFE!C575)/1000</f>
        <v>0</v>
      </c>
      <c r="I38" s="245">
        <f t="shared" si="4"/>
        <v>0</v>
      </c>
    </row>
    <row r="39" spans="4:9" x14ac:dyDescent="0.35">
      <c r="D39" s="235" t="s">
        <v>263</v>
      </c>
      <c r="E39" s="254">
        <f>SUM(E26:E38)</f>
        <v>0</v>
      </c>
      <c r="F39" s="239">
        <f t="shared" ref="F39:H39" si="5">SUM(F26:F38)</f>
        <v>0</v>
      </c>
      <c r="G39" s="239">
        <f t="shared" si="5"/>
        <v>0</v>
      </c>
      <c r="H39" s="239">
        <f t="shared" si="5"/>
        <v>0</v>
      </c>
      <c r="I39" s="239">
        <f>SUM(I26:I38)</f>
        <v>0</v>
      </c>
    </row>
    <row r="40" spans="4:9" x14ac:dyDescent="0.35">
      <c r="D40" s="236"/>
      <c r="E40" s="246"/>
      <c r="F40" s="246"/>
      <c r="G40" s="246"/>
      <c r="H40" s="246"/>
      <c r="I40" s="249"/>
    </row>
    <row r="41" spans="4:9" x14ac:dyDescent="0.35">
      <c r="D41" s="235" t="s">
        <v>264</v>
      </c>
      <c r="E41" s="247">
        <f>E4+E14+E23+E39</f>
        <v>0</v>
      </c>
      <c r="F41" s="247">
        <f>F4+F14+F23+F39</f>
        <v>0</v>
      </c>
      <c r="G41" s="247">
        <f t="shared" ref="G41:H41" si="6">G4+G14+G23+G39</f>
        <v>0</v>
      </c>
      <c r="H41" s="247">
        <f t="shared" si="6"/>
        <v>0</v>
      </c>
      <c r="I41" s="239">
        <f>I4+I14+I23+I39</f>
        <v>0</v>
      </c>
    </row>
    <row r="42" spans="4:9" x14ac:dyDescent="0.35">
      <c r="D42" s="237" t="s">
        <v>276</v>
      </c>
      <c r="E42" s="247">
        <f>(BDBG!$H$381)/1000</f>
        <v>0</v>
      </c>
      <c r="F42" s="247">
        <f>BDBG!$H$327/1000</f>
        <v>0</v>
      </c>
      <c r="G42" s="247">
        <f>BDBG!$H$489/1000</f>
        <v>0</v>
      </c>
      <c r="H42" s="247">
        <f>(BDBG!$H$435+BDBG!$H$436)/1000</f>
        <v>0</v>
      </c>
      <c r="I42" s="239">
        <f>SUM(E42,F42,G42,H42)</f>
        <v>0</v>
      </c>
    </row>
    <row r="43" spans="4:9" x14ac:dyDescent="0.35">
      <c r="D43" s="237" t="s">
        <v>277</v>
      </c>
      <c r="E43" s="247">
        <f t="shared" ref="E43" si="7">SUM(E41:E42)</f>
        <v>0</v>
      </c>
      <c r="F43" s="247">
        <f>SUM(F41:F42)</f>
        <v>0</v>
      </c>
      <c r="G43" s="247">
        <f t="shared" ref="G43:H43" si="8">SUM(G41:G42)</f>
        <v>0</v>
      </c>
      <c r="H43" s="247">
        <f t="shared" si="8"/>
        <v>0</v>
      </c>
      <c r="I43" s="247">
        <f>SUM(I41:I42)</f>
        <v>0</v>
      </c>
    </row>
    <row r="45" spans="4:9" x14ac:dyDescent="0.35">
      <c r="I45" s="253">
        <f>BG!$C$4</f>
        <v>0</v>
      </c>
    </row>
    <row r="46" spans="4:9" x14ac:dyDescent="0.35">
      <c r="I46" t="s">
        <v>285</v>
      </c>
    </row>
    <row r="50" spans="4:9" x14ac:dyDescent="0.35">
      <c r="D50" s="250"/>
      <c r="E50" s="235" t="s">
        <v>278</v>
      </c>
      <c r="F50" s="236"/>
      <c r="G50" s="236"/>
      <c r="H50" s="236"/>
      <c r="I50" s="236"/>
    </row>
    <row r="51" spans="4:9" ht="28.5" x14ac:dyDescent="0.35">
      <c r="D51" s="251" t="s">
        <v>279</v>
      </c>
      <c r="E51" s="238" t="s">
        <v>137</v>
      </c>
      <c r="F51" s="238" t="s">
        <v>269</v>
      </c>
      <c r="G51" s="238" t="s">
        <v>139</v>
      </c>
      <c r="H51" s="248" t="s">
        <v>140</v>
      </c>
      <c r="I51" s="238" t="s">
        <v>270</v>
      </c>
    </row>
    <row r="52" spans="4:9" x14ac:dyDescent="0.35">
      <c r="D52" s="235" t="s">
        <v>248</v>
      </c>
      <c r="E52" s="239">
        <f>(BDFE!F514+BDFE!F505)/1000</f>
        <v>0</v>
      </c>
      <c r="F52" s="239">
        <f>(BDFE!F444+BDFE!F435)/1000</f>
        <v>0</v>
      </c>
      <c r="G52" s="239">
        <f>(BDFE!F654+BDFE!F645)/1000</f>
        <v>0</v>
      </c>
      <c r="H52" s="239">
        <f>(BDFE!F584+BDFE!F575)/1000</f>
        <v>0</v>
      </c>
      <c r="I52" s="239">
        <f>SUM(E52,F52,G52,H52)</f>
        <v>0</v>
      </c>
    </row>
    <row r="53" spans="4:9" x14ac:dyDescent="0.35">
      <c r="D53" s="236"/>
      <c r="E53" s="240"/>
      <c r="F53" s="240"/>
      <c r="G53" s="240"/>
      <c r="H53" s="240"/>
      <c r="I53" s="240"/>
    </row>
    <row r="54" spans="4:9" x14ac:dyDescent="0.35">
      <c r="D54" s="235" t="s">
        <v>271</v>
      </c>
      <c r="E54" s="240"/>
      <c r="F54" s="240"/>
      <c r="G54" s="240"/>
      <c r="H54" s="240"/>
      <c r="I54" s="240"/>
    </row>
    <row r="55" spans="4:9" x14ac:dyDescent="0.35">
      <c r="D55" s="236" t="s">
        <v>197</v>
      </c>
      <c r="E55" s="241">
        <f>BDFE!$F$516/1000</f>
        <v>0</v>
      </c>
      <c r="F55" s="241">
        <f>(BDFE!$F$446)/1000</f>
        <v>0</v>
      </c>
      <c r="G55" s="241">
        <f>BDFE!$F$656/1000</f>
        <v>0</v>
      </c>
      <c r="H55" s="241">
        <f>BDFE!$F$586/1000</f>
        <v>0</v>
      </c>
      <c r="I55" s="241">
        <f t="shared" ref="I55:I61" si="9">SUM(E55,F55,G55,H55)</f>
        <v>0</v>
      </c>
    </row>
    <row r="56" spans="4:9" x14ac:dyDescent="0.35">
      <c r="D56" s="236" t="s">
        <v>198</v>
      </c>
      <c r="E56" s="242">
        <f>(BDFE!F517+BDFE!F518+BDFE!F519)/1000</f>
        <v>0</v>
      </c>
      <c r="F56" s="242">
        <f>(BDFE!F447+BDFE!F448+BDFE!F449)/1000</f>
        <v>0</v>
      </c>
      <c r="G56" s="242">
        <f>(BDFE!F657+BDFE!F658+BDFE!F659)/1000</f>
        <v>0</v>
      </c>
      <c r="H56" s="242">
        <f>(BDFE!F587+BDFE!F588+BDFE!F589)/1000</f>
        <v>0</v>
      </c>
      <c r="I56" s="242">
        <f t="shared" si="9"/>
        <v>0</v>
      </c>
    </row>
    <row r="57" spans="4:9" x14ac:dyDescent="0.35">
      <c r="D57" s="236" t="s">
        <v>199</v>
      </c>
      <c r="E57" s="242">
        <f>BDFE!$F$520/1000</f>
        <v>0</v>
      </c>
      <c r="F57" s="242">
        <f>BDFE!$F$450/1000</f>
        <v>0</v>
      </c>
      <c r="G57" s="242">
        <f>BDFE!$F$660/1000</f>
        <v>0</v>
      </c>
      <c r="H57" s="242">
        <f>BDFE!$F$590/1000</f>
        <v>0</v>
      </c>
      <c r="I57" s="242">
        <f t="shared" si="9"/>
        <v>0</v>
      </c>
    </row>
    <row r="58" spans="4:9" x14ac:dyDescent="0.35">
      <c r="D58" s="236" t="s">
        <v>200</v>
      </c>
      <c r="E58" s="242">
        <f>(BDFE!F521+BDFE!F522)/1000</f>
        <v>0</v>
      </c>
      <c r="F58" s="242">
        <f>(BDFE!F451+BDFE!F452)/1000</f>
        <v>0</v>
      </c>
      <c r="G58" s="242">
        <f>(BDFE!F661+BDFE!F662)/1000</f>
        <v>0</v>
      </c>
      <c r="H58" s="242">
        <f>(BDFE!F591+BDFE!F592)/1000</f>
        <v>0</v>
      </c>
      <c r="I58" s="242">
        <f t="shared" si="9"/>
        <v>0</v>
      </c>
    </row>
    <row r="59" spans="4:9" x14ac:dyDescent="0.35">
      <c r="D59" s="236" t="s">
        <v>223</v>
      </c>
      <c r="E59" s="242">
        <f>BDFE!$F$523/1000</f>
        <v>0</v>
      </c>
      <c r="F59" s="242">
        <f>BDFE!$F$453/1000</f>
        <v>0</v>
      </c>
      <c r="G59" s="242">
        <f>BDFE!$F$663/1000</f>
        <v>0</v>
      </c>
      <c r="H59" s="242">
        <f>BDFE!$F$593/1000</f>
        <v>0</v>
      </c>
      <c r="I59" s="242">
        <f t="shared" si="9"/>
        <v>0</v>
      </c>
    </row>
    <row r="60" spans="4:9" x14ac:dyDescent="0.35">
      <c r="D60" s="236" t="s">
        <v>249</v>
      </c>
      <c r="E60" s="242">
        <f>(BDFE!F524+BDFE!F525)/1000</f>
        <v>0</v>
      </c>
      <c r="F60" s="242">
        <f>(BDFE!F454 +BDFE!F455)/1000</f>
        <v>0</v>
      </c>
      <c r="G60" s="242">
        <f>(BDFE!F664+BDFE!F665)/1000</f>
        <v>0</v>
      </c>
      <c r="H60" s="242">
        <f>(BDFE!F594+BDFE!F595)/1000</f>
        <v>0</v>
      </c>
      <c r="I60" s="242">
        <f t="shared" si="9"/>
        <v>0</v>
      </c>
    </row>
    <row r="61" spans="4:9" x14ac:dyDescent="0.35">
      <c r="D61" s="236" t="s">
        <v>250</v>
      </c>
      <c r="E61" s="242">
        <f>(BDFE!F526+BDFE!F527+BDFE!F528+BDFE!F529)/1000</f>
        <v>0</v>
      </c>
      <c r="F61" s="242">
        <f>(BDFE!$F$456+ BDFE!F457+BDFE!F458+BDFE!F459)/1000</f>
        <v>0</v>
      </c>
      <c r="G61" s="242">
        <f>(BDFE!F666+BDFE!F667+BDFE!F668+BDFE!F669)/1000</f>
        <v>0</v>
      </c>
      <c r="H61" s="242">
        <f>(BDFE!F596+BDFE!F597+BDFE!F598+BDFE!F599)/1000</f>
        <v>0</v>
      </c>
      <c r="I61" s="242">
        <f t="shared" si="9"/>
        <v>0</v>
      </c>
    </row>
    <row r="62" spans="4:9" x14ac:dyDescent="0.35">
      <c r="D62" s="235" t="s">
        <v>271</v>
      </c>
      <c r="E62" s="239">
        <f>SUM(E55:E61)</f>
        <v>0</v>
      </c>
      <c r="F62" s="239">
        <f t="shared" ref="F62:H62" si="10">SUM(F55:F61)</f>
        <v>0</v>
      </c>
      <c r="G62" s="239">
        <f t="shared" si="10"/>
        <v>0</v>
      </c>
      <c r="H62" s="239">
        <f t="shared" si="10"/>
        <v>0</v>
      </c>
      <c r="I62" s="239">
        <f>SUM(I55:I61)</f>
        <v>0</v>
      </c>
    </row>
    <row r="63" spans="4:9" x14ac:dyDescent="0.35">
      <c r="D63" s="236"/>
      <c r="E63" s="243"/>
      <c r="F63" s="243"/>
      <c r="G63" s="243"/>
      <c r="H63" s="243"/>
      <c r="I63" s="243"/>
    </row>
    <row r="64" spans="4:9" x14ac:dyDescent="0.35">
      <c r="D64" s="235" t="s">
        <v>251</v>
      </c>
      <c r="E64" s="240"/>
      <c r="F64" s="240"/>
      <c r="G64" s="240"/>
      <c r="H64" s="240"/>
      <c r="I64" s="240"/>
    </row>
    <row r="65" spans="4:9" x14ac:dyDescent="0.35">
      <c r="D65" s="236" t="s">
        <v>252</v>
      </c>
      <c r="E65" s="241">
        <f>BDFE!$F$532/1000</f>
        <v>0</v>
      </c>
      <c r="F65" s="241">
        <f>BDFE!$F$462/1000</f>
        <v>0</v>
      </c>
      <c r="G65" s="241">
        <f>BDFE!$F$672/1000</f>
        <v>0</v>
      </c>
      <c r="H65" s="241">
        <f>BDFE!$F$602/1000</f>
        <v>0</v>
      </c>
      <c r="I65" s="241">
        <f t="shared" ref="I65:I70" si="11">SUM(E65,F65,G65,H65)</f>
        <v>0</v>
      </c>
    </row>
    <row r="66" spans="4:9" x14ac:dyDescent="0.35">
      <c r="D66" s="236" t="s">
        <v>253</v>
      </c>
      <c r="E66" s="242">
        <f>BDFE!$F$533/1000</f>
        <v>0</v>
      </c>
      <c r="F66" s="242">
        <f>BDFE!$F$463/1000</f>
        <v>0</v>
      </c>
      <c r="G66" s="242">
        <f>BDFE!$F$673/1000</f>
        <v>0</v>
      </c>
      <c r="H66" s="242">
        <f>BDFE!F603/1000</f>
        <v>0</v>
      </c>
      <c r="I66" s="242">
        <f t="shared" si="11"/>
        <v>0</v>
      </c>
    </row>
    <row r="67" spans="4:9" x14ac:dyDescent="0.35">
      <c r="D67" s="236" t="s">
        <v>238</v>
      </c>
      <c r="E67" s="242">
        <f>BDFE!$F$534/1000</f>
        <v>0</v>
      </c>
      <c r="F67" s="242">
        <f>BDFE!$F$464/1000</f>
        <v>0</v>
      </c>
      <c r="G67" s="242">
        <f>BDFE!$F$674/1000</f>
        <v>0</v>
      </c>
      <c r="H67" s="242">
        <f>BDFE!F604/1000</f>
        <v>0</v>
      </c>
      <c r="I67" s="242">
        <f t="shared" si="11"/>
        <v>0</v>
      </c>
    </row>
    <row r="68" spans="4:9" x14ac:dyDescent="0.35">
      <c r="D68" s="236" t="s">
        <v>254</v>
      </c>
      <c r="E68" s="242">
        <f>BDFE!$F$535/1000</f>
        <v>0</v>
      </c>
      <c r="F68" s="242">
        <f>BDFE!$F$465/1000</f>
        <v>0</v>
      </c>
      <c r="G68" s="242">
        <f>BDFE!$F$675/1000</f>
        <v>0</v>
      </c>
      <c r="H68" s="242">
        <f>BDFE!F605/1000</f>
        <v>0</v>
      </c>
      <c r="I68" s="242">
        <f t="shared" si="11"/>
        <v>0</v>
      </c>
    </row>
    <row r="69" spans="4:9" x14ac:dyDescent="0.35">
      <c r="D69" s="236" t="s">
        <v>272</v>
      </c>
      <c r="E69" s="242">
        <f>(BDFE!F536+BDFE!F537)/1000</f>
        <v>0</v>
      </c>
      <c r="F69" s="242">
        <f>(BDFE!F466+BDFE!F467)/1000</f>
        <v>0</v>
      </c>
      <c r="G69" s="242">
        <f>(BDFE!F676+BDFE!F677)/1000</f>
        <v>0</v>
      </c>
      <c r="H69" s="242">
        <f>(BDFE!F606+BDFE!F607)/1000</f>
        <v>0</v>
      </c>
      <c r="I69" s="242">
        <f t="shared" si="11"/>
        <v>0</v>
      </c>
    </row>
    <row r="70" spans="4:9" x14ac:dyDescent="0.35">
      <c r="D70" s="236" t="s">
        <v>255</v>
      </c>
      <c r="E70" s="242">
        <f>BDFE!$F$538/1000</f>
        <v>0</v>
      </c>
      <c r="F70" s="242">
        <f>BDFE!F468/1000</f>
        <v>0</v>
      </c>
      <c r="G70" s="242">
        <f>BDFE!$F$678/1000</f>
        <v>0</v>
      </c>
      <c r="H70" s="242">
        <f>BDFE!$F$608/1000</f>
        <v>0</v>
      </c>
      <c r="I70" s="242">
        <f t="shared" si="11"/>
        <v>0</v>
      </c>
    </row>
    <row r="71" spans="4:9" x14ac:dyDescent="0.35">
      <c r="D71" s="235" t="s">
        <v>256</v>
      </c>
      <c r="E71" s="239">
        <f>SUM(E65:E70)</f>
        <v>0</v>
      </c>
      <c r="F71" s="239">
        <f t="shared" ref="F71:I71" si="12">SUM(F65:F70)</f>
        <v>0</v>
      </c>
      <c r="G71" s="239">
        <f t="shared" si="12"/>
        <v>0</v>
      </c>
      <c r="H71" s="239">
        <f t="shared" si="12"/>
        <v>0</v>
      </c>
      <c r="I71" s="239">
        <f t="shared" si="12"/>
        <v>0</v>
      </c>
    </row>
    <row r="72" spans="4:9" x14ac:dyDescent="0.35">
      <c r="D72" s="235"/>
      <c r="E72" s="244"/>
      <c r="F72" s="244"/>
      <c r="G72" s="244"/>
      <c r="H72" s="244"/>
      <c r="I72" s="244"/>
    </row>
    <row r="73" spans="4:9" x14ac:dyDescent="0.35">
      <c r="D73" s="235" t="s">
        <v>257</v>
      </c>
      <c r="E73" s="252"/>
      <c r="F73" s="252"/>
      <c r="G73" s="252"/>
      <c r="H73" s="252"/>
      <c r="I73" s="252"/>
    </row>
    <row r="74" spans="4:9" x14ac:dyDescent="0.35">
      <c r="D74" s="236" t="s">
        <v>205</v>
      </c>
      <c r="E74" s="241">
        <f>BDFE!$F$541/1000</f>
        <v>0</v>
      </c>
      <c r="F74" s="241">
        <f>BDFE!$F$471/1000</f>
        <v>0</v>
      </c>
      <c r="G74" s="241">
        <f>BDFE!$F$681/1000</f>
        <v>0</v>
      </c>
      <c r="H74" s="241">
        <f>BDFE!$F$611/1000</f>
        <v>0</v>
      </c>
      <c r="I74" s="242">
        <f t="shared" ref="I74:I86" si="13">SUM(E74,F74,G74,H74)</f>
        <v>0</v>
      </c>
    </row>
    <row r="75" spans="4:9" x14ac:dyDescent="0.35">
      <c r="D75" s="236" t="s">
        <v>209</v>
      </c>
      <c r="E75" s="242">
        <f>BDFE!$F$543/1000</f>
        <v>0</v>
      </c>
      <c r="F75" s="242">
        <f>BDFE!$F$473/1000</f>
        <v>0</v>
      </c>
      <c r="G75" s="242">
        <f>BDFE!$F$683/1000</f>
        <v>0</v>
      </c>
      <c r="H75" s="242">
        <f>BDFE!$F$613/1000</f>
        <v>0</v>
      </c>
      <c r="I75" s="242">
        <f t="shared" si="13"/>
        <v>0</v>
      </c>
    </row>
    <row r="76" spans="4:9" x14ac:dyDescent="0.35">
      <c r="D76" s="236" t="s">
        <v>208</v>
      </c>
      <c r="E76" s="242">
        <f>BDFE!$F$545/1000</f>
        <v>0</v>
      </c>
      <c r="F76" s="242">
        <f>BDFE!$F$475/1000</f>
        <v>0</v>
      </c>
      <c r="G76" s="242">
        <f>BDFE!$F$685/1000</f>
        <v>0</v>
      </c>
      <c r="H76" s="242">
        <f>BDFE!$F$615/1000</f>
        <v>0</v>
      </c>
      <c r="I76" s="242">
        <f t="shared" si="13"/>
        <v>0</v>
      </c>
    </row>
    <row r="77" spans="4:9" x14ac:dyDescent="0.35">
      <c r="D77" s="236" t="s">
        <v>207</v>
      </c>
      <c r="E77" s="242">
        <f>BDFE!$F$547/1000</f>
        <v>0</v>
      </c>
      <c r="F77" s="242">
        <f>BDFE!$F$477/1000</f>
        <v>0</v>
      </c>
      <c r="G77" s="242">
        <f>BDFE!$F$687/1000</f>
        <v>0</v>
      </c>
      <c r="H77" s="242">
        <f>BDFE!$F$617/1000</f>
        <v>0</v>
      </c>
      <c r="I77" s="242">
        <f t="shared" si="13"/>
        <v>0</v>
      </c>
    </row>
    <row r="78" spans="4:9" x14ac:dyDescent="0.35">
      <c r="D78" s="236" t="s">
        <v>258</v>
      </c>
      <c r="E78" s="242">
        <f>BDFE!$F$549/1000</f>
        <v>0</v>
      </c>
      <c r="F78" s="242">
        <f>BDFE!$F$479/1000</f>
        <v>0</v>
      </c>
      <c r="G78" s="242">
        <f>BDFE!$F$689/1000</f>
        <v>0</v>
      </c>
      <c r="H78" s="242">
        <f>BDFE!$F$619/1000</f>
        <v>0</v>
      </c>
      <c r="I78" s="242">
        <f t="shared" si="13"/>
        <v>0</v>
      </c>
    </row>
    <row r="79" spans="4:9" x14ac:dyDescent="0.35">
      <c r="D79" s="236" t="s">
        <v>273</v>
      </c>
      <c r="E79" s="242">
        <f>BDFE!$F$551/1000</f>
        <v>0</v>
      </c>
      <c r="F79" s="242">
        <f>BDFE!$F$481/1000</f>
        <v>0</v>
      </c>
      <c r="G79" s="242">
        <f>BDFE!$F$691/1000</f>
        <v>0</v>
      </c>
      <c r="H79" s="242">
        <f>BDFE!$F$621/1000</f>
        <v>0</v>
      </c>
      <c r="I79" s="242">
        <f t="shared" si="13"/>
        <v>0</v>
      </c>
    </row>
    <row r="80" spans="4:9" x14ac:dyDescent="0.35">
      <c r="D80" s="236" t="s">
        <v>274</v>
      </c>
      <c r="E80" s="242">
        <f>BDFE!$F$553/1000</f>
        <v>0</v>
      </c>
      <c r="F80" s="242">
        <f>BDFE!$F$483/1000</f>
        <v>0</v>
      </c>
      <c r="G80" s="242">
        <f>BDFE!$F$693/1000</f>
        <v>0</v>
      </c>
      <c r="H80" s="242">
        <f>BDFE!$F$623/1000</f>
        <v>0</v>
      </c>
      <c r="I80" s="242">
        <f t="shared" si="13"/>
        <v>0</v>
      </c>
    </row>
    <row r="81" spans="4:9" hidden="1" x14ac:dyDescent="0.35">
      <c r="D81" s="236" t="s">
        <v>275</v>
      </c>
      <c r="E81" s="242">
        <f>BDFE!$F$555/1000</f>
        <v>0</v>
      </c>
      <c r="F81" s="242">
        <f>BDFE!$F$485/1000</f>
        <v>0</v>
      </c>
      <c r="G81" s="242">
        <f>BDFE!$F$695/1000</f>
        <v>0</v>
      </c>
      <c r="H81" s="242">
        <f>BDFE!$F$625/1000</f>
        <v>0</v>
      </c>
      <c r="I81" s="242">
        <f t="shared" si="13"/>
        <v>0</v>
      </c>
    </row>
    <row r="82" spans="4:9" hidden="1" x14ac:dyDescent="0.35">
      <c r="D82" s="236" t="s">
        <v>259</v>
      </c>
      <c r="E82" s="242">
        <f>BDFE!$F$557/1000</f>
        <v>0</v>
      </c>
      <c r="F82" s="242">
        <f>BDFE!$F$487/1000</f>
        <v>0</v>
      </c>
      <c r="G82" s="242">
        <f>BDFE!$F$697/1000</f>
        <v>0</v>
      </c>
      <c r="H82" s="242">
        <f>BDFE!$F$627/1000</f>
        <v>0</v>
      </c>
      <c r="I82" s="242">
        <f t="shared" si="13"/>
        <v>0</v>
      </c>
    </row>
    <row r="83" spans="4:9" hidden="1" x14ac:dyDescent="0.35">
      <c r="D83" s="236" t="s">
        <v>260</v>
      </c>
      <c r="E83" s="242">
        <f>BDFE!$F$559/1000</f>
        <v>0</v>
      </c>
      <c r="F83" s="242">
        <f>BDFE!$F$489/1000</f>
        <v>0</v>
      </c>
      <c r="G83" s="242">
        <f>BDFE!$F$699/1000</f>
        <v>0</v>
      </c>
      <c r="H83" s="242">
        <f>BDFE!$F$629/1000</f>
        <v>0</v>
      </c>
      <c r="I83" s="242">
        <f t="shared" si="13"/>
        <v>0</v>
      </c>
    </row>
    <row r="84" spans="4:9" hidden="1" x14ac:dyDescent="0.35">
      <c r="D84" s="236" t="s">
        <v>261</v>
      </c>
      <c r="E84" s="242">
        <f>BDFE!$F$562/1000</f>
        <v>0</v>
      </c>
      <c r="F84" s="242">
        <f>BDFE!$F$492/1000</f>
        <v>0</v>
      </c>
      <c r="G84" s="242">
        <f>BDFE!$F$702/1000</f>
        <v>0</v>
      </c>
      <c r="H84" s="242">
        <f>BDFE!$F$632/1000</f>
        <v>0</v>
      </c>
      <c r="I84" s="242">
        <f t="shared" si="13"/>
        <v>0</v>
      </c>
    </row>
    <row r="85" spans="4:9" x14ac:dyDescent="0.35">
      <c r="D85" s="236" t="s">
        <v>262</v>
      </c>
      <c r="E85" s="242">
        <f>BDFE!$F$563/1000</f>
        <v>0</v>
      </c>
      <c r="F85" s="242">
        <f>BDFE!$F$493/1000</f>
        <v>0</v>
      </c>
      <c r="G85" s="242">
        <f>BDFE!$F$703/1000</f>
        <v>0</v>
      </c>
      <c r="H85" s="242">
        <f>BDFE!$F$633/1000</f>
        <v>0</v>
      </c>
      <c r="I85" s="242">
        <f t="shared" si="13"/>
        <v>0</v>
      </c>
    </row>
    <row r="86" spans="4:9" x14ac:dyDescent="0.35">
      <c r="D86" s="236" t="s">
        <v>10</v>
      </c>
      <c r="E86" s="245">
        <f>(BDFE!F542+BDFE!F544+BDFE!F546+BDFE!F548+BDFE!F550+BDFE!F552+BDFE!F554+BDFE!F556+BDFE!F558+BDFE!F560-BDFE!F505)/1000</f>
        <v>0</v>
      </c>
      <c r="F86" s="245">
        <f>(BDFE!F472+BDFE!F474+BDFE!F476+BDFE!F478+BDFE!F480+BDFE!F482+BDFE!F484+BDFE!F486+BDFE!F488+BDFE!F490-BDFE!F435)/1000</f>
        <v>0</v>
      </c>
      <c r="G86" s="245">
        <f>(BDFE!F682+BDFE!F684+BDFE!F686+BDFE!F688+BDFE!F690+BDFE!F692+BDFE!F694+BDFE!F696+BDFE!F698+BDFE!F700-BDFE!F645)/1000</f>
        <v>0</v>
      </c>
      <c r="H86" s="245">
        <f>(BDFE!F612+BDFE!F614+BDFE!F616+BDFE!F618+BDFE!F620+BDFE!F622+BDFE!F624+BDFE!F626+BDFE!F628+BDFE!F630-BDFE!F575)/1000</f>
        <v>0</v>
      </c>
      <c r="I86" s="245">
        <f t="shared" si="13"/>
        <v>0</v>
      </c>
    </row>
    <row r="87" spans="4:9" x14ac:dyDescent="0.35">
      <c r="D87" s="235" t="s">
        <v>263</v>
      </c>
      <c r="E87" s="239">
        <f>SUM(E74:E86)</f>
        <v>0</v>
      </c>
      <c r="F87" s="239">
        <f>SUM(F74:F86)</f>
        <v>0</v>
      </c>
      <c r="G87" s="239">
        <f>SUM(G74:G86)</f>
        <v>0</v>
      </c>
      <c r="H87" s="239">
        <f>SUM(H74:H86)</f>
        <v>0</v>
      </c>
      <c r="I87" s="239">
        <f>SUM(I74:I86)</f>
        <v>0</v>
      </c>
    </row>
    <row r="88" spans="4:9" x14ac:dyDescent="0.35">
      <c r="D88" s="236"/>
      <c r="E88" s="246"/>
      <c r="F88" s="246"/>
      <c r="G88" s="246"/>
      <c r="H88" s="246"/>
      <c r="I88" s="246"/>
    </row>
    <row r="89" spans="4:9" x14ac:dyDescent="0.35">
      <c r="D89" s="235" t="s">
        <v>264</v>
      </c>
      <c r="E89" s="247">
        <f>E52+E62+E71+E87</f>
        <v>0</v>
      </c>
      <c r="F89" s="247">
        <f>F52+F62+F71+F87</f>
        <v>0</v>
      </c>
      <c r="G89" s="247">
        <f t="shared" ref="G89" si="14">G52+G62+G71+G87</f>
        <v>0</v>
      </c>
      <c r="H89" s="247">
        <f>H52+H62+H71+H87</f>
        <v>0</v>
      </c>
      <c r="I89" s="239">
        <f>I52+I62+I71+I87</f>
        <v>0</v>
      </c>
    </row>
    <row r="90" spans="4:9" x14ac:dyDescent="0.35">
      <c r="D90" s="237" t="s">
        <v>276</v>
      </c>
      <c r="E90" s="247">
        <f>BDBG!$I$381/1000</f>
        <v>0</v>
      </c>
      <c r="F90" s="247">
        <f>BDBG!$I$327/1000</f>
        <v>0</v>
      </c>
      <c r="G90" s="247">
        <f>BDBG!$I$489/1000</f>
        <v>0</v>
      </c>
      <c r="H90" s="247">
        <f>(BDBG!$I$435+BDBG!$I$436)/1000</f>
        <v>0</v>
      </c>
      <c r="I90" s="239">
        <f t="shared" ref="I90" si="15">SUM(E90,F90,G90,H90)</f>
        <v>0</v>
      </c>
    </row>
    <row r="91" spans="4:9" x14ac:dyDescent="0.35">
      <c r="D91" s="237" t="s">
        <v>277</v>
      </c>
      <c r="E91" s="247">
        <f t="shared" ref="E91" si="16">SUM(E89:E90)</f>
        <v>0</v>
      </c>
      <c r="F91" s="247">
        <f>SUM(F89:F90)</f>
        <v>0</v>
      </c>
      <c r="G91" s="247">
        <f t="shared" ref="G91:I91" si="17">SUM(G89:G90)</f>
        <v>0</v>
      </c>
      <c r="H91" s="247">
        <f t="shared" si="17"/>
        <v>0</v>
      </c>
      <c r="I91" s="247">
        <f t="shared" si="17"/>
        <v>0</v>
      </c>
    </row>
    <row r="93" spans="4:9" x14ac:dyDescent="0.35">
      <c r="H93" s="183"/>
      <c r="I93" s="253"/>
    </row>
    <row r="97" spans="3:11" x14ac:dyDescent="0.35">
      <c r="C97" t="s">
        <v>281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5" t="s">
        <v>268</v>
      </c>
      <c r="E98" s="235" t="s">
        <v>106</v>
      </c>
      <c r="F98" s="236"/>
      <c r="G98" s="236"/>
      <c r="H98" s="236"/>
      <c r="I98" s="236"/>
      <c r="J98" s="236"/>
      <c r="K98" s="236"/>
    </row>
    <row r="99" spans="3:11" x14ac:dyDescent="0.35">
      <c r="D99" s="236"/>
      <c r="E99" s="238" t="s">
        <v>282</v>
      </c>
      <c r="F99" s="238" t="s">
        <v>146</v>
      </c>
      <c r="G99" s="238" t="s">
        <v>147</v>
      </c>
      <c r="H99" s="248" t="s">
        <v>148</v>
      </c>
      <c r="I99" s="238" t="s">
        <v>149</v>
      </c>
      <c r="J99" s="238" t="s">
        <v>283</v>
      </c>
      <c r="K99" s="238" t="s">
        <v>141</v>
      </c>
    </row>
    <row r="100" spans="3:11" x14ac:dyDescent="0.35">
      <c r="D100" s="235" t="s">
        <v>248</v>
      </c>
      <c r="E100" s="239">
        <f>(BDFE!C22+BDFE!C11)/1000</f>
        <v>0</v>
      </c>
      <c r="F100" s="239">
        <f>(BDFE!C93+BDFE!C82)/1000</f>
        <v>0</v>
      </c>
      <c r="G100" s="239">
        <f>(BDFE!C164+BDFE!C153)/1000</f>
        <v>0</v>
      </c>
      <c r="H100" s="239">
        <f>(BDFE!C235+BDFE!C224)/1000</f>
        <v>0</v>
      </c>
      <c r="I100" s="239">
        <f>(BDFE!C306+BDFE!C295)/1000</f>
        <v>0</v>
      </c>
      <c r="J100" s="239">
        <f>(BDFE!C377+BDFE!C366)/1000</f>
        <v>0</v>
      </c>
      <c r="K100" s="239">
        <f>SUM(E100,F100,G100,H100,I100,J100)</f>
        <v>0</v>
      </c>
    </row>
    <row r="101" spans="3:11" x14ac:dyDescent="0.35">
      <c r="D101" s="236"/>
      <c r="E101" s="240"/>
      <c r="F101" s="240"/>
      <c r="G101" s="240"/>
      <c r="H101" s="240"/>
      <c r="I101" s="240"/>
      <c r="J101" s="240"/>
      <c r="K101" s="240"/>
    </row>
    <row r="102" spans="3:11" x14ac:dyDescent="0.35">
      <c r="D102" s="235" t="s">
        <v>271</v>
      </c>
      <c r="E102" s="240"/>
      <c r="F102" s="240"/>
      <c r="G102" s="240"/>
      <c r="H102" s="240"/>
      <c r="I102" s="240"/>
      <c r="J102" s="240"/>
      <c r="K102" s="240"/>
    </row>
    <row r="103" spans="3:11" x14ac:dyDescent="0.35">
      <c r="D103" s="236" t="s">
        <v>197</v>
      </c>
      <c r="E103" s="241">
        <f>BDFE!$C$25/1000</f>
        <v>0</v>
      </c>
      <c r="F103" s="241">
        <f>BDFE!$C$96/1000</f>
        <v>0</v>
      </c>
      <c r="G103" s="241">
        <f>BDFE!$C$167/1000</f>
        <v>0</v>
      </c>
      <c r="H103" s="241">
        <f>(BDFE!$C$238)/1000</f>
        <v>0</v>
      </c>
      <c r="I103" s="241">
        <f>BDFE!$C$309/1000</f>
        <v>0</v>
      </c>
      <c r="J103" s="241">
        <f>BDFE!$C$380/1000</f>
        <v>0</v>
      </c>
      <c r="K103" s="241">
        <f>SUM(E103,F103,G103,H103,I103,J103)</f>
        <v>0</v>
      </c>
    </row>
    <row r="104" spans="3:11" x14ac:dyDescent="0.35">
      <c r="D104" s="236" t="s">
        <v>198</v>
      </c>
      <c r="E104" s="242">
        <f>(BDFE!C26+BDFE!C27)/1000</f>
        <v>0</v>
      </c>
      <c r="F104" s="242">
        <f>(BDFE!C97+BDFE!C98)/1000</f>
        <v>0</v>
      </c>
      <c r="G104" s="242">
        <f>(BDFE!C168+BDFE!C169)/1000</f>
        <v>0</v>
      </c>
      <c r="H104" s="242">
        <f>(BDFE!C239+BDFE!C240)/1000</f>
        <v>0</v>
      </c>
      <c r="I104" s="242">
        <f>(BDFE!C310+BDFE!C311)/1000</f>
        <v>0</v>
      </c>
      <c r="J104" s="242">
        <f>(BDFE!C381+BDFE!C382)/1000</f>
        <v>0</v>
      </c>
      <c r="K104" s="242">
        <f t="shared" ref="K104:K109" si="18">SUM(E104,F104,G104,H104,I104,J104)</f>
        <v>0</v>
      </c>
    </row>
    <row r="105" spans="3:11" x14ac:dyDescent="0.35">
      <c r="D105" s="236" t="s">
        <v>199</v>
      </c>
      <c r="E105" s="242">
        <f>BDFE!$C$28/1000</f>
        <v>0</v>
      </c>
      <c r="F105" s="242">
        <f>BDFE!$C$99/1000</f>
        <v>0</v>
      </c>
      <c r="G105" s="242">
        <f>BDFE!$C$170/1000</f>
        <v>0</v>
      </c>
      <c r="H105" s="242">
        <f>BDFE!$C$241/1000</f>
        <v>0</v>
      </c>
      <c r="I105" s="242">
        <f>BDFE!$C$312/1000</f>
        <v>0</v>
      </c>
      <c r="J105" s="242">
        <f>BDFE!$C$383/1000</f>
        <v>0</v>
      </c>
      <c r="K105" s="242">
        <f t="shared" si="18"/>
        <v>0</v>
      </c>
    </row>
    <row r="106" spans="3:11" x14ac:dyDescent="0.35">
      <c r="D106" s="236" t="s">
        <v>200</v>
      </c>
      <c r="E106" s="242">
        <f>(BDFE!C29+BDFE!C30)/1000</f>
        <v>0</v>
      </c>
      <c r="F106" s="242">
        <f>(BDFE!C100+BDFE!C101)/1000</f>
        <v>0</v>
      </c>
      <c r="G106" s="242">
        <f>(BDFE!C171+BDFE!C172)/1000</f>
        <v>0</v>
      </c>
      <c r="H106" s="242">
        <f>(BDFE!C242+BDFE!C243)/1000</f>
        <v>0</v>
      </c>
      <c r="I106" s="242">
        <f>(BDFE!C313+BDFE!C314)/1000</f>
        <v>0</v>
      </c>
      <c r="J106" s="242">
        <f>(BDFE!C384+BDFE!C385)/1000</f>
        <v>0</v>
      </c>
      <c r="K106" s="242">
        <f t="shared" si="18"/>
        <v>0</v>
      </c>
    </row>
    <row r="107" spans="3:11" x14ac:dyDescent="0.35">
      <c r="D107" s="236" t="s">
        <v>223</v>
      </c>
      <c r="E107" s="242">
        <f>BDFE!$C$31/1000</f>
        <v>0</v>
      </c>
      <c r="F107" s="242">
        <f>BDFE!$C$102/1000</f>
        <v>0</v>
      </c>
      <c r="G107" s="242">
        <f>BDFE!$C$173/1000</f>
        <v>0</v>
      </c>
      <c r="H107" s="242">
        <f>BDFE!$C$244/1000</f>
        <v>0</v>
      </c>
      <c r="I107" s="242">
        <f>BDFE!$C$315/1000</f>
        <v>0</v>
      </c>
      <c r="J107" s="242">
        <f>BDFE!$C$386/1000</f>
        <v>0</v>
      </c>
      <c r="K107" s="242">
        <f t="shared" si="18"/>
        <v>0</v>
      </c>
    </row>
    <row r="108" spans="3:11" x14ac:dyDescent="0.35">
      <c r="D108" s="236" t="s">
        <v>249</v>
      </c>
      <c r="E108" s="242">
        <f>(BDFE!C32+BDFE!C33)/1000</f>
        <v>0</v>
      </c>
      <c r="F108" s="242">
        <f>(BDFE!C103+BDFE!C104)/1000</f>
        <v>0</v>
      </c>
      <c r="G108" s="242">
        <f>(BDFE!C174+BDFE!C175)/1000</f>
        <v>0</v>
      </c>
      <c r="H108" s="242">
        <f>(BDFE!C245+BDFE!C246)/1000</f>
        <v>0</v>
      </c>
      <c r="I108" s="242">
        <f>(BDFE!C316+BDFE!C317)/1000</f>
        <v>0</v>
      </c>
      <c r="J108" s="242">
        <f>(BDFE!C387+BDFE!C388)/1000</f>
        <v>0</v>
      </c>
      <c r="K108" s="242">
        <f t="shared" si="18"/>
        <v>0</v>
      </c>
    </row>
    <row r="109" spans="3:11" x14ac:dyDescent="0.35">
      <c r="D109" s="236" t="s">
        <v>250</v>
      </c>
      <c r="E109" s="242">
        <f>(BDFE!C34+BDFE!C35+BDFE!C36)/1000</f>
        <v>0</v>
      </c>
      <c r="F109" s="242">
        <f>(BDFE!C105+BDFE!C106+BDFE!C107)/1000</f>
        <v>0</v>
      </c>
      <c r="G109" s="242">
        <f>(BDFE!C176+BDFE!C177+BDFE!C178)/1000</f>
        <v>0</v>
      </c>
      <c r="H109" s="242">
        <f>(BDFE!C247+BDFE!C248+BDFE!C249)/1000</f>
        <v>0</v>
      </c>
      <c r="I109" s="242">
        <f>(BDFE!C318+BDFE!C319+BDFE!C320)/1000</f>
        <v>0</v>
      </c>
      <c r="J109" s="242">
        <f>(BDFE!C389+BDFE!C390+BDFE!C391)/1000</f>
        <v>0</v>
      </c>
      <c r="K109" s="242">
        <f t="shared" si="18"/>
        <v>0</v>
      </c>
    </row>
    <row r="110" spans="3:11" x14ac:dyDescent="0.35">
      <c r="D110" s="235" t="s">
        <v>271</v>
      </c>
      <c r="E110" s="239">
        <f>SUM(E103:E109)</f>
        <v>0</v>
      </c>
      <c r="F110" s="239">
        <f>SUM(F103:F109)</f>
        <v>0</v>
      </c>
      <c r="G110" s="239">
        <f t="shared" ref="G110:I110" si="19">SUM(G103:G109)</f>
        <v>0</v>
      </c>
      <c r="H110" s="239">
        <f>SUM(H103:H109)</f>
        <v>0</v>
      </c>
      <c r="I110" s="239">
        <f t="shared" si="19"/>
        <v>0</v>
      </c>
      <c r="J110" s="239">
        <f t="shared" ref="J110:K110" si="20">SUM(J103:J109)</f>
        <v>0</v>
      </c>
      <c r="K110" s="239">
        <f t="shared" si="20"/>
        <v>0</v>
      </c>
    </row>
    <row r="111" spans="3:11" x14ac:dyDescent="0.35">
      <c r="D111" s="236"/>
      <c r="E111" s="243"/>
      <c r="F111" s="243"/>
      <c r="G111" s="243"/>
      <c r="H111" s="243"/>
      <c r="I111" s="243"/>
      <c r="J111" s="243"/>
      <c r="K111" s="243"/>
    </row>
    <row r="112" spans="3:11" x14ac:dyDescent="0.35">
      <c r="D112" s="235" t="s">
        <v>251</v>
      </c>
      <c r="E112" s="240"/>
      <c r="F112" s="240"/>
      <c r="G112" s="240"/>
      <c r="H112" s="240"/>
      <c r="I112" s="240"/>
      <c r="J112" s="240"/>
      <c r="K112" s="240"/>
    </row>
    <row r="113" spans="4:11" x14ac:dyDescent="0.35">
      <c r="D113" s="236" t="s">
        <v>252</v>
      </c>
      <c r="E113" s="241">
        <f>BDFE!$C$39/1000</f>
        <v>0</v>
      </c>
      <c r="F113" s="241">
        <f>BDFE!$C$110/1000</f>
        <v>0</v>
      </c>
      <c r="G113" s="241">
        <f>BDFE!$C$181/1000</f>
        <v>0</v>
      </c>
      <c r="H113" s="241">
        <f>BDFE!$C$252/1000</f>
        <v>0</v>
      </c>
      <c r="I113" s="241">
        <f>BDFE!$C$323/1000</f>
        <v>0</v>
      </c>
      <c r="J113" s="241">
        <f>BDFE!$C$394/1000</f>
        <v>0</v>
      </c>
      <c r="K113" s="241">
        <f t="shared" ref="K113:K118" si="21">SUM(E113,F113,G113,H113,I113,J113)</f>
        <v>0</v>
      </c>
    </row>
    <row r="114" spans="4:11" x14ac:dyDescent="0.35">
      <c r="D114" s="236" t="s">
        <v>253</v>
      </c>
      <c r="E114" s="242">
        <f>BDFE!$C$40/1000</f>
        <v>0</v>
      </c>
      <c r="F114" s="242">
        <f>BDFE!$C$111/1000</f>
        <v>0</v>
      </c>
      <c r="G114" s="242">
        <f>BDFE!$C$182/1000</f>
        <v>0</v>
      </c>
      <c r="H114" s="242">
        <f>BDFE!$C$253/1000</f>
        <v>0</v>
      </c>
      <c r="I114" s="242">
        <f>BDFE!$C$324/1000</f>
        <v>0</v>
      </c>
      <c r="J114" s="242">
        <f>BDFE!$C$395/1000</f>
        <v>0</v>
      </c>
      <c r="K114" s="242">
        <f t="shared" si="21"/>
        <v>0</v>
      </c>
    </row>
    <row r="115" spans="4:11" x14ac:dyDescent="0.35">
      <c r="D115" s="236" t="s">
        <v>238</v>
      </c>
      <c r="E115" s="242">
        <f>BDFE!$C$41/1000</f>
        <v>0</v>
      </c>
      <c r="F115" s="242">
        <f>BDFE!$C$112/1000</f>
        <v>0</v>
      </c>
      <c r="G115" s="242">
        <f>BDFE!$C$183/1000</f>
        <v>0</v>
      </c>
      <c r="H115" s="242">
        <f>BDFE!$C$254/1000</f>
        <v>0</v>
      </c>
      <c r="I115" s="242">
        <f>BDFE!$C$325/1000</f>
        <v>0</v>
      </c>
      <c r="J115" s="242">
        <f>BDFE!$C$396/1000</f>
        <v>0</v>
      </c>
      <c r="K115" s="242">
        <f t="shared" si="21"/>
        <v>0</v>
      </c>
    </row>
    <row r="116" spans="4:11" x14ac:dyDescent="0.35">
      <c r="D116" s="236" t="s">
        <v>254</v>
      </c>
      <c r="E116" s="242">
        <f>BDFE!$C$42/1000</f>
        <v>0</v>
      </c>
      <c r="F116" s="242">
        <f>BDFE!$C$113/1000</f>
        <v>0</v>
      </c>
      <c r="G116" s="242">
        <f>BDFE!$C$184/1000</f>
        <v>0</v>
      </c>
      <c r="H116" s="242">
        <f>BDFE!$C$255/1000</f>
        <v>0</v>
      </c>
      <c r="I116" s="242">
        <f>BDFE!$C$326/1000</f>
        <v>0</v>
      </c>
      <c r="J116" s="242">
        <f>BDFE!$C$397/1000</f>
        <v>0</v>
      </c>
      <c r="K116" s="242">
        <f t="shared" si="21"/>
        <v>0</v>
      </c>
    </row>
    <row r="117" spans="4:11" x14ac:dyDescent="0.35">
      <c r="D117" s="236" t="s">
        <v>272</v>
      </c>
      <c r="E117" s="242">
        <f>(BDFE!C43+BDFE!C44)/1000</f>
        <v>0</v>
      </c>
      <c r="F117" s="242">
        <f>(BDFE!C114+BDFE!C115)/1000</f>
        <v>0</v>
      </c>
      <c r="G117" s="242">
        <f>(BDFE!C185+BDFE!C186)/1000</f>
        <v>0</v>
      </c>
      <c r="H117" s="242">
        <f>(BDFE!C256+BDFE!C257)/1000</f>
        <v>0</v>
      </c>
      <c r="I117" s="242">
        <f>(BDFE!C327+BDFE!C328)/1000</f>
        <v>0</v>
      </c>
      <c r="J117" s="242">
        <f>(BDFE!C398+BDFE!C399)/1000</f>
        <v>0</v>
      </c>
      <c r="K117" s="242">
        <f t="shared" si="21"/>
        <v>0</v>
      </c>
    </row>
    <row r="118" spans="4:11" x14ac:dyDescent="0.35">
      <c r="D118" s="236" t="s">
        <v>255</v>
      </c>
      <c r="E118" s="242">
        <f>BDFE!$C$45/1000</f>
        <v>0</v>
      </c>
      <c r="F118" s="242">
        <f>BDFE!$C$116/1000</f>
        <v>0</v>
      </c>
      <c r="G118" s="242">
        <f>BDFE!$C$187/1000</f>
        <v>0</v>
      </c>
      <c r="H118" s="242">
        <f>BDFE!$C$258/1000</f>
        <v>0</v>
      </c>
      <c r="I118" s="245">
        <f>BDFE!$C$328/1000</f>
        <v>0</v>
      </c>
      <c r="J118" s="245">
        <f>BDFE!$C$399/1000</f>
        <v>0</v>
      </c>
      <c r="K118" s="245">
        <f t="shared" si="21"/>
        <v>0</v>
      </c>
    </row>
    <row r="119" spans="4:11" x14ac:dyDescent="0.35">
      <c r="D119" s="235" t="s">
        <v>256</v>
      </c>
      <c r="E119" s="239">
        <f>SUM(E113:E118)</f>
        <v>0</v>
      </c>
      <c r="F119" s="239">
        <f>SUM(F113:F118)</f>
        <v>0</v>
      </c>
      <c r="G119" s="239">
        <f t="shared" ref="G119:H119" si="22">SUM(G113:G118)</f>
        <v>0</v>
      </c>
      <c r="H119" s="239">
        <f t="shared" si="22"/>
        <v>0</v>
      </c>
      <c r="I119" s="239">
        <f>SUM(I113:I118)</f>
        <v>0</v>
      </c>
      <c r="J119" s="239">
        <f>SUM(J113:J118)</f>
        <v>0</v>
      </c>
      <c r="K119" s="239">
        <f t="shared" ref="K119" si="23">SUM(K113:K118)</f>
        <v>0</v>
      </c>
    </row>
    <row r="120" spans="4:11" x14ac:dyDescent="0.35">
      <c r="D120" s="235"/>
      <c r="E120" s="244"/>
      <c r="F120" s="244"/>
      <c r="G120" s="244"/>
      <c r="H120" s="244"/>
      <c r="I120" s="243"/>
      <c r="J120" s="243"/>
      <c r="K120" s="243"/>
    </row>
    <row r="121" spans="4:11" x14ac:dyDescent="0.35">
      <c r="D121" s="235" t="s">
        <v>257</v>
      </c>
      <c r="E121" s="240"/>
      <c r="F121" s="240"/>
      <c r="G121" s="240"/>
      <c r="H121" s="240"/>
      <c r="I121" s="240"/>
      <c r="J121" s="240"/>
      <c r="K121" s="240"/>
    </row>
    <row r="122" spans="4:11" x14ac:dyDescent="0.35">
      <c r="D122" s="236" t="s">
        <v>205</v>
      </c>
      <c r="E122" s="241">
        <f>BDFE!$C$48/1000</f>
        <v>0</v>
      </c>
      <c r="F122" s="241">
        <f>BDFE!$C$119/1000</f>
        <v>0</v>
      </c>
      <c r="G122" s="241">
        <f>BDFE!$C$190/1000</f>
        <v>0</v>
      </c>
      <c r="H122" s="241">
        <f>BDFE!$C$261/1000</f>
        <v>0</v>
      </c>
      <c r="I122" s="241">
        <f>BDFE!$C$332/1000</f>
        <v>0</v>
      </c>
      <c r="J122" s="241">
        <f>BDFE!$C$403/1000</f>
        <v>0</v>
      </c>
      <c r="K122" s="241">
        <f t="shared" ref="K122:K134" si="24">SUM(E122,F122,G122,H122,I122,J122)</f>
        <v>0</v>
      </c>
    </row>
    <row r="123" spans="4:11" x14ac:dyDescent="0.35">
      <c r="D123" s="236" t="s">
        <v>209</v>
      </c>
      <c r="E123" s="242">
        <f>BDFE!$C$50/1000</f>
        <v>0</v>
      </c>
      <c r="F123" s="242">
        <f>BDFE!$C$121/1000</f>
        <v>0</v>
      </c>
      <c r="G123" s="242">
        <f>BDFE!$C$192/1000</f>
        <v>0</v>
      </c>
      <c r="H123" s="242">
        <f>BDFE!$C$263/1000</f>
        <v>0</v>
      </c>
      <c r="I123" s="242">
        <f>BDFE!$C$334/1000</f>
        <v>0</v>
      </c>
      <c r="J123" s="242">
        <f>BDFE!$C$405/1000</f>
        <v>0</v>
      </c>
      <c r="K123" s="242">
        <f t="shared" si="24"/>
        <v>0</v>
      </c>
    </row>
    <row r="124" spans="4:11" x14ac:dyDescent="0.35">
      <c r="D124" s="236" t="s">
        <v>208</v>
      </c>
      <c r="E124" s="242">
        <f>BDFE!$C$52/1000</f>
        <v>0</v>
      </c>
      <c r="F124" s="242">
        <f>BDFE!$C$123/1000</f>
        <v>0</v>
      </c>
      <c r="G124" s="242">
        <f>BDFE!$C$194/1000</f>
        <v>0</v>
      </c>
      <c r="H124" s="242">
        <f>BDFE!$C$265/1000</f>
        <v>0</v>
      </c>
      <c r="I124" s="242">
        <f>BDFE!$C$336/1000</f>
        <v>0</v>
      </c>
      <c r="J124" s="242">
        <f>BDFE!$C$407/1000</f>
        <v>0</v>
      </c>
      <c r="K124" s="242">
        <f t="shared" si="24"/>
        <v>0</v>
      </c>
    </row>
    <row r="125" spans="4:11" x14ac:dyDescent="0.35">
      <c r="D125" s="236" t="s">
        <v>207</v>
      </c>
      <c r="E125" s="242">
        <f>BDFE!$C$54/1000</f>
        <v>0</v>
      </c>
      <c r="F125" s="242">
        <f>BDFE!$C$125/1000</f>
        <v>0</v>
      </c>
      <c r="G125" s="242">
        <f>BDFE!$C$196/1000</f>
        <v>0</v>
      </c>
      <c r="H125" s="242">
        <f>BDFE!$C$267/1000</f>
        <v>0</v>
      </c>
      <c r="I125" s="242">
        <f>BDFE!$C$338/1000</f>
        <v>0</v>
      </c>
      <c r="J125" s="242">
        <f>BDFE!$C$409/1000</f>
        <v>0</v>
      </c>
      <c r="K125" s="242">
        <f t="shared" si="24"/>
        <v>0</v>
      </c>
    </row>
    <row r="126" spans="4:11" x14ac:dyDescent="0.35">
      <c r="D126" s="236" t="s">
        <v>258</v>
      </c>
      <c r="E126" s="242">
        <f>BDFE!$C$56/1000</f>
        <v>0</v>
      </c>
      <c r="F126" s="242">
        <f>BDFE!$C$127/1000</f>
        <v>0</v>
      </c>
      <c r="G126" s="242">
        <f>BDFE!$C$198/1000</f>
        <v>0</v>
      </c>
      <c r="H126" s="242">
        <f>BDFE!$C$269/1000</f>
        <v>0</v>
      </c>
      <c r="I126" s="242">
        <f>BDFE!$C$340/1000</f>
        <v>0</v>
      </c>
      <c r="J126" s="242">
        <f>BDFE!$C$411/1000</f>
        <v>0</v>
      </c>
      <c r="K126" s="242">
        <f t="shared" si="24"/>
        <v>0</v>
      </c>
    </row>
    <row r="127" spans="4:11" x14ac:dyDescent="0.35">
      <c r="D127" s="236" t="s">
        <v>273</v>
      </c>
      <c r="E127" s="242">
        <f>BDFE!$C$58/1000</f>
        <v>0</v>
      </c>
      <c r="F127" s="242">
        <f>BDFE!$C$129/1000</f>
        <v>0</v>
      </c>
      <c r="G127" s="242">
        <f>BDFE!$C$200/1000</f>
        <v>0</v>
      </c>
      <c r="H127" s="242">
        <f>BDFE!$C$271/1000</f>
        <v>0</v>
      </c>
      <c r="I127" s="242">
        <f>BDFE!$C$342/1000</f>
        <v>0</v>
      </c>
      <c r="J127" s="242">
        <f>BDFE!$C$413/1000</f>
        <v>0</v>
      </c>
      <c r="K127" s="242">
        <f t="shared" si="24"/>
        <v>0</v>
      </c>
    </row>
    <row r="128" spans="4:11" x14ac:dyDescent="0.35">
      <c r="D128" s="236" t="s">
        <v>274</v>
      </c>
      <c r="E128" s="242">
        <f>BDFE!$C$60/1000</f>
        <v>0</v>
      </c>
      <c r="F128" s="242">
        <f>BDFE!$C$131/1000</f>
        <v>0</v>
      </c>
      <c r="G128" s="242">
        <f>BDFE!$C$202/1000</f>
        <v>0</v>
      </c>
      <c r="H128" s="242">
        <f>BDFE!$C$273/1000</f>
        <v>0</v>
      </c>
      <c r="I128" s="242">
        <f>BDFE!$C$344/1000</f>
        <v>0</v>
      </c>
      <c r="J128" s="242">
        <f>BDFE!$C$415/1000</f>
        <v>0</v>
      </c>
      <c r="K128" s="242">
        <f t="shared" si="24"/>
        <v>0</v>
      </c>
    </row>
    <row r="129" spans="4:11" x14ac:dyDescent="0.35">
      <c r="D129" s="236" t="s">
        <v>275</v>
      </c>
      <c r="E129" s="242">
        <f>BDFE!$C$62/1000</f>
        <v>0</v>
      </c>
      <c r="F129" s="242">
        <f>BDFE!$C$133/1000</f>
        <v>0</v>
      </c>
      <c r="G129" s="242">
        <f>BDFE!$C$204/1000</f>
        <v>0</v>
      </c>
      <c r="H129" s="242">
        <f>BDFE!$C$275/1000</f>
        <v>0</v>
      </c>
      <c r="I129" s="242">
        <f>BDFE!$C$346/1000</f>
        <v>0</v>
      </c>
      <c r="J129" s="242">
        <f>BDFE!$C$417/1000</f>
        <v>0</v>
      </c>
      <c r="K129" s="242">
        <f t="shared" si="24"/>
        <v>0</v>
      </c>
    </row>
    <row r="130" spans="4:11" x14ac:dyDescent="0.35">
      <c r="D130" s="236" t="s">
        <v>259</v>
      </c>
      <c r="E130" s="242">
        <f>BDFE!$C$64/1000</f>
        <v>0</v>
      </c>
      <c r="F130" s="242">
        <f>BDFE!$C$135/1000</f>
        <v>0</v>
      </c>
      <c r="G130" s="242">
        <f>BDFE!$C$206/1000</f>
        <v>0</v>
      </c>
      <c r="H130" s="242">
        <f>BDFE!$C$277/1000</f>
        <v>0</v>
      </c>
      <c r="I130" s="242">
        <f>BDFE!$C$348/1000</f>
        <v>0</v>
      </c>
      <c r="J130" s="242">
        <f>BDFE!$C$419/1000</f>
        <v>0</v>
      </c>
      <c r="K130" s="242">
        <f t="shared" si="24"/>
        <v>0</v>
      </c>
    </row>
    <row r="131" spans="4:11" x14ac:dyDescent="0.35">
      <c r="D131" s="236" t="s">
        <v>260</v>
      </c>
      <c r="E131" s="242">
        <f>BDFE!$C$66/1000</f>
        <v>0</v>
      </c>
      <c r="F131" s="242">
        <f>BDFE!$C$137/1000</f>
        <v>0</v>
      </c>
      <c r="G131" s="242">
        <f>BDFE!$C$208/1000</f>
        <v>0</v>
      </c>
      <c r="H131" s="242">
        <f>BDFE!$C$279/1000</f>
        <v>0</v>
      </c>
      <c r="I131" s="242">
        <f>BDFE!$C$350/1000</f>
        <v>0</v>
      </c>
      <c r="J131" s="242">
        <f>BDFE!$C$421/1000</f>
        <v>0</v>
      </c>
      <c r="K131" s="242">
        <f t="shared" si="24"/>
        <v>0</v>
      </c>
    </row>
    <row r="132" spans="4:11" hidden="1" x14ac:dyDescent="0.35">
      <c r="D132" s="236" t="s">
        <v>261</v>
      </c>
      <c r="E132" s="242">
        <f>BDFE!$C$68/1000</f>
        <v>0</v>
      </c>
      <c r="F132" s="242">
        <f>BDFE!$C$139/1000</f>
        <v>0</v>
      </c>
      <c r="G132" s="242">
        <f>BDFE!$C$210/1000</f>
        <v>0</v>
      </c>
      <c r="H132" s="242">
        <f>BDFE!$C$281/1000</f>
        <v>0</v>
      </c>
      <c r="I132" s="242">
        <f>BDFE!$C$352/1000</f>
        <v>0</v>
      </c>
      <c r="J132" s="242">
        <f>BDFE!$C$423/1000</f>
        <v>0</v>
      </c>
      <c r="K132" s="242">
        <f t="shared" si="24"/>
        <v>0</v>
      </c>
    </row>
    <row r="133" spans="4:11" hidden="1" x14ac:dyDescent="0.35">
      <c r="D133" s="236" t="s">
        <v>262</v>
      </c>
      <c r="E133" s="242">
        <f>BDFE!$C$69/1000</f>
        <v>0</v>
      </c>
      <c r="F133" s="242">
        <f>BDFE!$C$140/1000</f>
        <v>0</v>
      </c>
      <c r="G133" s="242">
        <f>BDFE!$C$211/1000</f>
        <v>0</v>
      </c>
      <c r="H133" s="242">
        <f>BDFE!$C$282/1000</f>
        <v>0</v>
      </c>
      <c r="I133" s="242">
        <f>BDFE!$C$353/1000</f>
        <v>0</v>
      </c>
      <c r="J133" s="242">
        <f>BDFE!$C$424/1000</f>
        <v>0</v>
      </c>
      <c r="K133" s="242">
        <f t="shared" si="24"/>
        <v>0</v>
      </c>
    </row>
    <row r="134" spans="4:11" x14ac:dyDescent="0.35">
      <c r="D134" s="236" t="s">
        <v>10</v>
      </c>
      <c r="E134" s="245">
        <f>(BDFE!C49+BDFE!C51+BDFE!C53+BDFE!C55+BDFE!C57+BDFE!C59+BDFE!C61+BDFE!C63+BDFE!C65+BDFE!C67-BDFE!C11)/1000</f>
        <v>0</v>
      </c>
      <c r="F134" s="245">
        <f>(BDFE!C120+BDFE!C122+BDFE!C124+BDFE!C126+BDFE!C128+BDFE!C130+BDFE!C132+BDFE!C134+BDFE!C136+BDFE!C138-BDFE!C82)/1000</f>
        <v>0</v>
      </c>
      <c r="G134" s="245">
        <f>(BDFE!C191+BDFE!C193+BDFE!C195+BDFE!C197+BDFE!C199+BDFE!C201+BDFE!C203+BDFE!C205+BDFE!C207+BDFE!C209-BDFE!C153)/1000</f>
        <v>0</v>
      </c>
      <c r="H134" s="245">
        <f>(BDFE!C262+BDFE!C264+BDFE!C266+BDFE!C268+BDFE!C270+BDFE!C272+BDFE!C274+BDFE!C276+BDFE!C278+BDFE!C280-BDFE!C224)/1000</f>
        <v>0</v>
      </c>
      <c r="I134" s="245">
        <f>(BDFE!C333+BDFE!C335+BDFE!C337+BDFE!C339+BDFE!C341+BDFE!C343+BDFE!C345+BDFE!C347+BDFE!C349+BDFE!C351-BDFE!C295)/1000</f>
        <v>0</v>
      </c>
      <c r="J134" s="245">
        <f>(BDFE!C404+BDFE!C406+BDFE!C408+BDFE!C410+BDFE!C412+BDFE!C414+BDFE!C416+BDFE!C418+BDFE!C420+BDFE!C422-BDFE!C366)/1000</f>
        <v>0</v>
      </c>
      <c r="K134" s="245">
        <f t="shared" si="24"/>
        <v>0</v>
      </c>
    </row>
    <row r="135" spans="4:11" x14ac:dyDescent="0.35">
      <c r="D135" s="235" t="s">
        <v>263</v>
      </c>
      <c r="E135" s="239">
        <f>SUM(E122:E134)</f>
        <v>0</v>
      </c>
      <c r="F135" s="239">
        <f t="shared" ref="F135" si="25">SUM(F122:F134)</f>
        <v>0</v>
      </c>
      <c r="G135" s="239">
        <f t="shared" ref="G135" si="26">SUM(G122:G134)</f>
        <v>0</v>
      </c>
      <c r="H135" s="239">
        <f t="shared" ref="H135" si="27">SUM(H122:H134)</f>
        <v>0</v>
      </c>
      <c r="I135" s="239">
        <f>SUM(I122:I134)</f>
        <v>0</v>
      </c>
      <c r="J135" s="239">
        <f t="shared" ref="J135:K135" si="28">SUM(J122:J134)</f>
        <v>0</v>
      </c>
      <c r="K135" s="239">
        <f t="shared" si="28"/>
        <v>0</v>
      </c>
    </row>
    <row r="136" spans="4:11" x14ac:dyDescent="0.35">
      <c r="D136" s="236"/>
      <c r="E136" s="246"/>
      <c r="F136" s="246"/>
      <c r="G136" s="246"/>
      <c r="H136" s="246"/>
      <c r="I136" s="249"/>
      <c r="J136" s="249"/>
      <c r="K136" s="249"/>
    </row>
    <row r="137" spans="4:11" x14ac:dyDescent="0.35">
      <c r="D137" s="235" t="s">
        <v>264</v>
      </c>
      <c r="E137" s="247">
        <f>E100+E110+E119+E135</f>
        <v>0</v>
      </c>
      <c r="F137" s="247">
        <f>F100+F110+F119+F135</f>
        <v>0</v>
      </c>
      <c r="G137" s="247">
        <f t="shared" ref="G137:H137" si="29">G100+G110+G119+G135</f>
        <v>0</v>
      </c>
      <c r="H137" s="247">
        <f t="shared" si="29"/>
        <v>0</v>
      </c>
      <c r="I137" s="239">
        <f>I100+I110+I119+I135</f>
        <v>0</v>
      </c>
      <c r="J137" s="239">
        <f t="shared" ref="J137:K137" si="30">J100+J110+J119+J135</f>
        <v>0</v>
      </c>
      <c r="K137" s="239">
        <f t="shared" si="30"/>
        <v>0</v>
      </c>
    </row>
    <row r="138" spans="4:11" x14ac:dyDescent="0.35">
      <c r="D138" s="237" t="s">
        <v>276</v>
      </c>
      <c r="E138" s="247">
        <f>(BDBG!H3+BDBG!H4)/1000</f>
        <v>0</v>
      </c>
      <c r="F138" s="247">
        <f>(BDBG!H57+BDBG!H58)/1000</f>
        <v>0</v>
      </c>
      <c r="G138" s="247">
        <f>(BDBG!H111+BDBG!H112)/1000</f>
        <v>0</v>
      </c>
      <c r="H138" s="247">
        <f>(BDBG!H165+BDBG!H166)/1000</f>
        <v>0</v>
      </c>
      <c r="I138" s="239">
        <f>(BDBG!H219+BDBG!H220)/1000</f>
        <v>0</v>
      </c>
      <c r="J138" s="239">
        <f>(BDBG!H273+BDBG!H274)/1000</f>
        <v>0</v>
      </c>
      <c r="K138" s="239">
        <f>SUM(E138,F138,G138,H138,I138,J138)</f>
        <v>0</v>
      </c>
    </row>
    <row r="139" spans="4:11" x14ac:dyDescent="0.35">
      <c r="D139" s="237" t="s">
        <v>277</v>
      </c>
      <c r="E139" s="247">
        <f t="shared" ref="E139" si="31">SUM(E137:E138)</f>
        <v>0</v>
      </c>
      <c r="F139" s="247">
        <f>SUM(F137:F138)</f>
        <v>0</v>
      </c>
      <c r="G139" s="247">
        <f t="shared" ref="G139:H139" si="32">SUM(G137:G138)</f>
        <v>0</v>
      </c>
      <c r="H139" s="247">
        <f t="shared" si="32"/>
        <v>0</v>
      </c>
      <c r="I139" s="247">
        <f>SUM(I137:I138)</f>
        <v>0</v>
      </c>
      <c r="J139" s="247">
        <f t="shared" ref="J139:K139" si="33">SUM(J137:J138)</f>
        <v>0</v>
      </c>
      <c r="K139" s="247">
        <f t="shared" si="33"/>
        <v>0</v>
      </c>
    </row>
    <row r="141" spans="4:11" x14ac:dyDescent="0.35">
      <c r="I141" s="253"/>
      <c r="J141" s="253"/>
      <c r="K141" s="253"/>
    </row>
    <row r="146" spans="4:11" x14ac:dyDescent="0.35">
      <c r="D146" s="250"/>
      <c r="E146" s="235" t="s">
        <v>278</v>
      </c>
      <c r="F146" s="236"/>
      <c r="G146" s="236"/>
      <c r="H146" s="236"/>
      <c r="I146" s="236"/>
      <c r="J146" s="236"/>
      <c r="K146" s="236"/>
    </row>
    <row r="147" spans="4:11" x14ac:dyDescent="0.35">
      <c r="D147" s="251" t="s">
        <v>279</v>
      </c>
      <c r="E147" s="238" t="s">
        <v>282</v>
      </c>
      <c r="F147" s="238" t="s">
        <v>146</v>
      </c>
      <c r="G147" s="238" t="s">
        <v>147</v>
      </c>
      <c r="H147" s="248" t="s">
        <v>148</v>
      </c>
      <c r="I147" s="238" t="s">
        <v>149</v>
      </c>
      <c r="J147" s="238" t="s">
        <v>283</v>
      </c>
      <c r="K147" s="238" t="s">
        <v>141</v>
      </c>
    </row>
    <row r="148" spans="4:11" x14ac:dyDescent="0.35">
      <c r="D148" s="235" t="s">
        <v>248</v>
      </c>
      <c r="E148" s="239">
        <f>(BDFE!F22+BDFE!F11)/1000</f>
        <v>0</v>
      </c>
      <c r="F148" s="239">
        <f>(BDFE!F93+BDFE!F82)/1000</f>
        <v>0</v>
      </c>
      <c r="G148" s="239">
        <f>(BDFE!F164+BDFE!F153)/1000</f>
        <v>0</v>
      </c>
      <c r="H148" s="239">
        <f>(BDFE!F235+BDFE!F224)/1000</f>
        <v>0</v>
      </c>
      <c r="I148" s="239">
        <f>(BDFE!F306+BDFE!F295)/1000</f>
        <v>0</v>
      </c>
      <c r="J148" s="239">
        <f>(BDFE!F377+BDFE!F366)/1000</f>
        <v>0</v>
      </c>
      <c r="K148" s="239">
        <f>SUM(E148,F148,G148,H148,I148,J148)</f>
        <v>0</v>
      </c>
    </row>
    <row r="149" spans="4:11" x14ac:dyDescent="0.35">
      <c r="D149" s="236"/>
      <c r="E149" s="240"/>
      <c r="F149" s="240"/>
      <c r="G149" s="240"/>
      <c r="H149" s="240"/>
      <c r="I149" s="240"/>
      <c r="J149" s="240"/>
      <c r="K149" s="240"/>
    </row>
    <row r="150" spans="4:11" x14ac:dyDescent="0.35">
      <c r="D150" s="235" t="s">
        <v>271</v>
      </c>
      <c r="E150" s="240"/>
      <c r="F150" s="240"/>
      <c r="G150" s="240"/>
      <c r="H150" s="240"/>
      <c r="I150" s="240"/>
      <c r="J150" s="240"/>
      <c r="K150" s="240"/>
    </row>
    <row r="151" spans="4:11" x14ac:dyDescent="0.35">
      <c r="D151" s="236" t="s">
        <v>197</v>
      </c>
      <c r="E151" s="241">
        <f>BDFE!$F$25/1000</f>
        <v>0</v>
      </c>
      <c r="F151" s="241">
        <f>BDFE!$F$96/1000</f>
        <v>0</v>
      </c>
      <c r="G151" s="241">
        <f>BDFE!$F$167/1000</f>
        <v>0</v>
      </c>
      <c r="H151" s="241">
        <f>(BDFE!$F$238)/1000</f>
        <v>0</v>
      </c>
      <c r="I151" s="241">
        <f>BDFE!$F$309/1000</f>
        <v>0</v>
      </c>
      <c r="J151" s="241">
        <f>BDFE!$F$380/1000</f>
        <v>0</v>
      </c>
      <c r="K151" s="241">
        <f t="shared" ref="K151:K157" si="34">SUM(E151,F151,G151,H151,I151,J151)</f>
        <v>0</v>
      </c>
    </row>
    <row r="152" spans="4:11" x14ac:dyDescent="0.35">
      <c r="D152" s="236" t="s">
        <v>198</v>
      </c>
      <c r="E152" s="242">
        <f>(BDFE!F26+BDFE!F27)/1000</f>
        <v>0</v>
      </c>
      <c r="F152" s="242">
        <f>(BDFE!F97+BDFE!F98)/1000</f>
        <v>0</v>
      </c>
      <c r="G152" s="242">
        <f>(BDFE!F168+BDFE!F169)/1000</f>
        <v>0</v>
      </c>
      <c r="H152" s="242">
        <f>(BDFE!F239+BDFE!F240)/1000</f>
        <v>0</v>
      </c>
      <c r="I152" s="242">
        <f>(BDFE!F310+BDFE!F311)/1000</f>
        <v>0</v>
      </c>
      <c r="J152" s="242">
        <f>(BDFE!F381+BDFE!F382)/1000</f>
        <v>0</v>
      </c>
      <c r="K152" s="242">
        <f t="shared" si="34"/>
        <v>0</v>
      </c>
    </row>
    <row r="153" spans="4:11" x14ac:dyDescent="0.35">
      <c r="D153" s="236" t="s">
        <v>199</v>
      </c>
      <c r="E153" s="242">
        <f>BDFE!$F$28/1000</f>
        <v>0</v>
      </c>
      <c r="F153" s="242">
        <f>BDFE!$F$99/1000</f>
        <v>0</v>
      </c>
      <c r="G153" s="242">
        <f>BDFE!$F$170/1000</f>
        <v>0</v>
      </c>
      <c r="H153" s="242">
        <f>BDFE!$F$241/1000</f>
        <v>0</v>
      </c>
      <c r="I153" s="242">
        <f>BDFE!$F$312/1000</f>
        <v>0</v>
      </c>
      <c r="J153" s="242">
        <f>BDFE!$F$383/1000</f>
        <v>0</v>
      </c>
      <c r="K153" s="242">
        <f t="shared" si="34"/>
        <v>0</v>
      </c>
    </row>
    <row r="154" spans="4:11" x14ac:dyDescent="0.35">
      <c r="D154" s="236" t="s">
        <v>200</v>
      </c>
      <c r="E154" s="242">
        <f>(BDFE!F29+BDFE!F30)/1000</f>
        <v>0</v>
      </c>
      <c r="F154" s="242">
        <f>(BDFE!F100+BDFE!F101)/1000</f>
        <v>0</v>
      </c>
      <c r="G154" s="242">
        <f>(BDFE!F171+BDFE!F172)/1000</f>
        <v>0</v>
      </c>
      <c r="H154" s="242">
        <f>(BDFE!F242+BDFE!F243)/1000</f>
        <v>0</v>
      </c>
      <c r="I154" s="242">
        <f>(BDFE!F313+BDFE!F314)/1000</f>
        <v>0</v>
      </c>
      <c r="J154" s="242">
        <f>(BDFE!F384+BDFE!F385)/1000</f>
        <v>0</v>
      </c>
      <c r="K154" s="242">
        <f t="shared" si="34"/>
        <v>0</v>
      </c>
    </row>
    <row r="155" spans="4:11" x14ac:dyDescent="0.35">
      <c r="D155" s="236" t="s">
        <v>223</v>
      </c>
      <c r="E155" s="242">
        <f>BDFE!$F$31/1000</f>
        <v>0</v>
      </c>
      <c r="F155" s="242">
        <f>BDFE!$F$102/1000</f>
        <v>0</v>
      </c>
      <c r="G155" s="242">
        <f>BDFE!$F$173/1000</f>
        <v>0</v>
      </c>
      <c r="H155" s="242">
        <f>BDFE!$F$244/1000</f>
        <v>0</v>
      </c>
      <c r="I155" s="242">
        <f>BDFE!$F$315/1000</f>
        <v>0</v>
      </c>
      <c r="J155" s="242">
        <f>BDFE!$F$386/1000</f>
        <v>0</v>
      </c>
      <c r="K155" s="242">
        <f t="shared" si="34"/>
        <v>0</v>
      </c>
    </row>
    <row r="156" spans="4:11" x14ac:dyDescent="0.35">
      <c r="D156" s="236" t="s">
        <v>249</v>
      </c>
      <c r="E156" s="242">
        <f>(BDFE!F32+BDFE!F33)/1000</f>
        <v>0</v>
      </c>
      <c r="F156" s="242">
        <f>(BDFE!F103+BDFE!F104)/1000</f>
        <v>0</v>
      </c>
      <c r="G156" s="242">
        <f>(BDFE!F174+BDFE!F175)/1000</f>
        <v>0</v>
      </c>
      <c r="H156" s="242">
        <f>(BDFE!F245+BDFE!F246)/1000</f>
        <v>0</v>
      </c>
      <c r="I156" s="242">
        <f>(BDFE!F316+BDFE!F317)/1000</f>
        <v>0</v>
      </c>
      <c r="J156" s="242">
        <f>(BDFE!F387+BDFE!F388)/1000</f>
        <v>0</v>
      </c>
      <c r="K156" s="242">
        <f t="shared" si="34"/>
        <v>0</v>
      </c>
    </row>
    <row r="157" spans="4:11" x14ac:dyDescent="0.35">
      <c r="D157" s="236" t="s">
        <v>250</v>
      </c>
      <c r="E157" s="242">
        <f>(BDFE!F34+BDFE!F35+BDFE!F36)/1000</f>
        <v>0</v>
      </c>
      <c r="F157" s="242">
        <f>(BDFE!F105+BDFE!F106+BDFE!F107)/1000</f>
        <v>0</v>
      </c>
      <c r="G157" s="242">
        <f>(BDFE!F176+BDFE!F177+BDFE!F178)/1000</f>
        <v>0</v>
      </c>
      <c r="H157" s="242">
        <f>(BDFE!F247+BDFE!F248+BDFE!F249)/1000</f>
        <v>0</v>
      </c>
      <c r="I157" s="242">
        <f>(BDFE!F318+BDFE!F319+BDFE!F320)/1000</f>
        <v>0</v>
      </c>
      <c r="J157" s="242">
        <f>(BDFE!F389+BDFE!F390+BDFE!F391)/1000</f>
        <v>0</v>
      </c>
      <c r="K157" s="242">
        <f t="shared" si="34"/>
        <v>0</v>
      </c>
    </row>
    <row r="158" spans="4:11" x14ac:dyDescent="0.35">
      <c r="D158" s="235" t="s">
        <v>271</v>
      </c>
      <c r="E158" s="239">
        <f>SUM(E151:E157)</f>
        <v>0</v>
      </c>
      <c r="F158" s="239">
        <f t="shared" ref="F158" si="35">SUM(F151:F157)</f>
        <v>0</v>
      </c>
      <c r="G158" s="239">
        <f t="shared" ref="G158" si="36">SUM(G151:G157)</f>
        <v>0</v>
      </c>
      <c r="H158" s="239">
        <f t="shared" ref="H158" si="37">SUM(H151:H157)</f>
        <v>0</v>
      </c>
      <c r="I158" s="239">
        <f>SUM(I151:I157)</f>
        <v>0</v>
      </c>
      <c r="J158" s="239">
        <f t="shared" ref="J158:K158" si="38">SUM(J151:J157)</f>
        <v>0</v>
      </c>
      <c r="K158" s="239">
        <f t="shared" si="38"/>
        <v>0</v>
      </c>
    </row>
    <row r="159" spans="4:11" x14ac:dyDescent="0.35">
      <c r="D159" s="236"/>
      <c r="E159" s="243"/>
      <c r="F159" s="243"/>
      <c r="G159" s="243"/>
      <c r="H159" s="243"/>
      <c r="I159" s="243"/>
      <c r="J159" s="243"/>
      <c r="K159" s="243"/>
    </row>
    <row r="160" spans="4:11" x14ac:dyDescent="0.35">
      <c r="D160" s="235" t="s">
        <v>251</v>
      </c>
      <c r="E160" s="240"/>
      <c r="F160" s="240"/>
      <c r="G160" s="240"/>
      <c r="H160" s="240"/>
      <c r="I160" s="240"/>
      <c r="J160" s="240"/>
      <c r="K160" s="240"/>
    </row>
    <row r="161" spans="4:11" x14ac:dyDescent="0.35">
      <c r="D161" s="236" t="s">
        <v>252</v>
      </c>
      <c r="E161" s="241">
        <f>BDFE!$F$39/1000</f>
        <v>0</v>
      </c>
      <c r="F161" s="241">
        <f>BDFE!$F$110/1000</f>
        <v>0</v>
      </c>
      <c r="G161" s="241">
        <f>BDFE!$F$181/1000</f>
        <v>0</v>
      </c>
      <c r="H161" s="241">
        <f>BDFE!$F$252/1000</f>
        <v>0</v>
      </c>
      <c r="I161" s="241">
        <f>BDFE!$F$323/1000</f>
        <v>0</v>
      </c>
      <c r="J161" s="241">
        <f>BDFE!$F$394/1000</f>
        <v>0</v>
      </c>
      <c r="K161" s="241">
        <f t="shared" ref="K161:K166" si="39">SUM(E161,F161,G161,H161,I161,J161)</f>
        <v>0</v>
      </c>
    </row>
    <row r="162" spans="4:11" x14ac:dyDescent="0.35">
      <c r="D162" s="236" t="s">
        <v>253</v>
      </c>
      <c r="E162" s="242">
        <f>BDFE!$F$40/1000</f>
        <v>0</v>
      </c>
      <c r="F162" s="242">
        <f>BDFE!$F$111/1000</f>
        <v>0</v>
      </c>
      <c r="G162" s="242">
        <f>BDFE!$F$182/1000</f>
        <v>0</v>
      </c>
      <c r="H162" s="242">
        <f>BDFE!$F$253/1000</f>
        <v>0</v>
      </c>
      <c r="I162" s="242">
        <f>BDFE!$F$324/1000</f>
        <v>0</v>
      </c>
      <c r="J162" s="242">
        <f>BDFE!$F$395/1000</f>
        <v>0</v>
      </c>
      <c r="K162" s="242">
        <f t="shared" si="39"/>
        <v>0</v>
      </c>
    </row>
    <row r="163" spans="4:11" x14ac:dyDescent="0.35">
      <c r="D163" s="236" t="s">
        <v>238</v>
      </c>
      <c r="E163" s="242">
        <f>BDFE!$F$41/1000</f>
        <v>0</v>
      </c>
      <c r="F163" s="242">
        <f>BDFE!$F$112/1000</f>
        <v>0</v>
      </c>
      <c r="G163" s="242">
        <f>BDFE!$F$183/1000</f>
        <v>0</v>
      </c>
      <c r="H163" s="242">
        <f>BDFE!$F$254/1000</f>
        <v>0</v>
      </c>
      <c r="I163" s="242">
        <f>BDFE!$F$325/1000</f>
        <v>0</v>
      </c>
      <c r="J163" s="242">
        <f>BDFE!$F$396/1000</f>
        <v>0</v>
      </c>
      <c r="K163" s="242">
        <f t="shared" si="39"/>
        <v>0</v>
      </c>
    </row>
    <row r="164" spans="4:11" x14ac:dyDescent="0.35">
      <c r="D164" s="236" t="s">
        <v>254</v>
      </c>
      <c r="E164" s="242">
        <f>BDFE!$F$42/1000</f>
        <v>0</v>
      </c>
      <c r="F164" s="242">
        <f>BDFE!$F$113/1000</f>
        <v>0</v>
      </c>
      <c r="G164" s="242">
        <f>BDFE!$F$184/1000</f>
        <v>0</v>
      </c>
      <c r="H164" s="242">
        <f>BDFE!$F$255/1000</f>
        <v>0</v>
      </c>
      <c r="I164" s="242">
        <f>BDFE!$F$326/1000</f>
        <v>0</v>
      </c>
      <c r="J164" s="242">
        <f>BDFE!$F$397/1000</f>
        <v>0</v>
      </c>
      <c r="K164" s="242">
        <f t="shared" si="39"/>
        <v>0</v>
      </c>
    </row>
    <row r="165" spans="4:11" x14ac:dyDescent="0.35">
      <c r="D165" s="236" t="s">
        <v>272</v>
      </c>
      <c r="E165" s="242">
        <f>(BDFE!F43+BDFE!F44)/1000</f>
        <v>0</v>
      </c>
      <c r="F165" s="242">
        <f>(BDFE!F114+BDFE!F115)/1000</f>
        <v>0</v>
      </c>
      <c r="G165" s="242">
        <f>(BDFE!F185+BDFE!F186)/1000</f>
        <v>0</v>
      </c>
      <c r="H165" s="242">
        <f>(BDFE!F256+BDFE!F257)/1000</f>
        <v>0</v>
      </c>
      <c r="I165" s="242">
        <f>(BDFE!F327+BDFE!F328)/1000</f>
        <v>0</v>
      </c>
      <c r="J165" s="242">
        <f>(BDFE!F398+BDFE!F399)/1000</f>
        <v>0</v>
      </c>
      <c r="K165" s="242">
        <f t="shared" si="39"/>
        <v>0</v>
      </c>
    </row>
    <row r="166" spans="4:11" x14ac:dyDescent="0.35">
      <c r="D166" s="236" t="s">
        <v>255</v>
      </c>
      <c r="E166" s="242">
        <f>BDFE!$F$45/1000</f>
        <v>0</v>
      </c>
      <c r="F166" s="242">
        <f>BDFE!$F$116/1000</f>
        <v>0</v>
      </c>
      <c r="G166" s="242">
        <f>BDFE!$F$187/1000</f>
        <v>0</v>
      </c>
      <c r="H166" s="242">
        <f>BDFE!$F$258/1000</f>
        <v>0</v>
      </c>
      <c r="I166" s="245">
        <f>BDFE!$F$328/1000</f>
        <v>0</v>
      </c>
      <c r="J166" s="245">
        <f>BDFE!$F$399/1000</f>
        <v>0</v>
      </c>
      <c r="K166" s="242">
        <f t="shared" si="39"/>
        <v>0</v>
      </c>
    </row>
    <row r="167" spans="4:11" x14ac:dyDescent="0.35">
      <c r="D167" s="235" t="s">
        <v>256</v>
      </c>
      <c r="E167" s="239">
        <f>SUM(E161:E166)</f>
        <v>0</v>
      </c>
      <c r="F167" s="239">
        <f t="shared" ref="F167" si="40">SUM(F161:F166)</f>
        <v>0</v>
      </c>
      <c r="G167" s="239">
        <f t="shared" ref="G167" si="41">SUM(G161:G166)</f>
        <v>0</v>
      </c>
      <c r="H167" s="239">
        <f t="shared" ref="H167" si="42">SUM(H161:H166)</f>
        <v>0</v>
      </c>
      <c r="I167" s="239">
        <f t="shared" ref="I167" si="43">SUM(I161:I166)</f>
        <v>0</v>
      </c>
      <c r="J167" s="239">
        <f t="shared" ref="J167" si="44">SUM(J161:J166)</f>
        <v>0</v>
      </c>
      <c r="K167" s="239">
        <f>SUM(K161:K166)</f>
        <v>0</v>
      </c>
    </row>
    <row r="168" spans="4:11" x14ac:dyDescent="0.35">
      <c r="D168" s="235"/>
      <c r="E168" s="244"/>
      <c r="F168" s="244"/>
      <c r="G168" s="244"/>
      <c r="H168" s="244"/>
      <c r="I168" s="244"/>
      <c r="J168" s="244"/>
      <c r="K168" s="244"/>
    </row>
    <row r="169" spans="4:11" x14ac:dyDescent="0.35">
      <c r="D169" s="235" t="s">
        <v>257</v>
      </c>
      <c r="E169" s="252"/>
      <c r="F169" s="252"/>
      <c r="G169" s="252"/>
      <c r="H169" s="252"/>
      <c r="I169" s="252"/>
      <c r="J169" s="252"/>
      <c r="K169" s="252"/>
    </row>
    <row r="170" spans="4:11" x14ac:dyDescent="0.35">
      <c r="D170" s="236" t="s">
        <v>205</v>
      </c>
      <c r="E170" s="241">
        <f>BDFE!$F$48/1000</f>
        <v>0</v>
      </c>
      <c r="F170" s="241">
        <f>BDFE!$F$119/1000</f>
        <v>0</v>
      </c>
      <c r="G170" s="241">
        <f>BDFE!$F$190/1000</f>
        <v>0</v>
      </c>
      <c r="H170" s="241">
        <f>BDFE!$F$261/1000</f>
        <v>0</v>
      </c>
      <c r="I170" s="241">
        <f>BDFE!$F$332/1000</f>
        <v>0</v>
      </c>
      <c r="J170" s="241">
        <f>BDFE!$F$403/1000</f>
        <v>0</v>
      </c>
      <c r="K170" s="242">
        <f t="shared" ref="K170:K182" si="45">SUM(E170,F170,G170,H170,I170,J170)</f>
        <v>0</v>
      </c>
    </row>
    <row r="171" spans="4:11" x14ac:dyDescent="0.35">
      <c r="D171" s="236" t="s">
        <v>209</v>
      </c>
      <c r="E171" s="242">
        <f>BDFE!$F$50/1000</f>
        <v>0</v>
      </c>
      <c r="F171" s="242">
        <f>BDFE!$F$121/1000</f>
        <v>0</v>
      </c>
      <c r="G171" s="242">
        <f>BDFE!$F$192/1000</f>
        <v>0</v>
      </c>
      <c r="H171" s="242">
        <f>BDFE!$F$263/1000</f>
        <v>0</v>
      </c>
      <c r="I171" s="242">
        <f>BDFE!$F$334/1000</f>
        <v>0</v>
      </c>
      <c r="J171" s="242">
        <f>BDFE!$F$405/1000</f>
        <v>0</v>
      </c>
      <c r="K171" s="242">
        <f t="shared" si="45"/>
        <v>0</v>
      </c>
    </row>
    <row r="172" spans="4:11" x14ac:dyDescent="0.35">
      <c r="D172" s="236" t="s">
        <v>208</v>
      </c>
      <c r="E172" s="242">
        <f>BDFE!$F$52/1000</f>
        <v>0</v>
      </c>
      <c r="F172" s="242">
        <f>BDFE!$F$123/1000</f>
        <v>0</v>
      </c>
      <c r="G172" s="242">
        <f>BDFE!$F$194/1000</f>
        <v>0</v>
      </c>
      <c r="H172" s="242">
        <f>BDFE!$F$265/1000</f>
        <v>0</v>
      </c>
      <c r="I172" s="242">
        <f>BDFE!$F$336/1000</f>
        <v>0</v>
      </c>
      <c r="J172" s="242">
        <f>BDFE!$F$407/1000</f>
        <v>0</v>
      </c>
      <c r="K172" s="242">
        <f t="shared" si="45"/>
        <v>0</v>
      </c>
    </row>
    <row r="173" spans="4:11" x14ac:dyDescent="0.35">
      <c r="D173" s="236" t="s">
        <v>207</v>
      </c>
      <c r="E173" s="242">
        <f>BDFE!$F$54/1000</f>
        <v>0</v>
      </c>
      <c r="F173" s="242">
        <f>BDFE!$F$125/1000</f>
        <v>0</v>
      </c>
      <c r="G173" s="242">
        <f>BDFE!$F$196/1000</f>
        <v>0</v>
      </c>
      <c r="H173" s="242">
        <f>BDFE!$F$267/1000</f>
        <v>0</v>
      </c>
      <c r="I173" s="242">
        <f>BDFE!$F$338/1000</f>
        <v>0</v>
      </c>
      <c r="J173" s="242">
        <f>BDFE!$F$409/1000</f>
        <v>0</v>
      </c>
      <c r="K173" s="242">
        <f t="shared" si="45"/>
        <v>0</v>
      </c>
    </row>
    <row r="174" spans="4:11" x14ac:dyDescent="0.35">
      <c r="D174" s="236" t="s">
        <v>258</v>
      </c>
      <c r="E174" s="242">
        <f>BDFE!$F$56/1000</f>
        <v>0</v>
      </c>
      <c r="F174" s="242">
        <f>BDFE!$F$127/1000</f>
        <v>0</v>
      </c>
      <c r="G174" s="242">
        <f>BDFE!$F$198/1000</f>
        <v>0</v>
      </c>
      <c r="H174" s="242">
        <f>BDFE!$F$269/1000</f>
        <v>0</v>
      </c>
      <c r="I174" s="242">
        <f>BDFE!$F$340/1000</f>
        <v>0</v>
      </c>
      <c r="J174" s="242">
        <f>BDFE!$F$411/1000</f>
        <v>0</v>
      </c>
      <c r="K174" s="242">
        <f t="shared" si="45"/>
        <v>0</v>
      </c>
    </row>
    <row r="175" spans="4:11" x14ac:dyDescent="0.35">
      <c r="D175" s="236" t="s">
        <v>273</v>
      </c>
      <c r="E175" s="242">
        <f>BDFE!$F$58/1000</f>
        <v>0</v>
      </c>
      <c r="F175" s="242">
        <f>BDFE!$F$129/1000</f>
        <v>0</v>
      </c>
      <c r="G175" s="242">
        <f>BDFE!$F$200/1000</f>
        <v>0</v>
      </c>
      <c r="H175" s="242">
        <f>BDFE!$F$271/1000</f>
        <v>0</v>
      </c>
      <c r="I175" s="242">
        <f>BDFE!$F$342/1000</f>
        <v>0</v>
      </c>
      <c r="J175" s="242">
        <f>BDFE!$F$413/1000</f>
        <v>0</v>
      </c>
      <c r="K175" s="242">
        <f t="shared" si="45"/>
        <v>0</v>
      </c>
    </row>
    <row r="176" spans="4:11" x14ac:dyDescent="0.35">
      <c r="D176" s="236" t="s">
        <v>274</v>
      </c>
      <c r="E176" s="242">
        <f>BDFE!$F$60/1000</f>
        <v>0</v>
      </c>
      <c r="F176" s="242">
        <f>BDFE!$F$131/1000</f>
        <v>0</v>
      </c>
      <c r="G176" s="242">
        <f>BDFE!$F$202/1000</f>
        <v>0</v>
      </c>
      <c r="H176" s="242">
        <f>BDFE!$F$273/1000</f>
        <v>0</v>
      </c>
      <c r="I176" s="242">
        <f>BDFE!$F$344/1000</f>
        <v>0</v>
      </c>
      <c r="J176" s="242">
        <f>BDFE!$F$415/1000</f>
        <v>0</v>
      </c>
      <c r="K176" s="242">
        <f t="shared" si="45"/>
        <v>0</v>
      </c>
    </row>
    <row r="177" spans="4:11" x14ac:dyDescent="0.35">
      <c r="D177" s="236" t="s">
        <v>275</v>
      </c>
      <c r="E177" s="242">
        <f>BDFE!$F$62/1000</f>
        <v>0</v>
      </c>
      <c r="F177" s="242">
        <f>BDFE!$F$133/1000</f>
        <v>0</v>
      </c>
      <c r="G177" s="242">
        <f>BDFE!$F$204/1000</f>
        <v>0</v>
      </c>
      <c r="H177" s="242">
        <f>BDFE!$F$275/1000</f>
        <v>0</v>
      </c>
      <c r="I177" s="242">
        <f>BDFE!$F$346/1000</f>
        <v>0</v>
      </c>
      <c r="J177" s="242">
        <f>BDFE!$F$417/1000</f>
        <v>0</v>
      </c>
      <c r="K177" s="242">
        <f t="shared" si="45"/>
        <v>0</v>
      </c>
    </row>
    <row r="178" spans="4:11" x14ac:dyDescent="0.35">
      <c r="D178" s="236" t="s">
        <v>259</v>
      </c>
      <c r="E178" s="242">
        <f>BDFE!$F$64/1000</f>
        <v>0</v>
      </c>
      <c r="F178" s="242">
        <f>BDFE!$F$135/1000</f>
        <v>0</v>
      </c>
      <c r="G178" s="242">
        <f>BDFE!$F$206/1000</f>
        <v>0</v>
      </c>
      <c r="H178" s="242">
        <f>BDFE!$F$277/1000</f>
        <v>0</v>
      </c>
      <c r="I178" s="242">
        <f>BDFE!$F$348/1000</f>
        <v>0</v>
      </c>
      <c r="J178" s="242">
        <f>BDFE!$F$419/1000</f>
        <v>0</v>
      </c>
      <c r="K178" s="242">
        <f t="shared" si="45"/>
        <v>0</v>
      </c>
    </row>
    <row r="179" spans="4:11" x14ac:dyDescent="0.35">
      <c r="D179" s="236" t="s">
        <v>260</v>
      </c>
      <c r="E179" s="242">
        <f>BDFE!$F$66/1000</f>
        <v>0</v>
      </c>
      <c r="F179" s="242">
        <f>BDFE!$F$137/1000</f>
        <v>0</v>
      </c>
      <c r="G179" s="242">
        <f>BDFE!$F$208/1000</f>
        <v>0</v>
      </c>
      <c r="H179" s="242">
        <f>BDFE!$F$279/1000</f>
        <v>0</v>
      </c>
      <c r="I179" s="242">
        <f>BDFE!$F$350/1000</f>
        <v>0</v>
      </c>
      <c r="J179" s="242">
        <f>BDFE!$F$421/1000</f>
        <v>0</v>
      </c>
      <c r="K179" s="242">
        <f t="shared" si="45"/>
        <v>0</v>
      </c>
    </row>
    <row r="180" spans="4:11" hidden="1" x14ac:dyDescent="0.35">
      <c r="D180" s="236" t="s">
        <v>261</v>
      </c>
      <c r="E180" s="242">
        <f>BDFE!$F$68/1000</f>
        <v>0</v>
      </c>
      <c r="F180" s="242">
        <f>BDFE!$F$139/1000</f>
        <v>0</v>
      </c>
      <c r="G180" s="242">
        <f>BDFE!$F$210/1000</f>
        <v>0</v>
      </c>
      <c r="H180" s="242">
        <f>BDFE!$F$281/1000</f>
        <v>0</v>
      </c>
      <c r="I180" s="242">
        <f>BDFE!$F$352/1000</f>
        <v>0</v>
      </c>
      <c r="J180" s="242">
        <f>BDFE!$F$423/1000</f>
        <v>0</v>
      </c>
      <c r="K180" s="242">
        <f t="shared" si="45"/>
        <v>0</v>
      </c>
    </row>
    <row r="181" spans="4:11" hidden="1" x14ac:dyDescent="0.35">
      <c r="D181" s="236" t="s">
        <v>262</v>
      </c>
      <c r="E181" s="242">
        <f>BDFE!$F$69/1000</f>
        <v>0</v>
      </c>
      <c r="F181" s="242">
        <f>BDFE!$F$140/1000</f>
        <v>0</v>
      </c>
      <c r="G181" s="242">
        <f>BDFE!$F$211/1000</f>
        <v>0</v>
      </c>
      <c r="H181" s="242">
        <f>BDFE!$F$282/1000</f>
        <v>0</v>
      </c>
      <c r="I181" s="242">
        <f>BDFE!$F$353/1000</f>
        <v>0</v>
      </c>
      <c r="J181" s="242">
        <f>BDFE!$F$424/1000</f>
        <v>0</v>
      </c>
      <c r="K181" s="242">
        <f t="shared" si="45"/>
        <v>0</v>
      </c>
    </row>
    <row r="182" spans="4:11" x14ac:dyDescent="0.35">
      <c r="D182" s="236" t="s">
        <v>10</v>
      </c>
      <c r="E182" s="245">
        <f>(BDFE!F49+BDFE!F51+BDFE!F53+BDFE!F55+BDFE!F57+BDFE!F59+BDFE!F61+BDFE!F63+BDFE!F65+BDFE!F67-BDFE!F11)/1000</f>
        <v>0</v>
      </c>
      <c r="F182" s="245">
        <f>(BDFE!F120+BDFE!F122+BDFE!F124+BDFE!F126+BDFE!F128+BDFE!F130+BDFE!F132+BDFE!F134+BDFE!F136+BDFE!F138-BDFE!F82)/1000</f>
        <v>0</v>
      </c>
      <c r="G182" s="245">
        <f>(BDFE!F191+BDFE!F193+BDFE!F195+BDFE!F197+BDFE!F199+BDFE!F201+BDFE!F203+BDFE!F205+BDFE!F207+BDFE!F209-BDFE!F153)/1000</f>
        <v>0</v>
      </c>
      <c r="H182" s="245">
        <f>(BDFE!F262+BDFE!F264+BDFE!F266+BDFE!F268+BDFE!F270+BDFE!F272+BDFE!F274+BDFE!F276+BDFE!F278+BDFE!F280-BDFE!F224)/1000</f>
        <v>0</v>
      </c>
      <c r="I182" s="245">
        <f>(BDFE!F333+BDFE!F335+BDFE!F337+BDFE!F339+BDFE!F341+BDFE!F343+BDFE!F345+BDFE!F347+BDFE!F349+BDFE!F351-BDFE!F295)/1000</f>
        <v>0</v>
      </c>
      <c r="J182" s="245">
        <f>(BDFE!F404+BDFE!F406+BDFE!F408+BDFE!F410+BDFE!F412+BDFE!F414+BDFE!F416+BDFE!F418+BDFE!F420+BDFE!F422-BDFE!F366)/1000</f>
        <v>0</v>
      </c>
      <c r="K182" s="245">
        <f t="shared" si="45"/>
        <v>0</v>
      </c>
    </row>
    <row r="183" spans="4:11" x14ac:dyDescent="0.35">
      <c r="D183" s="235" t="s">
        <v>263</v>
      </c>
      <c r="E183" s="239">
        <f>SUM(E170:E182)</f>
        <v>0</v>
      </c>
      <c r="F183" s="239">
        <f>SUM(F170:F182)</f>
        <v>0</v>
      </c>
      <c r="G183" s="239">
        <f>SUM(G170:G182)</f>
        <v>0</v>
      </c>
      <c r="H183" s="239">
        <f>SUM(H170:H182)</f>
        <v>0</v>
      </c>
      <c r="I183" s="239">
        <f>SUM(I170:I182)</f>
        <v>0</v>
      </c>
      <c r="J183" s="239">
        <f t="shared" ref="J183:K183" si="46">SUM(J170:J182)</f>
        <v>0</v>
      </c>
      <c r="K183" s="239">
        <f t="shared" si="46"/>
        <v>0</v>
      </c>
    </row>
    <row r="184" spans="4:11" x14ac:dyDescent="0.35">
      <c r="D184" s="236"/>
      <c r="E184" s="246"/>
      <c r="F184" s="246"/>
      <c r="G184" s="246"/>
      <c r="H184" s="246"/>
      <c r="I184" s="246"/>
      <c r="J184" s="246"/>
      <c r="K184" s="246"/>
    </row>
    <row r="185" spans="4:11" x14ac:dyDescent="0.35">
      <c r="D185" s="235" t="s">
        <v>264</v>
      </c>
      <c r="E185" s="247">
        <f>E148+E158+E167+E183</f>
        <v>0</v>
      </c>
      <c r="F185" s="247">
        <f>F148+F158+F167+F183</f>
        <v>0</v>
      </c>
      <c r="G185" s="247">
        <f t="shared" ref="G185" si="47">G148+G158+G167+G183</f>
        <v>0</v>
      </c>
      <c r="H185" s="247">
        <f>H148+H158+H167+H183</f>
        <v>0</v>
      </c>
      <c r="I185" s="239">
        <f>I148+I158+I167+I183</f>
        <v>0</v>
      </c>
      <c r="J185" s="239">
        <f t="shared" ref="J185:K185" si="48">J148+J158+J167+J183</f>
        <v>0</v>
      </c>
      <c r="K185" s="239">
        <f t="shared" si="48"/>
        <v>0</v>
      </c>
    </row>
    <row r="186" spans="4:11" x14ac:dyDescent="0.35">
      <c r="D186" s="237" t="s">
        <v>276</v>
      </c>
      <c r="E186" s="247">
        <f>(BDBG!I3+BDBG!I4)/1000</f>
        <v>0</v>
      </c>
      <c r="F186" s="247">
        <f>(BDBG!I57+BDBG!I58)/1000</f>
        <v>0</v>
      </c>
      <c r="G186" s="247">
        <f>(BDBG!I111+BDBG!I112)/1000</f>
        <v>0</v>
      </c>
      <c r="H186" s="247">
        <f>(BDBG!I165+BDBG!I166)/1000</f>
        <v>0</v>
      </c>
      <c r="I186" s="239">
        <f>(BDBG!I219+BDBG!I220)/1000</f>
        <v>0</v>
      </c>
      <c r="J186" s="239">
        <f>(BDBG!I273+BDBG!I274)/1000</f>
        <v>0</v>
      </c>
      <c r="K186" s="239">
        <f>SUM(E186,F186,G186,H186,I186,J186)</f>
        <v>0</v>
      </c>
    </row>
    <row r="187" spans="4:11" x14ac:dyDescent="0.35">
      <c r="D187" s="237" t="s">
        <v>277</v>
      </c>
      <c r="E187" s="247">
        <f t="shared" ref="E187" si="49">SUM(E185:E186)</f>
        <v>0</v>
      </c>
      <c r="F187" s="247">
        <f>SUM(F185:F186)</f>
        <v>0</v>
      </c>
      <c r="G187" s="247">
        <f t="shared" ref="G187:I187" si="50">SUM(G185:G186)</f>
        <v>0</v>
      </c>
      <c r="H187" s="247">
        <f t="shared" si="50"/>
        <v>0</v>
      </c>
      <c r="I187" s="247">
        <f t="shared" si="50"/>
        <v>0</v>
      </c>
      <c r="J187" s="247">
        <f t="shared" ref="J187:K187" si="51">SUM(J185:J186)</f>
        <v>0</v>
      </c>
      <c r="K187" s="247">
        <f t="shared" si="51"/>
        <v>0</v>
      </c>
    </row>
    <row r="193" spans="3:14" x14ac:dyDescent="0.35">
      <c r="C193" t="s">
        <v>284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5" t="s">
        <v>268</v>
      </c>
      <c r="E194" s="235" t="s">
        <v>106</v>
      </c>
      <c r="F194" s="236"/>
      <c r="G194" s="236"/>
      <c r="H194" s="236"/>
      <c r="N194" s="235"/>
    </row>
    <row r="195" spans="3:14" x14ac:dyDescent="0.35">
      <c r="D195" s="236"/>
      <c r="E195" s="238" t="s">
        <v>181</v>
      </c>
      <c r="F195" s="238" t="s">
        <v>182</v>
      </c>
      <c r="G195" s="238" t="s">
        <v>183</v>
      </c>
      <c r="H195" s="238" t="s">
        <v>184</v>
      </c>
      <c r="I195" s="238" t="s">
        <v>141</v>
      </c>
      <c r="N195" s="238" t="s">
        <v>180</v>
      </c>
    </row>
    <row r="196" spans="3:14" x14ac:dyDescent="0.35">
      <c r="D196" s="235" t="s">
        <v>248</v>
      </c>
      <c r="E196" s="239">
        <f>(BDFE!C1296+BDFE!C1285)/1000</f>
        <v>0</v>
      </c>
      <c r="F196" s="239">
        <f>(BDFE!C1369+BDFE!C1358)/1000</f>
        <v>0</v>
      </c>
      <c r="G196" s="239">
        <f>(BDFE!C1588+BDFE!C1577)/1000</f>
        <v>0</v>
      </c>
      <c r="H196" s="239">
        <f>(BDFE!C1734+BDFE!C1723)/1000</f>
        <v>0</v>
      </c>
      <c r="I196" s="239">
        <f>SUM(N196,E196,F196,G196,H196)</f>
        <v>0</v>
      </c>
      <c r="N196" s="293"/>
    </row>
    <row r="197" spans="3:14" x14ac:dyDescent="0.35">
      <c r="D197" s="236"/>
      <c r="E197" s="240"/>
      <c r="F197" s="240"/>
      <c r="G197" s="240"/>
      <c r="H197" s="240"/>
      <c r="I197" s="240"/>
      <c r="N197" s="240"/>
    </row>
    <row r="198" spans="3:14" x14ac:dyDescent="0.35">
      <c r="D198" s="235" t="s">
        <v>271</v>
      </c>
      <c r="E198" s="240"/>
      <c r="F198" s="240"/>
      <c r="G198" s="240"/>
      <c r="H198" s="240"/>
      <c r="I198" s="240"/>
      <c r="N198" s="240"/>
    </row>
    <row r="199" spans="3:14" x14ac:dyDescent="0.35">
      <c r="D199" s="236" t="s">
        <v>197</v>
      </c>
      <c r="E199" s="241">
        <f>BDFE!$C$1299/1000</f>
        <v>0</v>
      </c>
      <c r="F199" s="241">
        <f>BDFE!$C$1372/1000</f>
        <v>0</v>
      </c>
      <c r="G199" s="241">
        <f>BDFE!$C$1591/1000</f>
        <v>0</v>
      </c>
      <c r="H199" s="241">
        <f>BDFE!$C$1737/1000</f>
        <v>0</v>
      </c>
      <c r="I199" s="241">
        <f t="shared" ref="I199:I204" si="52">SUM(N199,E199,F199,G199,H199)</f>
        <v>0</v>
      </c>
      <c r="N199" s="294"/>
    </row>
    <row r="200" spans="3:14" x14ac:dyDescent="0.35">
      <c r="D200" s="236" t="s">
        <v>198</v>
      </c>
      <c r="E200" s="242">
        <f>(BDFE!C1300+BDFE!C1301)/1000</f>
        <v>0</v>
      </c>
      <c r="F200" s="242">
        <f>(BDFE!C1373+BDFE!C1374)/1000</f>
        <v>0</v>
      </c>
      <c r="G200" s="242">
        <f>(BDFE!C1592+BDFE!C1593)/1000</f>
        <v>0</v>
      </c>
      <c r="H200" s="242">
        <f>(BDFE!C1738+BDFE!C1739)/1000</f>
        <v>0</v>
      </c>
      <c r="I200" s="242">
        <f t="shared" si="52"/>
        <v>0</v>
      </c>
      <c r="N200" s="264"/>
    </row>
    <row r="201" spans="3:14" x14ac:dyDescent="0.35">
      <c r="D201" s="236" t="s">
        <v>199</v>
      </c>
      <c r="E201" s="242">
        <f>BDFE!$C$1302/1000</f>
        <v>0</v>
      </c>
      <c r="F201" s="242">
        <f>BDFE!$C$1375/1000</f>
        <v>0</v>
      </c>
      <c r="G201" s="242">
        <f>BDFE!$C$1594/1000</f>
        <v>0</v>
      </c>
      <c r="H201" s="242">
        <f>BDFE!$C$1740/1000</f>
        <v>0</v>
      </c>
      <c r="I201" s="242">
        <f t="shared" si="52"/>
        <v>0</v>
      </c>
      <c r="N201" s="264"/>
    </row>
    <row r="202" spans="3:14" x14ac:dyDescent="0.35">
      <c r="D202" s="236" t="s">
        <v>200</v>
      </c>
      <c r="E202" s="242">
        <f>BDFE!$C$1304/1000</f>
        <v>0</v>
      </c>
      <c r="F202" s="242">
        <f>BDFE!$C$1377/1000</f>
        <v>0</v>
      </c>
      <c r="G202" s="242">
        <f>BDFE!$C$1596/1000</f>
        <v>0</v>
      </c>
      <c r="H202" s="242">
        <f>BDFE!$C$1742/1000</f>
        <v>0</v>
      </c>
      <c r="I202" s="242">
        <f t="shared" si="52"/>
        <v>0</v>
      </c>
      <c r="N202" s="264"/>
    </row>
    <row r="203" spans="3:14" x14ac:dyDescent="0.35">
      <c r="D203" s="236" t="s">
        <v>223</v>
      </c>
      <c r="E203" s="242">
        <f>BDFE!$C$1305/1000</f>
        <v>0</v>
      </c>
      <c r="F203" s="242">
        <f>BDFE!$C$1378/1000</f>
        <v>0</v>
      </c>
      <c r="G203" s="242">
        <f>BDFE!$C$1597/1000</f>
        <v>0</v>
      </c>
      <c r="H203" s="242">
        <f>BDFE!$C$1743/1000</f>
        <v>0</v>
      </c>
      <c r="I203" s="242">
        <f t="shared" si="52"/>
        <v>0</v>
      </c>
      <c r="N203" s="264"/>
    </row>
    <row r="204" spans="3:14" x14ac:dyDescent="0.35">
      <c r="D204" s="236" t="s">
        <v>249</v>
      </c>
      <c r="E204" s="242">
        <f>(BDFE!C1306+BDFE!C1307+BDFE!C1309)/1000</f>
        <v>0</v>
      </c>
      <c r="F204" s="242">
        <f>(BDFE!C1379+BDFE!C1380+BDFE!C1382)/1000</f>
        <v>0</v>
      </c>
      <c r="G204" s="242">
        <f>(BDFE!C1598+BDFE!C1599+BDFE!C1601)/1000</f>
        <v>0</v>
      </c>
      <c r="H204" s="242">
        <f>(BDFE!C1744+BDFE!C1745+BDFE!C1747)/1000</f>
        <v>0</v>
      </c>
      <c r="I204" s="242">
        <f t="shared" si="52"/>
        <v>0</v>
      </c>
      <c r="N204" s="264"/>
    </row>
    <row r="205" spans="3:14" x14ac:dyDescent="0.35">
      <c r="D205" s="236" t="s">
        <v>250</v>
      </c>
      <c r="E205" s="242">
        <f>(BDFE!C1308+BDFE!C1310)/1000</f>
        <v>0</v>
      </c>
      <c r="F205" s="242">
        <f>(BDFE!C1381+BDFE!C1383)/1000</f>
        <v>0</v>
      </c>
      <c r="G205" s="242">
        <f>(BDFE!C1600+BDFE!C1602)/1000</f>
        <v>0</v>
      </c>
      <c r="H205" s="242">
        <f>(BDFE!C1746+BDFE!C1748)/1000</f>
        <v>0</v>
      </c>
      <c r="I205" s="242">
        <f>SUM(N205,E205,F205,G205,H205)</f>
        <v>0</v>
      </c>
      <c r="N205" s="264"/>
    </row>
    <row r="206" spans="3:14" x14ac:dyDescent="0.35">
      <c r="D206" s="235" t="s">
        <v>271</v>
      </c>
      <c r="E206" s="239">
        <f>SUM(E199:E205)</f>
        <v>0</v>
      </c>
      <c r="F206" s="239">
        <f>SUM(F199:F205)</f>
        <v>0</v>
      </c>
      <c r="G206" s="239">
        <f>SUM(G199:G205)</f>
        <v>0</v>
      </c>
      <c r="H206" s="239">
        <f>SUM(H199:H205)</f>
        <v>0</v>
      </c>
      <c r="I206" s="239">
        <f>SUM(N206,E206,F206,G206,H206)</f>
        <v>0</v>
      </c>
      <c r="N206" s="292"/>
    </row>
    <row r="207" spans="3:14" x14ac:dyDescent="0.35">
      <c r="D207" s="236"/>
      <c r="E207" s="243"/>
      <c r="F207" s="243"/>
      <c r="G207" s="243"/>
      <c r="H207" s="243"/>
      <c r="I207" s="243"/>
      <c r="N207" s="243"/>
    </row>
    <row r="208" spans="3:14" x14ac:dyDescent="0.35">
      <c r="D208" s="235" t="s">
        <v>251</v>
      </c>
      <c r="E208" s="240"/>
      <c r="F208" s="240"/>
      <c r="G208" s="240"/>
      <c r="H208" s="240"/>
      <c r="I208" s="240"/>
      <c r="N208" s="240"/>
    </row>
    <row r="209" spans="4:14" x14ac:dyDescent="0.35">
      <c r="D209" s="236" t="s">
        <v>252</v>
      </c>
      <c r="E209" s="241">
        <f>BDFE!$C$1313/1000</f>
        <v>0</v>
      </c>
      <c r="F209" s="241">
        <f>BDFE!$C$1386/1000</f>
        <v>0</v>
      </c>
      <c r="G209" s="241">
        <f>BDFE!$C$1605/1000</f>
        <v>0</v>
      </c>
      <c r="H209" s="241">
        <f>BDFE!$C$1751/1000</f>
        <v>0</v>
      </c>
      <c r="I209" s="241">
        <f t="shared" ref="I209:I215" si="53">SUM(N209,E209,F209,G209,H209)</f>
        <v>0</v>
      </c>
      <c r="N209" s="294"/>
    </row>
    <row r="210" spans="4:14" x14ac:dyDescent="0.35">
      <c r="D210" s="236" t="s">
        <v>253</v>
      </c>
      <c r="E210" s="242">
        <f>BDFE!$C$1314/1000</f>
        <v>0</v>
      </c>
      <c r="F210" s="242">
        <f>BDFE!$C$1387/1000</f>
        <v>0</v>
      </c>
      <c r="G210" s="242">
        <f>BDFE!$C$1606/1000</f>
        <v>0</v>
      </c>
      <c r="H210" s="242">
        <f>BDFE!$C$1752/1000</f>
        <v>0</v>
      </c>
      <c r="I210" s="242">
        <f t="shared" si="53"/>
        <v>0</v>
      </c>
      <c r="N210" s="264"/>
    </row>
    <row r="211" spans="4:14" x14ac:dyDescent="0.35">
      <c r="D211" s="236" t="s">
        <v>238</v>
      </c>
      <c r="E211" s="242">
        <f>BDFE!$C$1315/1000</f>
        <v>0</v>
      </c>
      <c r="F211" s="242">
        <f>BDFE!$C$1388/1000</f>
        <v>0</v>
      </c>
      <c r="G211" s="242">
        <f>BDFE!$C$1607/1000</f>
        <v>0</v>
      </c>
      <c r="H211" s="242">
        <f>BDFE!$C$1753/1000</f>
        <v>0</v>
      </c>
      <c r="I211" s="242">
        <f t="shared" si="53"/>
        <v>0</v>
      </c>
      <c r="N211" s="264"/>
    </row>
    <row r="212" spans="4:14" hidden="1" x14ac:dyDescent="0.35">
      <c r="D212" s="236" t="s">
        <v>254</v>
      </c>
      <c r="E212" s="242">
        <f>BDFE!$C$1316/1000</f>
        <v>0</v>
      </c>
      <c r="F212" s="242">
        <f>BDFE!$C$1389/1000</f>
        <v>0</v>
      </c>
      <c r="G212" s="242">
        <f>BDFE!$C$1608/1000</f>
        <v>0</v>
      </c>
      <c r="H212" s="242">
        <f>BDFE!$C$1754/1000</f>
        <v>0</v>
      </c>
      <c r="I212" s="242">
        <f t="shared" si="53"/>
        <v>0</v>
      </c>
      <c r="N212" s="264"/>
    </row>
    <row r="213" spans="4:14" hidden="1" x14ac:dyDescent="0.35">
      <c r="D213" s="236" t="s">
        <v>272</v>
      </c>
      <c r="E213" s="242">
        <f>(BDFE!C1317+BDFE!C1318)/1000</f>
        <v>0</v>
      </c>
      <c r="F213" s="242">
        <f>(BDFE!$C$1390+BDFE!C1391)/1000</f>
        <v>0</v>
      </c>
      <c r="G213" s="242">
        <f>(BDFE!C1609+BDFE!C1610)/1000</f>
        <v>0</v>
      </c>
      <c r="H213" s="242">
        <f>(BDFE!C1755+BDFE!C1756)/1000</f>
        <v>0</v>
      </c>
      <c r="I213" s="242">
        <f t="shared" si="53"/>
        <v>0</v>
      </c>
      <c r="N213" s="264"/>
    </row>
    <row r="214" spans="4:14" x14ac:dyDescent="0.35">
      <c r="D214" s="236" t="s">
        <v>255</v>
      </c>
      <c r="E214" s="242">
        <f>BDFE!$C$1319/1000</f>
        <v>0</v>
      </c>
      <c r="F214" s="242">
        <f>BDFE!$C$1392/1000</f>
        <v>0</v>
      </c>
      <c r="G214" s="242">
        <f>BDFE!$C$1611/1000</f>
        <v>0</v>
      </c>
      <c r="H214" s="245">
        <f>BDFE!$C$1757/1000</f>
        <v>0</v>
      </c>
      <c r="I214" s="245">
        <f t="shared" si="53"/>
        <v>0</v>
      </c>
      <c r="N214" s="264"/>
    </row>
    <row r="215" spans="4:14" x14ac:dyDescent="0.35">
      <c r="D215" s="235" t="s">
        <v>256</v>
      </c>
      <c r="E215" s="239">
        <f>SUM(E209:E214)</f>
        <v>0</v>
      </c>
      <c r="F215" s="239">
        <f>SUM(F209:F214)</f>
        <v>0</v>
      </c>
      <c r="G215" s="239">
        <f>SUM(G209:G214)</f>
        <v>0</v>
      </c>
      <c r="H215" s="239">
        <f>SUM(H209:H214)</f>
        <v>0</v>
      </c>
      <c r="I215" s="239">
        <f t="shared" si="53"/>
        <v>0</v>
      </c>
      <c r="N215" s="292"/>
    </row>
    <row r="216" spans="4:14" x14ac:dyDescent="0.35">
      <c r="D216" s="235"/>
      <c r="E216" s="244"/>
      <c r="F216" s="244"/>
      <c r="G216" s="244"/>
      <c r="H216" s="243"/>
      <c r="I216" s="243"/>
      <c r="N216" s="243"/>
    </row>
    <row r="217" spans="4:14" x14ac:dyDescent="0.35">
      <c r="D217" s="235" t="s">
        <v>257</v>
      </c>
      <c r="E217" s="240"/>
      <c r="F217" s="240"/>
      <c r="G217" s="240"/>
      <c r="H217" s="240"/>
      <c r="I217" s="240"/>
      <c r="N217" s="240"/>
    </row>
    <row r="218" spans="4:14" x14ac:dyDescent="0.35">
      <c r="D218" s="236" t="s">
        <v>205</v>
      </c>
      <c r="E218" s="241">
        <f>BDFE!$C$1322/1000</f>
        <v>0</v>
      </c>
      <c r="F218" s="241">
        <f>BDFE!$C$1395/1000</f>
        <v>0</v>
      </c>
      <c r="G218" s="241">
        <f>BDFE!$C$1614/1000</f>
        <v>0</v>
      </c>
      <c r="H218" s="241">
        <f>BDFE!$C$1760/1000</f>
        <v>0</v>
      </c>
      <c r="I218" s="241">
        <f t="shared" ref="I218:I231" si="54">SUM(N218,E218,F218,G218,H218)</f>
        <v>0</v>
      </c>
      <c r="N218" s="294"/>
    </row>
    <row r="219" spans="4:14" x14ac:dyDescent="0.35">
      <c r="D219" s="236" t="s">
        <v>209</v>
      </c>
      <c r="E219" s="242">
        <f>BDFE!$C$1324/1000</f>
        <v>0</v>
      </c>
      <c r="F219" s="242">
        <f>BDFE!$C$1397/1000</f>
        <v>0</v>
      </c>
      <c r="G219" s="242">
        <f>BDFE!$C$1616/1000</f>
        <v>0</v>
      </c>
      <c r="H219" s="242">
        <f>BDFE!$C$1762/1000</f>
        <v>0</v>
      </c>
      <c r="I219" s="242">
        <f t="shared" si="54"/>
        <v>0</v>
      </c>
      <c r="N219" s="264"/>
    </row>
    <row r="220" spans="4:14" x14ac:dyDescent="0.35">
      <c r="D220" s="236" t="s">
        <v>208</v>
      </c>
      <c r="E220" s="242">
        <f>BDFE!$C$1326/1000</f>
        <v>0</v>
      </c>
      <c r="F220" s="242">
        <f>BDFE!$C$1399/1000</f>
        <v>0</v>
      </c>
      <c r="G220" s="242">
        <f>BDFE!$C$1618/1000</f>
        <v>0</v>
      </c>
      <c r="H220" s="242">
        <f>BDFE!$C$1764/1000</f>
        <v>0</v>
      </c>
      <c r="I220" s="242">
        <f t="shared" si="54"/>
        <v>0</v>
      </c>
      <c r="N220" s="264"/>
    </row>
    <row r="221" spans="4:14" x14ac:dyDescent="0.35">
      <c r="D221" s="236" t="s">
        <v>207</v>
      </c>
      <c r="E221" s="242">
        <f>BDFE!$C$1328/1000</f>
        <v>0</v>
      </c>
      <c r="F221" s="242">
        <f>BDFE!$C$1401/1000</f>
        <v>0</v>
      </c>
      <c r="G221" s="242">
        <f>BDFE!$C$1620/1000</f>
        <v>0</v>
      </c>
      <c r="H221" s="242">
        <f>BDFE!$C$1766/1000</f>
        <v>0</v>
      </c>
      <c r="I221" s="242">
        <f t="shared" si="54"/>
        <v>0</v>
      </c>
      <c r="N221" s="264"/>
    </row>
    <row r="222" spans="4:14" x14ac:dyDescent="0.35">
      <c r="D222" s="236" t="s">
        <v>258</v>
      </c>
      <c r="E222" s="242">
        <f>BDFE!$C$1330/1000</f>
        <v>0</v>
      </c>
      <c r="F222" s="242">
        <f>BDFE!$C$1403/1000</f>
        <v>0</v>
      </c>
      <c r="G222" s="242">
        <f>BDFE!$C$1622/1000</f>
        <v>0</v>
      </c>
      <c r="H222" s="242">
        <f>BDFE!$C$1768/1000</f>
        <v>0</v>
      </c>
      <c r="I222" s="242">
        <f t="shared" si="54"/>
        <v>0</v>
      </c>
      <c r="N222" s="264"/>
    </row>
    <row r="223" spans="4:14" x14ac:dyDescent="0.35">
      <c r="D223" s="236" t="s">
        <v>273</v>
      </c>
      <c r="E223" s="242">
        <f>BDFE!$C$1332/1000</f>
        <v>0</v>
      </c>
      <c r="F223" s="242">
        <f>BDFE!$C$1405/1000</f>
        <v>0</v>
      </c>
      <c r="G223" s="242">
        <f>BDFE!$C$1624/1000</f>
        <v>0</v>
      </c>
      <c r="H223" s="242">
        <f>BDFE!$C$1770/1000</f>
        <v>0</v>
      </c>
      <c r="I223" s="242">
        <f t="shared" si="54"/>
        <v>0</v>
      </c>
      <c r="N223" s="264"/>
    </row>
    <row r="224" spans="4:14" x14ac:dyDescent="0.35">
      <c r="D224" s="236" t="s">
        <v>274</v>
      </c>
      <c r="E224" s="242">
        <f>BDFE!$C$1334/1000</f>
        <v>0</v>
      </c>
      <c r="F224" s="242">
        <f>BDFE!$C$1407/1000</f>
        <v>0</v>
      </c>
      <c r="G224" s="242">
        <f>BDFE!$C$1626/1000</f>
        <v>0</v>
      </c>
      <c r="H224" s="242">
        <f>BDFE!$C$1772/1000</f>
        <v>0</v>
      </c>
      <c r="I224" s="242">
        <f t="shared" si="54"/>
        <v>0</v>
      </c>
      <c r="N224" s="264"/>
    </row>
    <row r="225" spans="4:14" x14ac:dyDescent="0.35">
      <c r="D225" s="236" t="s">
        <v>275</v>
      </c>
      <c r="E225" s="242">
        <f>BDFE!$C$1336/1000</f>
        <v>0</v>
      </c>
      <c r="F225" s="242">
        <f>BDFE!$C$1409/1000</f>
        <v>0</v>
      </c>
      <c r="G225" s="242">
        <f>BDFE!$C$1628/1000</f>
        <v>0</v>
      </c>
      <c r="H225" s="242">
        <f>BDFE!$C$1774/1000</f>
        <v>0</v>
      </c>
      <c r="I225" s="242">
        <f t="shared" si="54"/>
        <v>0</v>
      </c>
      <c r="N225" s="264"/>
    </row>
    <row r="226" spans="4:14" x14ac:dyDescent="0.35">
      <c r="D226" s="236" t="s">
        <v>259</v>
      </c>
      <c r="E226" s="242">
        <f>BDFE!$C$1338/1000</f>
        <v>0</v>
      </c>
      <c r="F226" s="242">
        <f>BDFE!$C$1411/1000</f>
        <v>0</v>
      </c>
      <c r="G226" s="242">
        <f>BDFE!$C$1630/1000</f>
        <v>0</v>
      </c>
      <c r="H226" s="242">
        <f>BDFE!$C$1776/1000</f>
        <v>0</v>
      </c>
      <c r="I226" s="242">
        <f t="shared" si="54"/>
        <v>0</v>
      </c>
      <c r="N226" s="264"/>
    </row>
    <row r="227" spans="4:14" x14ac:dyDescent="0.35">
      <c r="D227" s="236" t="s">
        <v>260</v>
      </c>
      <c r="E227" s="242">
        <f>BDFE!$C$1340/1000</f>
        <v>0</v>
      </c>
      <c r="F227" s="242">
        <f>BDFE!$C$1413/1000</f>
        <v>0</v>
      </c>
      <c r="G227" s="242">
        <f>BDFE!$C$1632/1000</f>
        <v>0</v>
      </c>
      <c r="H227" s="242">
        <f>BDFE!$C$1778/1000</f>
        <v>0</v>
      </c>
      <c r="I227" s="242">
        <f t="shared" si="54"/>
        <v>0</v>
      </c>
      <c r="N227" s="264"/>
    </row>
    <row r="228" spans="4:14" hidden="1" x14ac:dyDescent="0.35">
      <c r="D228" s="236" t="s">
        <v>261</v>
      </c>
      <c r="E228" s="242">
        <f>BDFE!$C$1343/1000</f>
        <v>0</v>
      </c>
      <c r="F228" s="242">
        <f>BDFE!$C$1416/1000</f>
        <v>0</v>
      </c>
      <c r="G228" s="242">
        <f>BDFE!$C$1635/1000</f>
        <v>0</v>
      </c>
      <c r="H228" s="242">
        <f>BDFE!$C$1781/1000</f>
        <v>0</v>
      </c>
      <c r="I228" s="242">
        <f t="shared" si="54"/>
        <v>0</v>
      </c>
      <c r="N228" s="264"/>
    </row>
    <row r="229" spans="4:14" hidden="1" x14ac:dyDescent="0.35">
      <c r="D229" s="236" t="s">
        <v>262</v>
      </c>
      <c r="E229" s="242">
        <f>BDFE!$C$1344/1000</f>
        <v>0</v>
      </c>
      <c r="F229" s="242">
        <f>BDFE!$C$1417/1000</f>
        <v>0</v>
      </c>
      <c r="G229" s="242">
        <f>BDFE!$C$1636/1000</f>
        <v>0</v>
      </c>
      <c r="H229" s="242">
        <f>BDFE!$C$1782/1000</f>
        <v>0</v>
      </c>
      <c r="I229" s="242">
        <f t="shared" si="54"/>
        <v>0</v>
      </c>
      <c r="N229" s="264"/>
    </row>
    <row r="230" spans="4:14" x14ac:dyDescent="0.35">
      <c r="D230" s="236" t="s">
        <v>10</v>
      </c>
      <c r="E230" s="245">
        <f>(BDFE!C1323+BDFE!C1325+BDFE!C1327+BDFE!C1329+BDFE!C1331+BDFE!C1333+BDFE!C1335+BDFE!C1337+BDFE!C1339+BDFE!C1341+BDFE!C1342-BDFE!C1285)/1000</f>
        <v>0</v>
      </c>
      <c r="F230" s="245">
        <f>(BDFE!C1396+BDFE!C1398+BDFE!C1400+BDFE!C1402+BDFE!C1404+BDFE!C1406+BDFE!C1408+BDFE!C1410+BDFE!C1412+BDFE!C1414+BDFE!C1415-BDFE!C1358)/1000</f>
        <v>0</v>
      </c>
      <c r="G230" s="245">
        <f>(BDFE!C1615+BDFE!C1617+BDFE!C1619+BDFE!C1621+BDFE!C1623+BDFE!C1625+BDFE!C1627+BDFE!C1629+BDFE!C1631+BDFE!C1633+BDFE!C1634-BDFE!C1577)/1000</f>
        <v>0</v>
      </c>
      <c r="H230" s="245">
        <f>(BDFE!C1761+BDFE!C1763+BDFE!C1765+BDFE!C1767+BDFE!C1769+BDFE!C1771+BDFE!C1773+BDFE!C1775+BDFE!C1777+BDFE!C1779+BDFE!C1780-BDFE!C1723)/1000</f>
        <v>0</v>
      </c>
      <c r="I230" s="245">
        <f t="shared" si="54"/>
        <v>0</v>
      </c>
      <c r="N230" s="264"/>
    </row>
    <row r="231" spans="4:14" x14ac:dyDescent="0.35">
      <c r="D231" s="235" t="s">
        <v>263</v>
      </c>
      <c r="E231" s="239">
        <f>SUM(E218:E230)</f>
        <v>0</v>
      </c>
      <c r="F231" s="239">
        <f>SUM(F218:F230)</f>
        <v>0</v>
      </c>
      <c r="G231" s="239">
        <f>SUM(G218:G230)</f>
        <v>0</v>
      </c>
      <c r="H231" s="239">
        <f>SUM(H218:H230)</f>
        <v>0</v>
      </c>
      <c r="I231" s="239">
        <f t="shared" si="54"/>
        <v>0</v>
      </c>
      <c r="N231" s="292"/>
    </row>
    <row r="232" spans="4:14" x14ac:dyDescent="0.35">
      <c r="D232" s="236"/>
      <c r="E232" s="246"/>
      <c r="F232" s="246"/>
      <c r="G232" s="246"/>
      <c r="H232" s="249"/>
      <c r="I232" s="249"/>
      <c r="N232" s="240"/>
    </row>
    <row r="233" spans="4:14" x14ac:dyDescent="0.35">
      <c r="D233" s="235" t="s">
        <v>264</v>
      </c>
      <c r="E233" s="247">
        <f>E196+E206+E215+E231</f>
        <v>0</v>
      </c>
      <c r="F233" s="247">
        <f>F196+F206+F215+F231</f>
        <v>0</v>
      </c>
      <c r="G233" s="247">
        <f>G196+G206+G215+G231</f>
        <v>0</v>
      </c>
      <c r="H233" s="239">
        <f>H196+H206+H215+H231</f>
        <v>0</v>
      </c>
      <c r="I233" s="239">
        <f>I196+I206+I215+I231</f>
        <v>0</v>
      </c>
      <c r="N233" s="291"/>
    </row>
    <row r="234" spans="4:14" x14ac:dyDescent="0.35">
      <c r="D234" s="237" t="s">
        <v>276</v>
      </c>
      <c r="E234" s="247">
        <f>BDBG!$H$1138/1000</f>
        <v>0</v>
      </c>
      <c r="F234" s="247">
        <f>BDBG!$H$1192/1000</f>
        <v>0</v>
      </c>
      <c r="G234" s="247">
        <f>BDBG!$H$1354/1000</f>
        <v>0</v>
      </c>
      <c r="H234" s="239">
        <f>BDBG!$H$1462/1000</f>
        <v>0</v>
      </c>
      <c r="I234" s="239">
        <f>SUM(N234,E234,F234,G234,H234)</f>
        <v>0</v>
      </c>
      <c r="N234" s="263"/>
    </row>
    <row r="235" spans="4:14" x14ac:dyDescent="0.35">
      <c r="D235" s="237" t="s">
        <v>277</v>
      </c>
      <c r="E235" s="247">
        <f>SUM(E233:E234)</f>
        <v>0</v>
      </c>
      <c r="F235" s="247">
        <f>SUM(F233:F234)</f>
        <v>0</v>
      </c>
      <c r="G235" s="247">
        <f>SUM(G233:G234)</f>
        <v>0</v>
      </c>
      <c r="H235" s="247">
        <f>SUM(H233:H234)</f>
        <v>0</v>
      </c>
      <c r="I235" s="247">
        <f>SUM(I233:I234)</f>
        <v>0</v>
      </c>
      <c r="N235" s="292"/>
    </row>
    <row r="237" spans="4:14" x14ac:dyDescent="0.35">
      <c r="I237" s="253"/>
      <c r="J237" s="253"/>
    </row>
    <row r="242" spans="4:10" x14ac:dyDescent="0.35">
      <c r="D242" s="250"/>
      <c r="E242" s="235"/>
      <c r="F242" s="235" t="s">
        <v>278</v>
      </c>
      <c r="G242" s="236"/>
      <c r="H242" s="236"/>
      <c r="I242" s="236"/>
      <c r="J242" s="236"/>
    </row>
    <row r="243" spans="4:10" x14ac:dyDescent="0.35">
      <c r="D243" s="251" t="s">
        <v>279</v>
      </c>
      <c r="E243" s="238" t="s">
        <v>181</v>
      </c>
      <c r="F243" s="238" t="s">
        <v>182</v>
      </c>
      <c r="G243" s="238" t="s">
        <v>183</v>
      </c>
      <c r="H243" s="238" t="s">
        <v>184</v>
      </c>
      <c r="I243" s="238" t="s">
        <v>141</v>
      </c>
    </row>
    <row r="244" spans="4:10" x14ac:dyDescent="0.35">
      <c r="D244" s="235" t="s">
        <v>248</v>
      </c>
      <c r="E244" s="239">
        <f>(BDFE!F1296+BDFE!F1285)/1000</f>
        <v>0</v>
      </c>
      <c r="F244" s="239">
        <f>(BDFE!F1369+BDFE!F1358)/1000</f>
        <v>0</v>
      </c>
      <c r="G244" s="239">
        <f>(BDFE!F1588+BDFE!F1577)/1000</f>
        <v>0</v>
      </c>
      <c r="H244" s="239">
        <f>(BDFE!F1734+BDFE!F1723)/1000</f>
        <v>0</v>
      </c>
      <c r="I244" s="239">
        <f>SUM(E244,F244,G244,H244)</f>
        <v>0</v>
      </c>
    </row>
    <row r="245" spans="4:10" x14ac:dyDescent="0.35">
      <c r="D245" s="236"/>
      <c r="E245" s="240"/>
      <c r="F245" s="240"/>
      <c r="G245" s="240"/>
      <c r="H245" s="240"/>
      <c r="I245" s="240"/>
    </row>
    <row r="246" spans="4:10" x14ac:dyDescent="0.35">
      <c r="D246" s="235" t="s">
        <v>271</v>
      </c>
      <c r="E246" s="240"/>
      <c r="F246" s="240"/>
      <c r="G246" s="240"/>
      <c r="H246" s="240"/>
      <c r="I246" s="240"/>
    </row>
    <row r="247" spans="4:10" x14ac:dyDescent="0.35">
      <c r="D247" s="236" t="s">
        <v>197</v>
      </c>
      <c r="E247" s="241">
        <f>BDFE!$F$1299/1000</f>
        <v>0</v>
      </c>
      <c r="F247" s="241">
        <f>BDFE!$F$1372/1000</f>
        <v>0</v>
      </c>
      <c r="G247" s="241">
        <f>BDFE!$F$1591/1000</f>
        <v>0</v>
      </c>
      <c r="H247" s="241">
        <f>BDFE!$F$1737/1000</f>
        <v>0</v>
      </c>
      <c r="I247" s="241">
        <f t="shared" ref="I247:I254" si="55">SUM(E247,F247,G247,H247)</f>
        <v>0</v>
      </c>
    </row>
    <row r="248" spans="4:10" x14ac:dyDescent="0.35">
      <c r="D248" s="236" t="s">
        <v>198</v>
      </c>
      <c r="E248" s="242">
        <f>(BDFE!F1300+BDFE!F1301)/1000</f>
        <v>0</v>
      </c>
      <c r="F248" s="242">
        <f>(BDFE!F1373+BDFE!F1374)/1000</f>
        <v>0</v>
      </c>
      <c r="G248" s="242">
        <f>(BDFE!F1592+BDFE!F1593)/1000</f>
        <v>0</v>
      </c>
      <c r="H248" s="242">
        <f>(BDFE!F1738+BDFE!F1739)/1000</f>
        <v>0</v>
      </c>
      <c r="I248" s="242">
        <f t="shared" si="55"/>
        <v>0</v>
      </c>
    </row>
    <row r="249" spans="4:10" x14ac:dyDescent="0.35">
      <c r="D249" s="236" t="s">
        <v>199</v>
      </c>
      <c r="E249" s="242">
        <f>BDFE!$F$1302/1000</f>
        <v>0</v>
      </c>
      <c r="F249" s="242">
        <f>BDFE!$F$1375/1000</f>
        <v>0</v>
      </c>
      <c r="G249" s="242">
        <f>BDFE!$F$1594/1000</f>
        <v>0</v>
      </c>
      <c r="H249" s="242">
        <f>BDFE!$F$1740/1000</f>
        <v>0</v>
      </c>
      <c r="I249" s="242">
        <f t="shared" si="55"/>
        <v>0</v>
      </c>
    </row>
    <row r="250" spans="4:10" x14ac:dyDescent="0.35">
      <c r="D250" s="236" t="s">
        <v>200</v>
      </c>
      <c r="E250" s="242">
        <f>BDFE!$F$1304/1000</f>
        <v>0</v>
      </c>
      <c r="F250" s="242">
        <f>BDFE!$F$1377/1000</f>
        <v>0</v>
      </c>
      <c r="G250" s="242">
        <f>BDFE!$F$1596/1000</f>
        <v>0</v>
      </c>
      <c r="H250" s="242">
        <f>BDFE!$F$1742/1000</f>
        <v>0</v>
      </c>
      <c r="I250" s="242">
        <f t="shared" si="55"/>
        <v>0</v>
      </c>
    </row>
    <row r="251" spans="4:10" x14ac:dyDescent="0.35">
      <c r="D251" s="236" t="s">
        <v>223</v>
      </c>
      <c r="E251" s="242">
        <f>BDFE!$F$1305/1000</f>
        <v>0</v>
      </c>
      <c r="F251" s="242">
        <f>BDFE!$F$1378/1000</f>
        <v>0</v>
      </c>
      <c r="G251" s="242">
        <f>BDFE!$F$1597/1000</f>
        <v>0</v>
      </c>
      <c r="H251" s="242">
        <f>BDFE!$F$1743/1000</f>
        <v>0</v>
      </c>
      <c r="I251" s="242">
        <f t="shared" si="55"/>
        <v>0</v>
      </c>
    </row>
    <row r="252" spans="4:10" x14ac:dyDescent="0.35">
      <c r="D252" s="236" t="s">
        <v>249</v>
      </c>
      <c r="E252" s="242">
        <f>(BDFE!F1306+BDFE!F1307+BDFE!F1309)/1000</f>
        <v>0</v>
      </c>
      <c r="F252" s="242">
        <f>(BDFE!F1379+BDFE!F1380+BDFE!F1382)/1000</f>
        <v>0</v>
      </c>
      <c r="G252" s="242">
        <f>(BDFE!F1598+BDFE!F1599+BDFE!F1601)/1000</f>
        <v>0</v>
      </c>
      <c r="H252" s="242">
        <f>(BDFE!F1744+BDFE!F1745+BDFE!F1747)/1000</f>
        <v>0</v>
      </c>
      <c r="I252" s="242">
        <f t="shared" si="55"/>
        <v>0</v>
      </c>
    </row>
    <row r="253" spans="4:10" x14ac:dyDescent="0.35">
      <c r="D253" s="236" t="s">
        <v>250</v>
      </c>
      <c r="E253" s="242">
        <f>(BDFE!F1308+BDFE!F1310)/1000</f>
        <v>0</v>
      </c>
      <c r="F253" s="242">
        <f>(BDFE!F1381+BDFE!F1383)/1000</f>
        <v>0</v>
      </c>
      <c r="G253" s="242">
        <f>(BDFE!F1600+BDFE!F1602)/1000</f>
        <v>0</v>
      </c>
      <c r="H253" s="242">
        <f>(BDFE!F1746+BDFE!F1748)/1000</f>
        <v>0</v>
      </c>
      <c r="I253" s="242">
        <f t="shared" si="55"/>
        <v>0</v>
      </c>
    </row>
    <row r="254" spans="4:10" x14ac:dyDescent="0.35">
      <c r="D254" s="235" t="s">
        <v>271</v>
      </c>
      <c r="E254" s="239">
        <f>SUM(E247:E253)</f>
        <v>0</v>
      </c>
      <c r="F254" s="239">
        <f>SUM(F247:F253)</f>
        <v>0</v>
      </c>
      <c r="G254" s="239">
        <f>SUM(G247:G253)</f>
        <v>0</v>
      </c>
      <c r="H254" s="239">
        <f>SUM(H247:H253)</f>
        <v>0</v>
      </c>
      <c r="I254" s="239">
        <f t="shared" si="55"/>
        <v>0</v>
      </c>
    </row>
    <row r="255" spans="4:10" x14ac:dyDescent="0.35">
      <c r="D255" s="236"/>
      <c r="E255" s="243"/>
      <c r="F255" s="243"/>
      <c r="G255" s="243"/>
      <c r="H255" s="243"/>
      <c r="I255" s="243"/>
    </row>
    <row r="256" spans="4:10" x14ac:dyDescent="0.35">
      <c r="D256" s="235" t="s">
        <v>251</v>
      </c>
      <c r="E256" s="240"/>
      <c r="F256" s="240"/>
      <c r="G256" s="240"/>
      <c r="H256" s="240"/>
      <c r="I256" s="240"/>
    </row>
    <row r="257" spans="4:9" x14ac:dyDescent="0.35">
      <c r="D257" s="236" t="s">
        <v>252</v>
      </c>
      <c r="E257" s="241">
        <f>BDFE!$F$1313/1000</f>
        <v>0</v>
      </c>
      <c r="F257" s="241">
        <f>BDFE!$F$1386/1000</f>
        <v>0</v>
      </c>
      <c r="G257" s="241">
        <f>BDFE!$F$1605/1000</f>
        <v>0</v>
      </c>
      <c r="H257" s="241">
        <f>BDFE!$F$1751/1000</f>
        <v>0</v>
      </c>
      <c r="I257" s="241">
        <f t="shared" ref="I257:I263" si="56">SUM(E257,F257,G257,H257)</f>
        <v>0</v>
      </c>
    </row>
    <row r="258" spans="4:9" x14ac:dyDescent="0.35">
      <c r="D258" s="236" t="s">
        <v>253</v>
      </c>
      <c r="E258" s="242">
        <f>BDFE!$F$1314/1000</f>
        <v>0</v>
      </c>
      <c r="F258" s="242">
        <f>BDFE!$F$1387/1000</f>
        <v>0</v>
      </c>
      <c r="G258" s="242">
        <f>BDFE!$F$1606/1000</f>
        <v>0</v>
      </c>
      <c r="H258" s="242">
        <f>BDFE!$F$1752/1000</f>
        <v>0</v>
      </c>
      <c r="I258" s="242">
        <f t="shared" si="56"/>
        <v>0</v>
      </c>
    </row>
    <row r="259" spans="4:9" x14ac:dyDescent="0.35">
      <c r="D259" s="236" t="s">
        <v>238</v>
      </c>
      <c r="E259" s="242">
        <f>BDFE!$F$1315/1000</f>
        <v>0</v>
      </c>
      <c r="F259" s="242">
        <f>BDFE!$F$1388/1000</f>
        <v>0</v>
      </c>
      <c r="G259" s="242">
        <f>BDFE!$F$1607/1000</f>
        <v>0</v>
      </c>
      <c r="H259" s="242">
        <f>BDFE!$F$1753/1000</f>
        <v>0</v>
      </c>
      <c r="I259" s="242">
        <f t="shared" si="56"/>
        <v>0</v>
      </c>
    </row>
    <row r="260" spans="4:9" hidden="1" x14ac:dyDescent="0.35">
      <c r="D260" s="236" t="s">
        <v>254</v>
      </c>
      <c r="E260" s="242">
        <f>BDFE!$F$1316/1000</f>
        <v>0</v>
      </c>
      <c r="F260" s="242">
        <f>BDFE!$F$1389/1000</f>
        <v>0</v>
      </c>
      <c r="G260" s="242">
        <f>BDFE!$F$1608/1000</f>
        <v>0</v>
      </c>
      <c r="H260" s="242">
        <f>BDFE!$F$1754/1000</f>
        <v>0</v>
      </c>
      <c r="I260" s="242">
        <f t="shared" si="56"/>
        <v>0</v>
      </c>
    </row>
    <row r="261" spans="4:9" hidden="1" x14ac:dyDescent="0.35">
      <c r="D261" s="236" t="s">
        <v>272</v>
      </c>
      <c r="E261" s="242">
        <f>(BDFE!F1317+BDFE!F1318)/1000</f>
        <v>0</v>
      </c>
      <c r="F261" s="242">
        <f>(BDFE!$F$1390+BDFE!F1391)/1000</f>
        <v>0</v>
      </c>
      <c r="G261" s="242">
        <f>(BDFE!F1609+BDFE!F1610)/1000</f>
        <v>0</v>
      </c>
      <c r="H261" s="242">
        <f>(BDFE!F1755+BDFE!F1756)/1000</f>
        <v>0</v>
      </c>
      <c r="I261" s="242">
        <f t="shared" si="56"/>
        <v>0</v>
      </c>
    </row>
    <row r="262" spans="4:9" x14ac:dyDescent="0.35">
      <c r="D262" s="236" t="s">
        <v>255</v>
      </c>
      <c r="E262" s="242">
        <f>BDFE!$F$1319/1000</f>
        <v>0</v>
      </c>
      <c r="F262" s="242">
        <f>BDFE!$F$1392/1000</f>
        <v>0</v>
      </c>
      <c r="G262" s="242">
        <f>BDFE!$F$1611/1000</f>
        <v>0</v>
      </c>
      <c r="H262" s="245">
        <f>BDFE!$F$1757/1000</f>
        <v>0</v>
      </c>
      <c r="I262" s="242">
        <f t="shared" si="56"/>
        <v>0</v>
      </c>
    </row>
    <row r="263" spans="4:9" x14ac:dyDescent="0.35">
      <c r="D263" s="235" t="s">
        <v>256</v>
      </c>
      <c r="E263" s="239">
        <f>SUM(E257:E262)</f>
        <v>0</v>
      </c>
      <c r="F263" s="239">
        <f>SUM(F257:F262)</f>
        <v>0</v>
      </c>
      <c r="G263" s="239">
        <f>SUM(G257:G262)</f>
        <v>0</v>
      </c>
      <c r="H263" s="239">
        <f>SUM(H257:H262)</f>
        <v>0</v>
      </c>
      <c r="I263" s="239">
        <f t="shared" si="56"/>
        <v>0</v>
      </c>
    </row>
    <row r="264" spans="4:9" x14ac:dyDescent="0.35">
      <c r="D264" s="235"/>
      <c r="E264" s="244"/>
      <c r="F264" s="244"/>
      <c r="G264" s="244"/>
      <c r="H264" s="244"/>
      <c r="I264" s="244"/>
    </row>
    <row r="265" spans="4:9" x14ac:dyDescent="0.35">
      <c r="D265" s="235" t="s">
        <v>257</v>
      </c>
      <c r="E265" s="252"/>
      <c r="F265" s="252"/>
      <c r="G265" s="252"/>
      <c r="H265" s="252"/>
      <c r="I265" s="252"/>
    </row>
    <row r="266" spans="4:9" x14ac:dyDescent="0.35">
      <c r="D266" s="236" t="s">
        <v>205</v>
      </c>
      <c r="E266" s="241">
        <f>BDFE!$F$1322/1000</f>
        <v>0</v>
      </c>
      <c r="F266" s="241">
        <f>BDFE!$F$1395/1000</f>
        <v>0</v>
      </c>
      <c r="G266" s="241">
        <f>BDFE!$F$1614/1000</f>
        <v>0</v>
      </c>
      <c r="H266" s="241">
        <f>BDFE!$F$1760/1000</f>
        <v>0</v>
      </c>
      <c r="I266" s="242">
        <f t="shared" ref="I266:I279" si="57">SUM(E266,F266,G266,H266)</f>
        <v>0</v>
      </c>
    </row>
    <row r="267" spans="4:9" x14ac:dyDescent="0.35">
      <c r="D267" s="236" t="s">
        <v>209</v>
      </c>
      <c r="E267" s="242">
        <f>BDFE!$F$1324/1000</f>
        <v>0</v>
      </c>
      <c r="F267" s="242">
        <f>BDFE!$F$1397/1000</f>
        <v>0</v>
      </c>
      <c r="G267" s="242">
        <f>BDFE!$F$1616/1000</f>
        <v>0</v>
      </c>
      <c r="H267" s="242">
        <f>BDFE!$F$1762/1000</f>
        <v>0</v>
      </c>
      <c r="I267" s="242">
        <f t="shared" si="57"/>
        <v>0</v>
      </c>
    </row>
    <row r="268" spans="4:9" x14ac:dyDescent="0.35">
      <c r="D268" s="236" t="s">
        <v>208</v>
      </c>
      <c r="E268" s="242">
        <f>BDFE!$F$1326/1000</f>
        <v>0</v>
      </c>
      <c r="F268" s="242">
        <f>BDFE!$F$1399/1000</f>
        <v>0</v>
      </c>
      <c r="G268" s="242">
        <f>BDFE!$F$1618/1000</f>
        <v>0</v>
      </c>
      <c r="H268" s="242">
        <f>BDFE!$F$1764/1000</f>
        <v>0</v>
      </c>
      <c r="I268" s="242">
        <f t="shared" si="57"/>
        <v>0</v>
      </c>
    </row>
    <row r="269" spans="4:9" x14ac:dyDescent="0.35">
      <c r="D269" s="236" t="s">
        <v>207</v>
      </c>
      <c r="E269" s="242">
        <f>BDFE!$F$1328/1000</f>
        <v>0</v>
      </c>
      <c r="F269" s="242">
        <f>BDFE!$F$1401/1000</f>
        <v>0</v>
      </c>
      <c r="G269" s="242">
        <f>BDFE!$F$1620/1000</f>
        <v>0</v>
      </c>
      <c r="H269" s="242">
        <f>BDFE!$F$1766/1000</f>
        <v>0</v>
      </c>
      <c r="I269" s="242">
        <f t="shared" si="57"/>
        <v>0</v>
      </c>
    </row>
    <row r="270" spans="4:9" x14ac:dyDescent="0.35">
      <c r="D270" s="236" t="s">
        <v>258</v>
      </c>
      <c r="E270" s="242">
        <f>BDFE!$F$1330/1000</f>
        <v>0</v>
      </c>
      <c r="F270" s="242">
        <f>BDFE!$F$1403/1000</f>
        <v>0</v>
      </c>
      <c r="G270" s="242">
        <f>BDFE!$F$1622/1000</f>
        <v>0</v>
      </c>
      <c r="H270" s="242">
        <f>BDFE!$F$1768/1000</f>
        <v>0</v>
      </c>
      <c r="I270" s="242">
        <f t="shared" si="57"/>
        <v>0</v>
      </c>
    </row>
    <row r="271" spans="4:9" x14ac:dyDescent="0.35">
      <c r="D271" s="236" t="s">
        <v>273</v>
      </c>
      <c r="E271" s="242">
        <f>BDFE!$F$1332/1000</f>
        <v>0</v>
      </c>
      <c r="F271" s="242">
        <f>BDFE!$F$1405/1000</f>
        <v>0</v>
      </c>
      <c r="G271" s="242">
        <f>BDFE!$F$1624/1000</f>
        <v>0</v>
      </c>
      <c r="H271" s="242">
        <f>BDFE!$F$1770/1000</f>
        <v>0</v>
      </c>
      <c r="I271" s="242">
        <f t="shared" si="57"/>
        <v>0</v>
      </c>
    </row>
    <row r="272" spans="4:9" x14ac:dyDescent="0.35">
      <c r="D272" s="236" t="s">
        <v>274</v>
      </c>
      <c r="E272" s="242">
        <f>BDFE!$F$1334/1000</f>
        <v>0</v>
      </c>
      <c r="F272" s="242">
        <f>BDFE!$F$1407/1000</f>
        <v>0</v>
      </c>
      <c r="G272" s="242">
        <f>BDFE!$F$1626/1000</f>
        <v>0</v>
      </c>
      <c r="H272" s="242">
        <f>BDFE!$F$1772/1000</f>
        <v>0</v>
      </c>
      <c r="I272" s="242">
        <f t="shared" si="57"/>
        <v>0</v>
      </c>
    </row>
    <row r="273" spans="4:9" x14ac:dyDescent="0.35">
      <c r="D273" s="236" t="s">
        <v>275</v>
      </c>
      <c r="E273" s="242">
        <f>BDFE!$F$1336/1000</f>
        <v>0</v>
      </c>
      <c r="F273" s="242">
        <f>BDFE!$F$1409/1000</f>
        <v>0</v>
      </c>
      <c r="G273" s="242">
        <f>BDFE!$F$1628/1000</f>
        <v>0</v>
      </c>
      <c r="H273" s="242">
        <f>BDFE!$F$1774/1000</f>
        <v>0</v>
      </c>
      <c r="I273" s="242">
        <f t="shared" si="57"/>
        <v>0</v>
      </c>
    </row>
    <row r="274" spans="4:9" x14ac:dyDescent="0.35">
      <c r="D274" s="236" t="s">
        <v>259</v>
      </c>
      <c r="E274" s="242">
        <f>BDFE!$F$1338/1000</f>
        <v>0</v>
      </c>
      <c r="F274" s="242">
        <f>BDFE!$F$1411/1000</f>
        <v>0</v>
      </c>
      <c r="G274" s="242">
        <f>BDFE!$F$1630/1000</f>
        <v>0</v>
      </c>
      <c r="H274" s="242">
        <f>BDFE!$F$1776/1000</f>
        <v>0</v>
      </c>
      <c r="I274" s="242">
        <f t="shared" si="57"/>
        <v>0</v>
      </c>
    </row>
    <row r="275" spans="4:9" x14ac:dyDescent="0.35">
      <c r="D275" s="236" t="s">
        <v>260</v>
      </c>
      <c r="E275" s="242">
        <f>BDFE!$F$1340/1000</f>
        <v>0</v>
      </c>
      <c r="F275" s="242">
        <f>BDFE!$F$1413/1000</f>
        <v>0</v>
      </c>
      <c r="G275" s="242">
        <f>BDFE!$F$1632/1000</f>
        <v>0</v>
      </c>
      <c r="H275" s="242">
        <f>BDFE!$F$1778/1000</f>
        <v>0</v>
      </c>
      <c r="I275" s="242">
        <f t="shared" si="57"/>
        <v>0</v>
      </c>
    </row>
    <row r="276" spans="4:9" hidden="1" x14ac:dyDescent="0.35">
      <c r="D276" s="236" t="s">
        <v>261</v>
      </c>
      <c r="E276" s="242">
        <f>BDFE!$F$1343/1000</f>
        <v>0</v>
      </c>
      <c r="F276" s="242">
        <f>BDFE!$F$1416/1000</f>
        <v>0</v>
      </c>
      <c r="G276" s="242">
        <f>BDFE!$F$1635/1000</f>
        <v>0</v>
      </c>
      <c r="H276" s="242">
        <f>BDFE!$F$1781/1000</f>
        <v>0</v>
      </c>
      <c r="I276" s="242">
        <f t="shared" si="57"/>
        <v>0</v>
      </c>
    </row>
    <row r="277" spans="4:9" hidden="1" x14ac:dyDescent="0.35">
      <c r="D277" s="236" t="s">
        <v>262</v>
      </c>
      <c r="E277" s="242">
        <f>BDFE!$F$1344/1000</f>
        <v>0</v>
      </c>
      <c r="F277" s="242">
        <f>BDFE!$F$1417/1000</f>
        <v>0</v>
      </c>
      <c r="G277" s="242">
        <f>BDFE!$F$1636/1000</f>
        <v>0</v>
      </c>
      <c r="H277" s="242">
        <f>BDFE!$F$1782/1000</f>
        <v>0</v>
      </c>
      <c r="I277" s="242">
        <f t="shared" si="57"/>
        <v>0</v>
      </c>
    </row>
    <row r="278" spans="4:9" x14ac:dyDescent="0.35">
      <c r="D278" s="236" t="s">
        <v>10</v>
      </c>
      <c r="E278" s="245">
        <f>(BDFE!F1323+BDFE!F1325+BDFE!F1327+BDFE!F1329+BDFE!F1331+BDFE!F1333+BDFE!F1335+BDFE!F1337+BDFE!F1339+BDFE!F1341+BDFE!F1342-BDFE!F1285)/1000</f>
        <v>0</v>
      </c>
      <c r="F278" s="245">
        <f>(BDFE!F1396+BDFE!F1398+BDFE!F1400+BDFE!F1402+BDFE!F1404+BDFE!F1406+BDFE!F1408+BDFE!F1410+BDFE!F1412+BDFE!F1414+BDFE!F1415-BDFE!F1358)/1000</f>
        <v>0</v>
      </c>
      <c r="G278" s="245">
        <f>(BDFE!F1615+BDFE!F1617+BDFE!F1619+BDFE!F1621+BDFE!F1623+BDFE!F1625+BDFE!F1627+BDFE!F1629+BDFE!F1631+BDFE!F1633+BDFE!F1634-BDFE!F1577)/1000</f>
        <v>0</v>
      </c>
      <c r="H278" s="245">
        <f>(BDFE!F1761+BDFE!F1763+BDFE!F1765+BDFE!F1767+BDFE!F1769+BDFE!F1771+BDFE!F1773+BDFE!F1775+BDFE!F1777+BDFE!F1779+BDFE!F1780-BDFE!F1723)/1000</f>
        <v>0</v>
      </c>
      <c r="I278" s="245">
        <f t="shared" si="57"/>
        <v>0</v>
      </c>
    </row>
    <row r="279" spans="4:9" x14ac:dyDescent="0.35">
      <c r="D279" s="235" t="s">
        <v>263</v>
      </c>
      <c r="E279" s="239">
        <f>SUM(E266:E278)</f>
        <v>0</v>
      </c>
      <c r="F279" s="239">
        <f>SUM(F266:F278)</f>
        <v>0</v>
      </c>
      <c r="G279" s="239">
        <f>SUM(G266:G278)</f>
        <v>0</v>
      </c>
      <c r="H279" s="239">
        <f>SUM(H266:H278)</f>
        <v>0</v>
      </c>
      <c r="I279" s="239">
        <f t="shared" si="57"/>
        <v>0</v>
      </c>
    </row>
    <row r="280" spans="4:9" x14ac:dyDescent="0.35">
      <c r="D280" s="236"/>
      <c r="E280" s="246"/>
      <c r="F280" s="246"/>
      <c r="G280" s="246"/>
      <c r="H280" s="246"/>
      <c r="I280" s="246"/>
    </row>
    <row r="281" spans="4:9" x14ac:dyDescent="0.35">
      <c r="D281" s="235" t="s">
        <v>264</v>
      </c>
      <c r="E281" s="247">
        <f t="shared" ref="E281:I281" si="58">E244+E254+E263+E279</f>
        <v>0</v>
      </c>
      <c r="F281" s="247">
        <f t="shared" si="58"/>
        <v>0</v>
      </c>
      <c r="G281" s="247">
        <f t="shared" si="58"/>
        <v>0</v>
      </c>
      <c r="H281" s="239">
        <f t="shared" si="58"/>
        <v>0</v>
      </c>
      <c r="I281" s="239">
        <f t="shared" si="58"/>
        <v>0</v>
      </c>
    </row>
    <row r="282" spans="4:9" x14ac:dyDescent="0.35">
      <c r="D282" s="237" t="s">
        <v>276</v>
      </c>
      <c r="E282" s="247">
        <f>BDBG!$I$1138/1000</f>
        <v>0</v>
      </c>
      <c r="F282" s="247">
        <f>BDBG!$I$1192/1000</f>
        <v>0</v>
      </c>
      <c r="G282" s="247">
        <f>BDBG!$I$1354/1000</f>
        <v>0</v>
      </c>
      <c r="H282" s="239">
        <f>BDBG!$I$1462/1000</f>
        <v>0</v>
      </c>
      <c r="I282" s="239">
        <f>SUM(E282,F282,G282,H282)</f>
        <v>0</v>
      </c>
    </row>
    <row r="283" spans="4:9" x14ac:dyDescent="0.35">
      <c r="D283" s="237" t="s">
        <v>277</v>
      </c>
      <c r="E283" s="247">
        <f t="shared" ref="E283:I283" si="59">SUM(E281:E282)</f>
        <v>0</v>
      </c>
      <c r="F283" s="247">
        <f t="shared" si="59"/>
        <v>0</v>
      </c>
      <c r="G283" s="247">
        <f t="shared" si="59"/>
        <v>0</v>
      </c>
      <c r="H283" s="247">
        <f t="shared" si="59"/>
        <v>0</v>
      </c>
      <c r="I283" s="247">
        <f t="shared" si="59"/>
        <v>0</v>
      </c>
    </row>
    <row r="289" spans="3:10" x14ac:dyDescent="0.35">
      <c r="C289" t="s">
        <v>286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5" t="s">
        <v>268</v>
      </c>
      <c r="E291" s="235" t="s">
        <v>106</v>
      </c>
      <c r="F291" s="236"/>
      <c r="G291" s="236"/>
      <c r="H291" s="236"/>
    </row>
    <row r="292" spans="3:10" x14ac:dyDescent="0.35">
      <c r="D292" s="236"/>
      <c r="E292" s="238" t="s">
        <v>290</v>
      </c>
      <c r="F292" s="238" t="s">
        <v>287</v>
      </c>
      <c r="G292" s="238" t="s">
        <v>188</v>
      </c>
      <c r="H292" s="238" t="s">
        <v>288</v>
      </c>
      <c r="I292" s="238" t="s">
        <v>289</v>
      </c>
      <c r="J292" s="238" t="s">
        <v>141</v>
      </c>
    </row>
    <row r="293" spans="3:10" x14ac:dyDescent="0.35">
      <c r="D293" s="235" t="s">
        <v>248</v>
      </c>
      <c r="E293" s="239">
        <f>(BDFE!C1807+BDFE!C1796)/1000</f>
        <v>0</v>
      </c>
      <c r="F293" s="239">
        <f>(BDFE!C1880+BDFE!C1869)/1000</f>
        <v>0</v>
      </c>
      <c r="G293" s="239">
        <f>(BDFE!C1661+BDFE!C1650)/1000</f>
        <v>0</v>
      </c>
      <c r="H293" s="239">
        <f>(BDFE!C1515+BDFE!C1504)/1000</f>
        <v>0</v>
      </c>
      <c r="I293" s="239">
        <f>(BDFE!C1442+BDFE!C1431)/1000</f>
        <v>0</v>
      </c>
      <c r="J293" s="239">
        <f>SUM(E293,F293,G293,H293,I293)</f>
        <v>0</v>
      </c>
    </row>
    <row r="294" spans="3:10" x14ac:dyDescent="0.35">
      <c r="D294" s="236"/>
      <c r="E294" s="240"/>
      <c r="F294" s="240"/>
      <c r="G294" s="240"/>
      <c r="H294" s="240"/>
      <c r="I294" s="240"/>
      <c r="J294" s="240"/>
    </row>
    <row r="295" spans="3:10" x14ac:dyDescent="0.35">
      <c r="D295" s="235" t="s">
        <v>271</v>
      </c>
      <c r="E295" s="240"/>
      <c r="F295" s="240"/>
      <c r="G295" s="240"/>
      <c r="H295" s="240"/>
      <c r="I295" s="240"/>
      <c r="J295" s="240"/>
    </row>
    <row r="296" spans="3:10" x14ac:dyDescent="0.35">
      <c r="D296" s="236" t="s">
        <v>197</v>
      </c>
      <c r="E296" s="241">
        <f>BDFE!$C$1810/1000</f>
        <v>0</v>
      </c>
      <c r="F296" s="241">
        <f>BDFE!$C$1883/1000</f>
        <v>0</v>
      </c>
      <c r="G296" s="241">
        <f>BDFE!$C$1664/1000</f>
        <v>0</v>
      </c>
      <c r="H296" s="241">
        <f>BDFE!$C$1518/1000</f>
        <v>0</v>
      </c>
      <c r="I296" s="241">
        <f>BDFE!$C$1445/1000</f>
        <v>0</v>
      </c>
      <c r="J296" s="241">
        <f>SUM(E296,F296,G296,H296,I296)</f>
        <v>0</v>
      </c>
    </row>
    <row r="297" spans="3:10" x14ac:dyDescent="0.35">
      <c r="D297" s="236" t="s">
        <v>198</v>
      </c>
      <c r="E297" s="242">
        <f>(BDFE!C1811+BDFE!C1812)/1000</f>
        <v>0</v>
      </c>
      <c r="F297" s="242">
        <f>(BDFE!C1884+BDFE!C1885)/1000</f>
        <v>0</v>
      </c>
      <c r="G297" s="242">
        <f>(BDFE!C1665+BDFE!C1666)/1000</f>
        <v>0</v>
      </c>
      <c r="H297" s="242">
        <f>(BDFE!C1519+BDFE!C1520)/1000</f>
        <v>0</v>
      </c>
      <c r="I297" s="242">
        <f>(BDFE!C1446+BDFE!C1447)/1000</f>
        <v>0</v>
      </c>
      <c r="J297" s="242">
        <f t="shared" ref="J297:J302" si="60">SUM(E297,F297,G297,H297,I297)</f>
        <v>0</v>
      </c>
    </row>
    <row r="298" spans="3:10" x14ac:dyDescent="0.35">
      <c r="D298" s="236" t="s">
        <v>199</v>
      </c>
      <c r="E298" s="242">
        <f>BDFE!$C$1813/1000</f>
        <v>0</v>
      </c>
      <c r="F298" s="242">
        <f>BDFE!$C$1886/1000</f>
        <v>0</v>
      </c>
      <c r="G298" s="242">
        <f>BDFE!$C$1667/1000</f>
        <v>0</v>
      </c>
      <c r="H298" s="242">
        <f>BDFE!$C$1521/1000</f>
        <v>0</v>
      </c>
      <c r="I298" s="242">
        <f>BDFE!$C$1448/1000</f>
        <v>0</v>
      </c>
      <c r="J298" s="242">
        <f t="shared" si="60"/>
        <v>0</v>
      </c>
    </row>
    <row r="299" spans="3:10" x14ac:dyDescent="0.35">
      <c r="D299" s="236" t="s">
        <v>200</v>
      </c>
      <c r="E299" s="242">
        <f>BDFE!$C$1815/1000</f>
        <v>0</v>
      </c>
      <c r="F299" s="242">
        <f>BDFE!$C$1888/1000</f>
        <v>0</v>
      </c>
      <c r="G299" s="242">
        <f>BDFE!$C$1669/1000</f>
        <v>0</v>
      </c>
      <c r="H299" s="242">
        <f>BDFE!$C$1523/1000</f>
        <v>0</v>
      </c>
      <c r="I299" s="242">
        <f>BDFE!$C$1450/1000</f>
        <v>0</v>
      </c>
      <c r="J299" s="242">
        <f t="shared" si="60"/>
        <v>0</v>
      </c>
    </row>
    <row r="300" spans="3:10" x14ac:dyDescent="0.35">
      <c r="D300" s="236" t="s">
        <v>223</v>
      </c>
      <c r="E300" s="242">
        <f>BDFE!$C$1816/1000</f>
        <v>0</v>
      </c>
      <c r="F300" s="242">
        <f>BDFE!$C$1889/1000</f>
        <v>0</v>
      </c>
      <c r="G300" s="242">
        <f>BDFE!$C$1670/1000</f>
        <v>0</v>
      </c>
      <c r="H300" s="242">
        <f>BDFE!$C$1524/1000</f>
        <v>0</v>
      </c>
      <c r="I300" s="242">
        <f>BDFE!$C$1451/1000</f>
        <v>0</v>
      </c>
      <c r="J300" s="242">
        <f t="shared" si="60"/>
        <v>0</v>
      </c>
    </row>
    <row r="301" spans="3:10" x14ac:dyDescent="0.35">
      <c r="D301" s="236" t="s">
        <v>249</v>
      </c>
      <c r="E301" s="242">
        <f>(BDFE!C1817+BDFE!C1818+BDFE!C1820)/1000</f>
        <v>0</v>
      </c>
      <c r="F301" s="242">
        <f>(BDFE!C1890+BDFE!C1891+BDFE!C1893)/1000</f>
        <v>0</v>
      </c>
      <c r="G301" s="242">
        <f>(BDFE!C1671+BDFE!C1672+BDFE!C1674)/1000</f>
        <v>0</v>
      </c>
      <c r="H301" s="242">
        <f>(BDFE!C1525+BDFE!C1526+BDFE!C1528)/1000</f>
        <v>0</v>
      </c>
      <c r="I301" s="242">
        <f>(BDFE!C1452+BDFE!C1453+BDFE!C1455)/1000</f>
        <v>0</v>
      </c>
      <c r="J301" s="242">
        <f t="shared" si="60"/>
        <v>0</v>
      </c>
    </row>
    <row r="302" spans="3:10" x14ac:dyDescent="0.35">
      <c r="D302" s="236" t="s">
        <v>250</v>
      </c>
      <c r="E302" s="242">
        <f>(BDFE!C1819+BDFE!C1821)/1000</f>
        <v>0</v>
      </c>
      <c r="F302" s="242">
        <f>(BDFE!C1892+BDFE!C1894)/1000</f>
        <v>0</v>
      </c>
      <c r="G302" s="242">
        <f>(BDFE!C1673+BDFE!C1675)/1000</f>
        <v>0</v>
      </c>
      <c r="H302" s="242">
        <f>(BDFE!C1527+BDFE!C1529)/1000</f>
        <v>0</v>
      </c>
      <c r="I302" s="242">
        <f>(BDFE!C1454+BDFE!C1456)/1000</f>
        <v>0</v>
      </c>
      <c r="J302" s="242">
        <f t="shared" si="60"/>
        <v>0</v>
      </c>
    </row>
    <row r="303" spans="3:10" x14ac:dyDescent="0.35">
      <c r="D303" s="235" t="s">
        <v>271</v>
      </c>
      <c r="E303" s="239">
        <f t="shared" ref="E303:J303" si="61">SUM(E296:E302)</f>
        <v>0</v>
      </c>
      <c r="F303" s="239">
        <f t="shared" si="61"/>
        <v>0</v>
      </c>
      <c r="G303" s="239">
        <f t="shared" si="61"/>
        <v>0</v>
      </c>
      <c r="H303" s="239">
        <f t="shared" si="61"/>
        <v>0</v>
      </c>
      <c r="I303" s="239">
        <f t="shared" si="61"/>
        <v>0</v>
      </c>
      <c r="J303" s="239">
        <f t="shared" si="61"/>
        <v>0</v>
      </c>
    </row>
    <row r="304" spans="3:10" x14ac:dyDescent="0.35">
      <c r="D304" s="236"/>
      <c r="E304" s="243"/>
      <c r="F304" s="243"/>
      <c r="G304" s="243"/>
      <c r="H304" s="243"/>
      <c r="I304" s="243"/>
      <c r="J304" s="243"/>
    </row>
    <row r="305" spans="4:10" x14ac:dyDescent="0.35">
      <c r="D305" s="235" t="s">
        <v>251</v>
      </c>
      <c r="E305" s="240"/>
      <c r="F305" s="240"/>
      <c r="G305" s="240"/>
      <c r="H305" s="240"/>
      <c r="I305" s="240"/>
      <c r="J305" s="240"/>
    </row>
    <row r="306" spans="4:10" x14ac:dyDescent="0.35">
      <c r="D306" s="236" t="s">
        <v>252</v>
      </c>
      <c r="E306" s="241">
        <f>BDFE!$C$1824/1000</f>
        <v>0</v>
      </c>
      <c r="F306" s="241">
        <f>BDFE!$C$1897/1000</f>
        <v>0</v>
      </c>
      <c r="G306" s="241">
        <f>BDFE!$C$1678/1000</f>
        <v>0</v>
      </c>
      <c r="H306" s="241">
        <f>BDFE!$C$1532/1000</f>
        <v>0</v>
      </c>
      <c r="I306" s="241">
        <f>BDFE!$C$1459/1000</f>
        <v>0</v>
      </c>
      <c r="J306" s="241">
        <f t="shared" ref="J306:J311" si="62">SUM(E306,F306,G306,H306,I306)</f>
        <v>0</v>
      </c>
    </row>
    <row r="307" spans="4:10" x14ac:dyDescent="0.35">
      <c r="D307" s="236" t="s">
        <v>253</v>
      </c>
      <c r="E307" s="242">
        <f>BDFE!$C$1825/1000</f>
        <v>0</v>
      </c>
      <c r="F307" s="242">
        <f>BDFE!$C$1898/1000</f>
        <v>0</v>
      </c>
      <c r="G307" s="242">
        <f>BDFE!$C$1679/1000</f>
        <v>0</v>
      </c>
      <c r="H307" s="242">
        <f>BDFE!$C$1533/1000</f>
        <v>0</v>
      </c>
      <c r="I307" s="242">
        <f>BDFE!$C$1460/1000</f>
        <v>0</v>
      </c>
      <c r="J307" s="242">
        <f t="shared" si="62"/>
        <v>0</v>
      </c>
    </row>
    <row r="308" spans="4:10" x14ac:dyDescent="0.35">
      <c r="D308" s="236" t="s">
        <v>238</v>
      </c>
      <c r="E308" s="242">
        <f>BDFE!$C$1826/1000</f>
        <v>0</v>
      </c>
      <c r="F308" s="242">
        <f>BDFE!$C$1899/1000</f>
        <v>0</v>
      </c>
      <c r="G308" s="242">
        <f>BDFE!$C$1680/1000</f>
        <v>0</v>
      </c>
      <c r="H308" s="242">
        <f>BDFE!$C$1534/1000</f>
        <v>0</v>
      </c>
      <c r="I308" s="242">
        <f>BDFE!$C$1461/1000</f>
        <v>0</v>
      </c>
      <c r="J308" s="242">
        <f t="shared" si="62"/>
        <v>0</v>
      </c>
    </row>
    <row r="309" spans="4:10" hidden="1" x14ac:dyDescent="0.35">
      <c r="D309" s="236" t="s">
        <v>254</v>
      </c>
      <c r="E309" s="242">
        <f>BDFE!$C$1827/1000</f>
        <v>0</v>
      </c>
      <c r="F309" s="242">
        <f>BDFE!$C$1900/1000</f>
        <v>0</v>
      </c>
      <c r="G309" s="242">
        <f>BDFE!$C$1681/1000</f>
        <v>0</v>
      </c>
      <c r="H309" s="242">
        <f>BDFE!$C$1535/1000</f>
        <v>0</v>
      </c>
      <c r="I309" s="242">
        <f>BDFE!$C$1462/1000</f>
        <v>0</v>
      </c>
      <c r="J309" s="242">
        <f t="shared" si="62"/>
        <v>0</v>
      </c>
    </row>
    <row r="310" spans="4:10" hidden="1" x14ac:dyDescent="0.35">
      <c r="D310" s="236" t="s">
        <v>272</v>
      </c>
      <c r="E310" s="242">
        <f>(BDFE!C1828+BDFE!C1829)/1000</f>
        <v>0</v>
      </c>
      <c r="F310" s="242">
        <f>(BDFE!C1901+BDFE!C1902)/1000</f>
        <v>0</v>
      </c>
      <c r="G310" s="242">
        <f>(BDFE!C1682+BDFE!C1683)/1000</f>
        <v>0</v>
      </c>
      <c r="H310" s="242">
        <f>(BDFE!C1536+BDFE!C1537)/1000</f>
        <v>0</v>
      </c>
      <c r="I310" s="242">
        <f>(BDFE!C1463+BDFE!C1464)/1000</f>
        <v>0</v>
      </c>
      <c r="J310" s="242">
        <f t="shared" si="62"/>
        <v>0</v>
      </c>
    </row>
    <row r="311" spans="4:10" x14ac:dyDescent="0.35">
      <c r="D311" s="236" t="s">
        <v>255</v>
      </c>
      <c r="E311" s="242">
        <f>BDFE!$C$1830/1000</f>
        <v>0</v>
      </c>
      <c r="F311" s="242">
        <f>BDFE!$C$1903/1000</f>
        <v>0</v>
      </c>
      <c r="G311" s="242">
        <f>BDFE!$C$1684/1000</f>
        <v>0</v>
      </c>
      <c r="H311" s="245">
        <f>BDFE!$C$1538/1000</f>
        <v>0</v>
      </c>
      <c r="I311" s="245">
        <f>BDFE!$C$1465/1000</f>
        <v>0</v>
      </c>
      <c r="J311" s="245">
        <f t="shared" si="62"/>
        <v>0</v>
      </c>
    </row>
    <row r="312" spans="4:10" x14ac:dyDescent="0.35">
      <c r="D312" s="235" t="s">
        <v>256</v>
      </c>
      <c r="E312" s="239">
        <f t="shared" ref="E312:J312" si="63">SUM(E306:E311)</f>
        <v>0</v>
      </c>
      <c r="F312" s="239">
        <f t="shared" si="63"/>
        <v>0</v>
      </c>
      <c r="G312" s="239">
        <f t="shared" si="63"/>
        <v>0</v>
      </c>
      <c r="H312" s="239">
        <f t="shared" si="63"/>
        <v>0</v>
      </c>
      <c r="I312" s="239">
        <f t="shared" si="63"/>
        <v>0</v>
      </c>
      <c r="J312" s="239">
        <f t="shared" si="63"/>
        <v>0</v>
      </c>
    </row>
    <row r="313" spans="4:10" x14ac:dyDescent="0.35">
      <c r="D313" s="235"/>
      <c r="E313" s="244"/>
      <c r="F313" s="244"/>
      <c r="G313" s="244"/>
      <c r="H313" s="243"/>
      <c r="I313" s="243"/>
      <c r="J313" s="243"/>
    </row>
    <row r="314" spans="4:10" x14ac:dyDescent="0.35">
      <c r="D314" s="235" t="s">
        <v>257</v>
      </c>
      <c r="E314" s="240"/>
      <c r="F314" s="240"/>
      <c r="G314" s="240"/>
      <c r="H314" s="240"/>
      <c r="I314" s="240"/>
      <c r="J314" s="240"/>
    </row>
    <row r="315" spans="4:10" x14ac:dyDescent="0.35">
      <c r="D315" s="236" t="s">
        <v>205</v>
      </c>
      <c r="E315" s="241">
        <f>BDFE!$C$1833/1000</f>
        <v>0</v>
      </c>
      <c r="F315" s="241">
        <f>BDFE!$C$1906/1000</f>
        <v>0</v>
      </c>
      <c r="G315" s="241">
        <f>BDFE!$C$1687/1000</f>
        <v>0</v>
      </c>
      <c r="H315" s="241">
        <f>BDFE!$C$1541/1000</f>
        <v>0</v>
      </c>
      <c r="I315" s="241">
        <f>BDFE!$C$1468/1000</f>
        <v>0</v>
      </c>
      <c r="J315" s="241">
        <f t="shared" ref="J315:J327" si="64">SUM(E315,F315,G315,H315,I315)</f>
        <v>0</v>
      </c>
    </row>
    <row r="316" spans="4:10" x14ac:dyDescent="0.35">
      <c r="D316" s="236" t="s">
        <v>209</v>
      </c>
      <c r="E316" s="242">
        <f>BDFE!$C$1835/1000</f>
        <v>0</v>
      </c>
      <c r="F316" s="242">
        <f>BDFE!$C$1908/1000</f>
        <v>0</v>
      </c>
      <c r="G316" s="242">
        <f>BDFE!$C$1689/1000</f>
        <v>0</v>
      </c>
      <c r="H316" s="242">
        <f>BDFE!$C$1543/1000</f>
        <v>0</v>
      </c>
      <c r="I316" s="242">
        <f>BDFE!$C$1470/1000</f>
        <v>0</v>
      </c>
      <c r="J316" s="242">
        <f t="shared" si="64"/>
        <v>0</v>
      </c>
    </row>
    <row r="317" spans="4:10" x14ac:dyDescent="0.35">
      <c r="D317" s="236" t="s">
        <v>208</v>
      </c>
      <c r="E317" s="242">
        <f>BDFE!$C$1837/1000</f>
        <v>0</v>
      </c>
      <c r="F317" s="242">
        <f>BDFE!$C$1910/1000</f>
        <v>0</v>
      </c>
      <c r="G317" s="242">
        <f>BDFE!$C$1691/1000</f>
        <v>0</v>
      </c>
      <c r="H317" s="242">
        <f>BDFE!$C$1545/1000</f>
        <v>0</v>
      </c>
      <c r="I317" s="242">
        <f>BDFE!$C$1472/1000</f>
        <v>0</v>
      </c>
      <c r="J317" s="242">
        <f t="shared" si="64"/>
        <v>0</v>
      </c>
    </row>
    <row r="318" spans="4:10" x14ac:dyDescent="0.35">
      <c r="D318" s="236" t="s">
        <v>207</v>
      </c>
      <c r="E318" s="242">
        <f>BDFE!$C$1839/1000</f>
        <v>0</v>
      </c>
      <c r="F318" s="242">
        <f>BDFE!$C$1912/1000</f>
        <v>0</v>
      </c>
      <c r="G318" s="242">
        <f>BDFE!$C$1693/1000</f>
        <v>0</v>
      </c>
      <c r="H318" s="242">
        <f>BDFE!$C$1547/1000</f>
        <v>0</v>
      </c>
      <c r="I318" s="242">
        <f>BDFE!$C$1474/1000</f>
        <v>0</v>
      </c>
      <c r="J318" s="242">
        <f t="shared" si="64"/>
        <v>0</v>
      </c>
    </row>
    <row r="319" spans="4:10" x14ac:dyDescent="0.35">
      <c r="D319" s="236" t="s">
        <v>258</v>
      </c>
      <c r="E319" s="242">
        <f>BDFE!$C$1841/1000</f>
        <v>0</v>
      </c>
      <c r="F319" s="242">
        <f>BDFE!$C$1914/1000</f>
        <v>0</v>
      </c>
      <c r="G319" s="242">
        <f>BDFE!$C$1695/1000</f>
        <v>0</v>
      </c>
      <c r="H319" s="242">
        <f>BDFE!$C$1549/1000</f>
        <v>0</v>
      </c>
      <c r="I319" s="242">
        <f>BDFE!$C$1476/1000</f>
        <v>0</v>
      </c>
      <c r="J319" s="242">
        <f t="shared" si="64"/>
        <v>0</v>
      </c>
    </row>
    <row r="320" spans="4:10" x14ac:dyDescent="0.35">
      <c r="D320" s="236" t="s">
        <v>273</v>
      </c>
      <c r="E320" s="242">
        <f>BDFE!$C$1843/1000</f>
        <v>0</v>
      </c>
      <c r="F320" s="242">
        <f>BDFE!$C$1916/1000</f>
        <v>0</v>
      </c>
      <c r="G320" s="242">
        <f>BDFE!$C$1697/1000</f>
        <v>0</v>
      </c>
      <c r="H320" s="242">
        <f>BDFE!$C$1551/1000</f>
        <v>0</v>
      </c>
      <c r="I320" s="242">
        <f>BDFE!$C$1478/1000</f>
        <v>0</v>
      </c>
      <c r="J320" s="242">
        <f t="shared" si="64"/>
        <v>0</v>
      </c>
    </row>
    <row r="321" spans="4:10" x14ac:dyDescent="0.35">
      <c r="D321" s="236" t="s">
        <v>274</v>
      </c>
      <c r="E321" s="242">
        <f>BDFE!$C$1845/1000</f>
        <v>0</v>
      </c>
      <c r="F321" s="242">
        <f>BDFE!$C$1918/1000</f>
        <v>0</v>
      </c>
      <c r="G321" s="242">
        <f>BDFE!$C$1699/1000</f>
        <v>0</v>
      </c>
      <c r="H321" s="242">
        <f>BDFE!$C$1553/1000</f>
        <v>0</v>
      </c>
      <c r="I321" s="242">
        <f>BDFE!$C$1480/1000</f>
        <v>0</v>
      </c>
      <c r="J321" s="242">
        <f t="shared" si="64"/>
        <v>0</v>
      </c>
    </row>
    <row r="322" spans="4:10" x14ac:dyDescent="0.35">
      <c r="D322" s="236" t="s">
        <v>275</v>
      </c>
      <c r="E322" s="242">
        <f>BDFE!$C$1847/1000</f>
        <v>0</v>
      </c>
      <c r="F322" s="242">
        <f>BDFE!$C$1920/1000</f>
        <v>0</v>
      </c>
      <c r="G322" s="242">
        <f>BDFE!$C$1701/1000</f>
        <v>0</v>
      </c>
      <c r="H322" s="242">
        <f>BDFE!$C$1555/1000</f>
        <v>0</v>
      </c>
      <c r="I322" s="242">
        <f>BDFE!$C$1482/1000</f>
        <v>0</v>
      </c>
      <c r="J322" s="242">
        <f t="shared" si="64"/>
        <v>0</v>
      </c>
    </row>
    <row r="323" spans="4:10" x14ac:dyDescent="0.35">
      <c r="D323" s="236" t="s">
        <v>259</v>
      </c>
      <c r="E323" s="242">
        <f>BDFE!$C$1849/1000</f>
        <v>0</v>
      </c>
      <c r="F323" s="242">
        <f>BDFE!$C$1922/1000</f>
        <v>0</v>
      </c>
      <c r="G323" s="242">
        <f>BDFE!$C$1703/1000</f>
        <v>0</v>
      </c>
      <c r="H323" s="242">
        <f>BDFE!$C$1557/1000</f>
        <v>0</v>
      </c>
      <c r="I323" s="242">
        <f>BDFE!$C$1484/1000</f>
        <v>0</v>
      </c>
      <c r="J323" s="242">
        <f t="shared" si="64"/>
        <v>0</v>
      </c>
    </row>
    <row r="324" spans="4:10" x14ac:dyDescent="0.35">
      <c r="D324" s="236" t="s">
        <v>260</v>
      </c>
      <c r="E324" s="242">
        <f>BDFE!$C$1851/1000</f>
        <v>0</v>
      </c>
      <c r="F324" s="242">
        <f>BDFE!$C$1924/1000</f>
        <v>0</v>
      </c>
      <c r="G324" s="242">
        <f>BDFE!$C$1705/1000</f>
        <v>0</v>
      </c>
      <c r="H324" s="242">
        <f>BDFE!$C$1559/1000</f>
        <v>0</v>
      </c>
      <c r="I324" s="242">
        <f>BDFE!$C$1486/1000</f>
        <v>0</v>
      </c>
      <c r="J324" s="242">
        <f t="shared" si="64"/>
        <v>0</v>
      </c>
    </row>
    <row r="325" spans="4:10" hidden="1" x14ac:dyDescent="0.35">
      <c r="D325" s="236" t="s">
        <v>261</v>
      </c>
      <c r="E325" s="242">
        <f>BDFE!$C$1854/1000</f>
        <v>0</v>
      </c>
      <c r="F325" s="242">
        <f>BDFE!$C$1927/1000</f>
        <v>0</v>
      </c>
      <c r="G325" s="242">
        <f>BDFE!$C$1708/1000</f>
        <v>0</v>
      </c>
      <c r="H325" s="242">
        <f>BDFE!$C$1562/1000</f>
        <v>0</v>
      </c>
      <c r="I325" s="242">
        <f>BDFE!$C$1489/1000</f>
        <v>0</v>
      </c>
      <c r="J325" s="242">
        <f t="shared" si="64"/>
        <v>0</v>
      </c>
    </row>
    <row r="326" spans="4:10" hidden="1" x14ac:dyDescent="0.35">
      <c r="D326" s="236" t="s">
        <v>262</v>
      </c>
      <c r="E326" s="242">
        <f>BDFE!$C$1855/1000</f>
        <v>0</v>
      </c>
      <c r="F326" s="242">
        <f>BDFE!$C$1928/1000</f>
        <v>0</v>
      </c>
      <c r="G326" s="242">
        <f>BDFE!$C$1709/1000</f>
        <v>0</v>
      </c>
      <c r="H326" s="242">
        <f>BDFE!$C$1563/1000</f>
        <v>0</v>
      </c>
      <c r="I326" s="242">
        <f>BDFE!$C$1490/1000</f>
        <v>0</v>
      </c>
      <c r="J326" s="242">
        <f t="shared" si="64"/>
        <v>0</v>
      </c>
    </row>
    <row r="327" spans="4:10" x14ac:dyDescent="0.35">
      <c r="D327" s="236" t="s">
        <v>10</v>
      </c>
      <c r="E327" s="245">
        <f>(BDFE!C1834+BDFE!C1836+BDFE!C1838+BDFE!C1840+BDFE!C1842+BDFE!C1844+BDFE!C1846+BDFE!C1848+BDFE!C1850+BDFE!C1852-BDFE!C1796)/1000</f>
        <v>0</v>
      </c>
      <c r="F327" s="245">
        <f>(BDFE!C1907+BDFE!C1909+BDFE!C1911+BDFE!C1913+BDFE!C1915+BDFE!C1917+BDFE!C1919+BDFE!C1921+BDFE!C1923+BDFE!C1925-BDFE!C1869)/1000</f>
        <v>0</v>
      </c>
      <c r="G327" s="245">
        <f>(BDFE!C1688+BDFE!C1690+BDFE!C1692+BDFE!C1694+BDFE!C1696+BDFE!C1698+BDFE!C1700+BDFE!C1702+BDFE!C1704+BDFE!C1706-BDFE!C1650)/1000</f>
        <v>0</v>
      </c>
      <c r="H327" s="245">
        <f>(BDFE!C1542+BDFE!C1544+BDFE!C1546+BDFE!C1548+BDFE!C1550+BDFE!C1552+BDFE!C1554+BDFE!C1556+BDFE!C1558+BDFE!C1560-BDFE!C1504)/1000</f>
        <v>0</v>
      </c>
      <c r="I327" s="245">
        <f>(BDFE!C1469+BDFE!C1471+BDFE!C1473+BDFE!C1475+BDFE!C1477+BDFE!C1479+BDFE!C1481+BDFE!C1483+BDFE!C1485+BDFE!C1487-BDFE!C1431)/1000</f>
        <v>0</v>
      </c>
      <c r="J327" s="245">
        <f t="shared" si="64"/>
        <v>0</v>
      </c>
    </row>
    <row r="328" spans="4:10" x14ac:dyDescent="0.35">
      <c r="D328" s="235" t="s">
        <v>263</v>
      </c>
      <c r="E328" s="239">
        <f t="shared" ref="E328:J328" si="65">SUM(E315:E327)</f>
        <v>0</v>
      </c>
      <c r="F328" s="239">
        <f t="shared" si="65"/>
        <v>0</v>
      </c>
      <c r="G328" s="239">
        <f t="shared" si="65"/>
        <v>0</v>
      </c>
      <c r="H328" s="239">
        <f t="shared" si="65"/>
        <v>0</v>
      </c>
      <c r="I328" s="239">
        <f t="shared" si="65"/>
        <v>0</v>
      </c>
      <c r="J328" s="239">
        <f t="shared" si="65"/>
        <v>0</v>
      </c>
    </row>
    <row r="329" spans="4:10" x14ac:dyDescent="0.35">
      <c r="D329" s="236"/>
      <c r="E329" s="246"/>
      <c r="F329" s="246"/>
      <c r="G329" s="246"/>
      <c r="H329" s="249"/>
      <c r="I329" s="249"/>
      <c r="J329" s="249"/>
    </row>
    <row r="330" spans="4:10" x14ac:dyDescent="0.35">
      <c r="D330" s="235" t="s">
        <v>264</v>
      </c>
      <c r="E330" s="247">
        <f t="shared" ref="E330:J330" si="66">E293+E303+E312+E328</f>
        <v>0</v>
      </c>
      <c r="F330" s="247">
        <f t="shared" si="66"/>
        <v>0</v>
      </c>
      <c r="G330" s="247">
        <f t="shared" si="66"/>
        <v>0</v>
      </c>
      <c r="H330" s="239">
        <f t="shared" si="66"/>
        <v>0</v>
      </c>
      <c r="I330" s="239">
        <f t="shared" si="66"/>
        <v>0</v>
      </c>
      <c r="J330" s="239">
        <f t="shared" si="66"/>
        <v>0</v>
      </c>
    </row>
    <row r="331" spans="4:10" x14ac:dyDescent="0.35">
      <c r="D331" s="237" t="s">
        <v>276</v>
      </c>
      <c r="E331" s="247">
        <f>BDBG!$H$1516/1000</f>
        <v>0</v>
      </c>
      <c r="F331" s="247">
        <f>BDBG!$H$1570/1000</f>
        <v>0</v>
      </c>
      <c r="G331" s="247">
        <f>BDBG!$H$1408/1000</f>
        <v>0</v>
      </c>
      <c r="H331" s="239">
        <f>BDBG!$H$1300/1000</f>
        <v>0</v>
      </c>
      <c r="I331" s="239">
        <f>BDBG!$H$1246/1000</f>
        <v>0</v>
      </c>
      <c r="J331" s="239">
        <f>SUM(E331,F331,G331,H331,I331)</f>
        <v>0</v>
      </c>
    </row>
    <row r="332" spans="4:10" x14ac:dyDescent="0.35">
      <c r="D332" s="237" t="s">
        <v>277</v>
      </c>
      <c r="E332" s="247">
        <f t="shared" ref="E332:J332" si="67">E330+E331</f>
        <v>0</v>
      </c>
      <c r="F332" s="247">
        <f t="shared" si="67"/>
        <v>0</v>
      </c>
      <c r="G332" s="247">
        <f t="shared" si="67"/>
        <v>0</v>
      </c>
      <c r="H332" s="247">
        <f t="shared" si="67"/>
        <v>0</v>
      </c>
      <c r="I332" s="247">
        <f t="shared" si="67"/>
        <v>0</v>
      </c>
      <c r="J332" s="247">
        <f t="shared" si="67"/>
        <v>0</v>
      </c>
    </row>
    <row r="334" spans="4:10" x14ac:dyDescent="0.35">
      <c r="H334" s="253"/>
      <c r="I334" s="253"/>
    </row>
    <row r="339" spans="4:10" x14ac:dyDescent="0.35">
      <c r="D339" s="250"/>
      <c r="E339" s="235" t="s">
        <v>278</v>
      </c>
      <c r="F339" s="236"/>
      <c r="G339" s="236"/>
      <c r="H339" s="236"/>
      <c r="I339" s="236"/>
    </row>
    <row r="340" spans="4:10" x14ac:dyDescent="0.35">
      <c r="D340" s="251" t="s">
        <v>279</v>
      </c>
      <c r="E340" s="238" t="s">
        <v>290</v>
      </c>
      <c r="F340" s="238" t="s">
        <v>287</v>
      </c>
      <c r="G340" s="238" t="s">
        <v>188</v>
      </c>
      <c r="H340" s="238" t="s">
        <v>288</v>
      </c>
      <c r="I340" s="238" t="s">
        <v>289</v>
      </c>
      <c r="J340" s="238" t="s">
        <v>141</v>
      </c>
    </row>
    <row r="341" spans="4:10" x14ac:dyDescent="0.35">
      <c r="D341" s="235" t="s">
        <v>248</v>
      </c>
      <c r="E341" s="239">
        <f>(BDFE!F1807+BDFE!F1796)/1000</f>
        <v>0</v>
      </c>
      <c r="F341" s="239">
        <f>(BDFE!F1880+BDFE!F1869)/1000</f>
        <v>0</v>
      </c>
      <c r="G341" s="239">
        <f>(BDFE!F1661+BDFE!F1650)/1000</f>
        <v>0</v>
      </c>
      <c r="H341" s="239">
        <f>(BDFE!F1515+BDFE!F1504)/1000</f>
        <v>0</v>
      </c>
      <c r="I341" s="239">
        <f>(BDFE!F1442+BDFE!F1431)/1000</f>
        <v>0</v>
      </c>
      <c r="J341" s="239">
        <f>SUM(E341,F341,G341,H341,I341)</f>
        <v>0</v>
      </c>
    </row>
    <row r="342" spans="4:10" x14ac:dyDescent="0.35">
      <c r="D342" s="236"/>
      <c r="E342" s="240"/>
      <c r="F342" s="240"/>
      <c r="G342" s="240"/>
      <c r="H342" s="240"/>
      <c r="I342" s="240"/>
      <c r="J342" s="240"/>
    </row>
    <row r="343" spans="4:10" x14ac:dyDescent="0.35">
      <c r="D343" s="235" t="s">
        <v>271</v>
      </c>
      <c r="E343" s="240"/>
      <c r="F343" s="240"/>
      <c r="G343" s="240"/>
      <c r="H343" s="240"/>
      <c r="I343" s="240"/>
      <c r="J343" s="240"/>
    </row>
    <row r="344" spans="4:10" x14ac:dyDescent="0.35">
      <c r="D344" s="236" t="s">
        <v>197</v>
      </c>
      <c r="E344" s="241">
        <f>BDFE!$F$1810/1000</f>
        <v>0</v>
      </c>
      <c r="F344" s="241">
        <f>BDFE!$F$1883/1000</f>
        <v>0</v>
      </c>
      <c r="G344" s="241">
        <f>BDFE!$F$1664/1000</f>
        <v>0</v>
      </c>
      <c r="H344" s="241">
        <f>BDFE!$F$1518/1000</f>
        <v>0</v>
      </c>
      <c r="I344" s="241">
        <f>BDFE!$F$1445/1000</f>
        <v>0</v>
      </c>
      <c r="J344" s="241">
        <f t="shared" ref="J344:J350" si="68">SUM(E344,F344,G344,H344,I344)</f>
        <v>0</v>
      </c>
    </row>
    <row r="345" spans="4:10" x14ac:dyDescent="0.35">
      <c r="D345" s="236" t="s">
        <v>198</v>
      </c>
      <c r="E345" s="242">
        <f>(BDFE!F1811+BDFE!F1812)/1000</f>
        <v>0</v>
      </c>
      <c r="F345" s="242">
        <f>(BDFE!F1884+BDFE!F1885)/1000</f>
        <v>0</v>
      </c>
      <c r="G345" s="242">
        <f>(BDFE!F1665+BDFE!F1666)/1000</f>
        <v>0</v>
      </c>
      <c r="H345" s="242">
        <f>(BDFE!F1519+BDFE!F1520)/1000</f>
        <v>0</v>
      </c>
      <c r="I345" s="242">
        <f>(BDFE!F1446+BDFE!F1447)/1000</f>
        <v>0</v>
      </c>
      <c r="J345" s="242">
        <f t="shared" si="68"/>
        <v>0</v>
      </c>
    </row>
    <row r="346" spans="4:10" x14ac:dyDescent="0.35">
      <c r="D346" s="236" t="s">
        <v>199</v>
      </c>
      <c r="E346" s="242">
        <f>BDFE!$F$1813/1000</f>
        <v>0</v>
      </c>
      <c r="F346" s="242">
        <f>BDFE!$F$1886/1000</f>
        <v>0</v>
      </c>
      <c r="G346" s="242">
        <f>BDFE!$F$1667/1000</f>
        <v>0</v>
      </c>
      <c r="H346" s="242">
        <f>BDFE!$F$1521/1000</f>
        <v>0</v>
      </c>
      <c r="I346" s="242">
        <f>BDFE!$F$1448/1000</f>
        <v>0</v>
      </c>
      <c r="J346" s="242">
        <f t="shared" si="68"/>
        <v>0</v>
      </c>
    </row>
    <row r="347" spans="4:10" x14ac:dyDescent="0.35">
      <c r="D347" s="236" t="s">
        <v>200</v>
      </c>
      <c r="E347" s="242">
        <f>BDFE!$F$1815/1000</f>
        <v>0</v>
      </c>
      <c r="F347" s="242">
        <f>BDFE!$F$1888/1000</f>
        <v>0</v>
      </c>
      <c r="G347" s="242">
        <f>BDFE!$F$1669/1000</f>
        <v>0</v>
      </c>
      <c r="H347" s="242">
        <f>BDFE!$F$1523/1000</f>
        <v>0</v>
      </c>
      <c r="I347" s="242">
        <f>BDFE!$F$1450/1000</f>
        <v>0</v>
      </c>
      <c r="J347" s="242">
        <f t="shared" si="68"/>
        <v>0</v>
      </c>
    </row>
    <row r="348" spans="4:10" x14ac:dyDescent="0.35">
      <c r="D348" s="236" t="s">
        <v>223</v>
      </c>
      <c r="E348" s="242">
        <f>BDFE!$F$1816/1000</f>
        <v>0</v>
      </c>
      <c r="F348" s="242">
        <f>BDFE!$F$1889/1000</f>
        <v>0</v>
      </c>
      <c r="G348" s="242">
        <f>BDFE!$F$1670/1000</f>
        <v>0</v>
      </c>
      <c r="H348" s="242">
        <f>BDFE!$F$1524/1000</f>
        <v>0</v>
      </c>
      <c r="I348" s="242">
        <f>BDFE!$F$1451/1000</f>
        <v>0</v>
      </c>
      <c r="J348" s="242">
        <f t="shared" si="68"/>
        <v>0</v>
      </c>
    </row>
    <row r="349" spans="4:10" x14ac:dyDescent="0.35">
      <c r="D349" s="236" t="s">
        <v>249</v>
      </c>
      <c r="E349" s="242">
        <f>(BDFE!F1817+BDFE!F1818+BDFE!F1820)/1000</f>
        <v>0</v>
      </c>
      <c r="F349" s="242">
        <f>(BDFE!F1890+BDFE!F1891+BDFE!F1893)/1000</f>
        <v>0</v>
      </c>
      <c r="G349" s="242">
        <f>(BDFE!F1671+BDFE!F1672+BDFE!F1674)/1000</f>
        <v>0</v>
      </c>
      <c r="H349" s="242">
        <f>(BDFE!F1525+BDFE!F1526+BDFE!F1528)/1000</f>
        <v>0</v>
      </c>
      <c r="I349" s="242">
        <f>(BDFE!F1452+BDFE!F1453+BDFE!F1455)/1000</f>
        <v>0</v>
      </c>
      <c r="J349" s="242">
        <f t="shared" si="68"/>
        <v>0</v>
      </c>
    </row>
    <row r="350" spans="4:10" x14ac:dyDescent="0.35">
      <c r="D350" s="236" t="s">
        <v>250</v>
      </c>
      <c r="E350" s="242">
        <f>(BDFE!F1819+BDFE!F1821)/1000</f>
        <v>0</v>
      </c>
      <c r="F350" s="242">
        <f>(BDFE!F1892+BDFE!F1894)/1000</f>
        <v>0</v>
      </c>
      <c r="G350" s="242">
        <f>(BDFE!F1673+BDFE!F1675)/1000</f>
        <v>0</v>
      </c>
      <c r="H350" s="242">
        <f>(BDFE!F1527+BDFE!F1529)/1000</f>
        <v>0</v>
      </c>
      <c r="I350" s="242">
        <f>(BDFE!F1454+BDFE!F1456)/1000</f>
        <v>0</v>
      </c>
      <c r="J350" s="242">
        <f t="shared" si="68"/>
        <v>0</v>
      </c>
    </row>
    <row r="351" spans="4:10" x14ac:dyDescent="0.35">
      <c r="D351" s="235" t="s">
        <v>271</v>
      </c>
      <c r="E351" s="239">
        <f t="shared" ref="E351:J351" si="69">SUM(E344:E350)</f>
        <v>0</v>
      </c>
      <c r="F351" s="239">
        <f t="shared" si="69"/>
        <v>0</v>
      </c>
      <c r="G351" s="239">
        <f t="shared" si="69"/>
        <v>0</v>
      </c>
      <c r="H351" s="239">
        <f t="shared" si="69"/>
        <v>0</v>
      </c>
      <c r="I351" s="239">
        <f t="shared" si="69"/>
        <v>0</v>
      </c>
      <c r="J351" s="239">
        <f t="shared" si="69"/>
        <v>0</v>
      </c>
    </row>
    <row r="352" spans="4:10" x14ac:dyDescent="0.35">
      <c r="D352" s="236"/>
      <c r="E352" s="243"/>
      <c r="F352" s="243"/>
      <c r="G352" s="243"/>
      <c r="H352" s="243"/>
      <c r="I352" s="243"/>
      <c r="J352" s="243"/>
    </row>
    <row r="353" spans="4:10" x14ac:dyDescent="0.35">
      <c r="D353" s="235" t="s">
        <v>251</v>
      </c>
      <c r="E353" s="240"/>
      <c r="F353" s="240"/>
      <c r="G353" s="240"/>
      <c r="H353" s="240"/>
      <c r="I353" s="240"/>
      <c r="J353" s="240"/>
    </row>
    <row r="354" spans="4:10" x14ac:dyDescent="0.35">
      <c r="D354" s="236" t="s">
        <v>252</v>
      </c>
      <c r="E354" s="241">
        <f>BDFE!$F$1824/1000</f>
        <v>0</v>
      </c>
      <c r="F354" s="241">
        <f>BDFE!$F$1897/1000</f>
        <v>0</v>
      </c>
      <c r="G354" s="241">
        <f>BDFE!$F$1678/1000</f>
        <v>0</v>
      </c>
      <c r="H354" s="241">
        <f>BDFE!$F$1532/1000</f>
        <v>0</v>
      </c>
      <c r="I354" s="241">
        <f>BDFE!$F$1459/1000</f>
        <v>0</v>
      </c>
      <c r="J354" s="241">
        <f t="shared" ref="J354:J359" si="70">SUM(E354,F354,G354,H354,I354)</f>
        <v>0</v>
      </c>
    </row>
    <row r="355" spans="4:10" x14ac:dyDescent="0.35">
      <c r="D355" s="236" t="s">
        <v>253</v>
      </c>
      <c r="E355" s="242">
        <f>BDFE!$F$1825/1000</f>
        <v>0</v>
      </c>
      <c r="F355" s="242">
        <f>BDFE!$F$1898/1000</f>
        <v>0</v>
      </c>
      <c r="G355" s="242">
        <f>BDFE!$F$1679/1000</f>
        <v>0</v>
      </c>
      <c r="H355" s="242">
        <f>BDFE!$F$1533/1000</f>
        <v>0</v>
      </c>
      <c r="I355" s="242">
        <f>BDFE!$F$1460/1000</f>
        <v>0</v>
      </c>
      <c r="J355" s="242">
        <f t="shared" si="70"/>
        <v>0</v>
      </c>
    </row>
    <row r="356" spans="4:10" x14ac:dyDescent="0.35">
      <c r="D356" s="236" t="s">
        <v>238</v>
      </c>
      <c r="E356" s="242">
        <f>BDFE!$F$1826/1000</f>
        <v>0</v>
      </c>
      <c r="F356" s="242">
        <f>BDFE!$F$1899/1000</f>
        <v>0</v>
      </c>
      <c r="G356" s="242">
        <f>BDFE!$F$1680/1000</f>
        <v>0</v>
      </c>
      <c r="H356" s="242">
        <f>BDFE!$F$1534/1000</f>
        <v>0</v>
      </c>
      <c r="I356" s="242">
        <f>BDFE!$F$1461/1000</f>
        <v>0</v>
      </c>
      <c r="J356" s="242">
        <f t="shared" si="70"/>
        <v>0</v>
      </c>
    </row>
    <row r="357" spans="4:10" hidden="1" x14ac:dyDescent="0.35">
      <c r="D357" s="236" t="s">
        <v>254</v>
      </c>
      <c r="E357" s="242">
        <f>BDFE!$F$1827/1000</f>
        <v>0</v>
      </c>
      <c r="F357" s="242">
        <f>BDFE!$F$1900/1000</f>
        <v>0</v>
      </c>
      <c r="G357" s="242">
        <f>BDFE!$F$1681/1000</f>
        <v>0</v>
      </c>
      <c r="H357" s="242">
        <f>BDFE!$F$1535/1000</f>
        <v>0</v>
      </c>
      <c r="I357" s="242">
        <f>BDFE!$F$1462/1000</f>
        <v>0</v>
      </c>
      <c r="J357" s="242">
        <f t="shared" si="70"/>
        <v>0</v>
      </c>
    </row>
    <row r="358" spans="4:10" hidden="1" x14ac:dyDescent="0.35">
      <c r="D358" s="236" t="s">
        <v>272</v>
      </c>
      <c r="E358" s="242">
        <f>(BDFE!F1828+BDFE!F1829)/1000</f>
        <v>0</v>
      </c>
      <c r="F358" s="242">
        <f>(BDFE!F1901+BDFE!F1902)/1000</f>
        <v>0</v>
      </c>
      <c r="G358" s="242">
        <f>(BDFE!F1682+BDFE!F1683)/1000</f>
        <v>0</v>
      </c>
      <c r="H358" s="242">
        <f>(BDFE!F1536+BDFE!F1537)/1000</f>
        <v>0</v>
      </c>
      <c r="I358" s="242">
        <f>(BDFE!F1463+BDFE!F1464)/1000</f>
        <v>0</v>
      </c>
      <c r="J358" s="242">
        <f t="shared" si="70"/>
        <v>0</v>
      </c>
    </row>
    <row r="359" spans="4:10" x14ac:dyDescent="0.35">
      <c r="D359" s="236" t="s">
        <v>255</v>
      </c>
      <c r="E359" s="242">
        <f>BDFE!$F$1830/1000</f>
        <v>0</v>
      </c>
      <c r="F359" s="242">
        <f>BDFE!$F$1903/1000</f>
        <v>0</v>
      </c>
      <c r="G359" s="242">
        <f>BDFE!$F$1684/1000</f>
        <v>0</v>
      </c>
      <c r="H359" s="245">
        <f>BDFE!$F$1538/1000</f>
        <v>0</v>
      </c>
      <c r="I359" s="245">
        <f>BDFE!$F$1465/1000</f>
        <v>0</v>
      </c>
      <c r="J359" s="245">
        <f t="shared" si="70"/>
        <v>0</v>
      </c>
    </row>
    <row r="360" spans="4:10" x14ac:dyDescent="0.35">
      <c r="D360" s="235" t="s">
        <v>256</v>
      </c>
      <c r="E360" s="239">
        <f t="shared" ref="E360:J360" si="71">SUM(E354:E359)</f>
        <v>0</v>
      </c>
      <c r="F360" s="239">
        <f t="shared" si="71"/>
        <v>0</v>
      </c>
      <c r="G360" s="239">
        <f t="shared" si="71"/>
        <v>0</v>
      </c>
      <c r="H360" s="239">
        <f t="shared" si="71"/>
        <v>0</v>
      </c>
      <c r="I360" s="239">
        <f t="shared" si="71"/>
        <v>0</v>
      </c>
      <c r="J360" s="239">
        <f t="shared" si="71"/>
        <v>0</v>
      </c>
    </row>
    <row r="361" spans="4:10" x14ac:dyDescent="0.35">
      <c r="D361" s="235"/>
      <c r="E361" s="244"/>
      <c r="F361" s="244"/>
      <c r="G361" s="244"/>
      <c r="H361" s="243"/>
      <c r="I361" s="243"/>
      <c r="J361" s="243"/>
    </row>
    <row r="362" spans="4:10" x14ac:dyDescent="0.35">
      <c r="D362" s="235" t="s">
        <v>257</v>
      </c>
      <c r="E362" s="240"/>
      <c r="F362" s="240"/>
      <c r="G362" s="240"/>
      <c r="H362" s="240"/>
      <c r="I362" s="240"/>
      <c r="J362" s="240"/>
    </row>
    <row r="363" spans="4:10" x14ac:dyDescent="0.35">
      <c r="D363" s="236" t="s">
        <v>205</v>
      </c>
      <c r="E363" s="241">
        <f>BDFE!$F$1833/1000</f>
        <v>0</v>
      </c>
      <c r="F363" s="241">
        <f>BDFE!$F$1906/1000</f>
        <v>0</v>
      </c>
      <c r="G363" s="241">
        <f>BDFE!$F$1687/1000</f>
        <v>0</v>
      </c>
      <c r="H363" s="241">
        <f>BDFE!$F$1541/1000</f>
        <v>0</v>
      </c>
      <c r="I363" s="241">
        <f>BDFE!$F$1468/1000</f>
        <v>0</v>
      </c>
      <c r="J363" s="241">
        <f t="shared" ref="J363:J375" si="72">SUM(E363,F363,G363,H363,I363)</f>
        <v>0</v>
      </c>
    </row>
    <row r="364" spans="4:10" x14ac:dyDescent="0.35">
      <c r="D364" s="236" t="s">
        <v>209</v>
      </c>
      <c r="E364" s="242">
        <f>BDFE!$F$1835/1000</f>
        <v>0</v>
      </c>
      <c r="F364" s="242">
        <f>BDFE!$F$1908/1000</f>
        <v>0</v>
      </c>
      <c r="G364" s="242">
        <f>BDFE!$F$1689/1000</f>
        <v>0</v>
      </c>
      <c r="H364" s="242">
        <f>BDFE!$F$1543/1000</f>
        <v>0</v>
      </c>
      <c r="I364" s="242">
        <f>BDFE!$F$1470/1000</f>
        <v>0</v>
      </c>
      <c r="J364" s="242">
        <f t="shared" si="72"/>
        <v>0</v>
      </c>
    </row>
    <row r="365" spans="4:10" x14ac:dyDescent="0.35">
      <c r="D365" s="236" t="s">
        <v>208</v>
      </c>
      <c r="E365" s="242">
        <f>BDFE!$F$1837/1000</f>
        <v>0</v>
      </c>
      <c r="F365" s="242">
        <f>BDFE!$F$1910/1000</f>
        <v>0</v>
      </c>
      <c r="G365" s="242">
        <f>BDFE!$F$1691/1000</f>
        <v>0</v>
      </c>
      <c r="H365" s="242">
        <f>BDFE!$F$1545/1000</f>
        <v>0</v>
      </c>
      <c r="I365" s="242">
        <f>BDFE!$F$1472/1000</f>
        <v>0</v>
      </c>
      <c r="J365" s="242">
        <f t="shared" si="72"/>
        <v>0</v>
      </c>
    </row>
    <row r="366" spans="4:10" x14ac:dyDescent="0.35">
      <c r="D366" s="236" t="s">
        <v>207</v>
      </c>
      <c r="E366" s="242">
        <f>BDFE!$F$1839/1000</f>
        <v>0</v>
      </c>
      <c r="F366" s="242">
        <f>BDFE!$F$1912/1000</f>
        <v>0</v>
      </c>
      <c r="G366" s="242">
        <f>BDFE!$F$1693/1000</f>
        <v>0</v>
      </c>
      <c r="H366" s="242">
        <f>BDFE!$F$1547/1000</f>
        <v>0</v>
      </c>
      <c r="I366" s="242">
        <f>BDFE!$F$1474/1000</f>
        <v>0</v>
      </c>
      <c r="J366" s="242">
        <f t="shared" si="72"/>
        <v>0</v>
      </c>
    </row>
    <row r="367" spans="4:10" x14ac:dyDescent="0.35">
      <c r="D367" s="236" t="s">
        <v>258</v>
      </c>
      <c r="E367" s="242">
        <f>BDFE!$F$1841/1000</f>
        <v>0</v>
      </c>
      <c r="F367" s="242">
        <f>BDFE!$F$1914/1000</f>
        <v>0</v>
      </c>
      <c r="G367" s="242">
        <f>BDFE!$F$1695/1000</f>
        <v>0</v>
      </c>
      <c r="H367" s="242">
        <f>BDFE!$F$1549/1000</f>
        <v>0</v>
      </c>
      <c r="I367" s="242">
        <f>BDFE!$F$1476/1000</f>
        <v>0</v>
      </c>
      <c r="J367" s="242">
        <f t="shared" si="72"/>
        <v>0</v>
      </c>
    </row>
    <row r="368" spans="4:10" x14ac:dyDescent="0.35">
      <c r="D368" s="236" t="s">
        <v>273</v>
      </c>
      <c r="E368" s="242">
        <f>BDFE!$F$1843/1000</f>
        <v>0</v>
      </c>
      <c r="F368" s="242">
        <f>BDFE!$F$1916/1000</f>
        <v>0</v>
      </c>
      <c r="G368" s="242">
        <f>BDFE!$F$1697/1000</f>
        <v>0</v>
      </c>
      <c r="H368" s="242">
        <f>BDFE!$F$1551/1000</f>
        <v>0</v>
      </c>
      <c r="I368" s="242">
        <f>BDFE!$F$1478/1000</f>
        <v>0</v>
      </c>
      <c r="J368" s="242">
        <f t="shared" si="72"/>
        <v>0</v>
      </c>
    </row>
    <row r="369" spans="4:10" x14ac:dyDescent="0.35">
      <c r="D369" s="236" t="s">
        <v>274</v>
      </c>
      <c r="E369" s="242">
        <f>BDFE!$F$1845/1000</f>
        <v>0</v>
      </c>
      <c r="F369" s="242">
        <f>BDFE!$F$1918/1000</f>
        <v>0</v>
      </c>
      <c r="G369" s="242">
        <f>BDFE!$F$1699/1000</f>
        <v>0</v>
      </c>
      <c r="H369" s="242">
        <f>BDFE!$F$1553/1000</f>
        <v>0</v>
      </c>
      <c r="I369" s="242">
        <f>BDFE!$F$1480/1000</f>
        <v>0</v>
      </c>
      <c r="J369" s="242">
        <f t="shared" si="72"/>
        <v>0</v>
      </c>
    </row>
    <row r="370" spans="4:10" x14ac:dyDescent="0.35">
      <c r="D370" s="236" t="s">
        <v>275</v>
      </c>
      <c r="E370" s="242">
        <f>BDFE!$F$1847/1000</f>
        <v>0</v>
      </c>
      <c r="F370" s="242">
        <f>BDFE!$F$1920/1000</f>
        <v>0</v>
      </c>
      <c r="G370" s="242">
        <f>BDFE!$F$1701/1000</f>
        <v>0</v>
      </c>
      <c r="H370" s="242">
        <f>BDFE!$F$1555/1000</f>
        <v>0</v>
      </c>
      <c r="I370" s="242">
        <f>BDFE!$F$1482/1000</f>
        <v>0</v>
      </c>
      <c r="J370" s="242">
        <f t="shared" si="72"/>
        <v>0</v>
      </c>
    </row>
    <row r="371" spans="4:10" x14ac:dyDescent="0.35">
      <c r="D371" s="236" t="s">
        <v>259</v>
      </c>
      <c r="E371" s="242">
        <f>BDFE!$F$1849/1000</f>
        <v>0</v>
      </c>
      <c r="F371" s="242">
        <f>BDFE!$F$1922/1000</f>
        <v>0</v>
      </c>
      <c r="G371" s="242">
        <f>BDFE!$F$1703/1000</f>
        <v>0</v>
      </c>
      <c r="H371" s="242">
        <f>BDFE!$F$1557/1000</f>
        <v>0</v>
      </c>
      <c r="I371" s="242">
        <f>BDFE!$F$1484/1000</f>
        <v>0</v>
      </c>
      <c r="J371" s="242">
        <f t="shared" si="72"/>
        <v>0</v>
      </c>
    </row>
    <row r="372" spans="4:10" x14ac:dyDescent="0.35">
      <c r="D372" s="236" t="s">
        <v>260</v>
      </c>
      <c r="E372" s="242">
        <f>BDFE!$F$1851/1000</f>
        <v>0</v>
      </c>
      <c r="F372" s="242">
        <f>BDFE!$F$1924/1000</f>
        <v>0</v>
      </c>
      <c r="G372" s="242">
        <f>BDFE!$F$1705/1000</f>
        <v>0</v>
      </c>
      <c r="H372" s="242">
        <f>BDFE!$F$1559/1000</f>
        <v>0</v>
      </c>
      <c r="I372" s="242">
        <f>BDFE!$F$1486/1000</f>
        <v>0</v>
      </c>
      <c r="J372" s="242">
        <f t="shared" si="72"/>
        <v>0</v>
      </c>
    </row>
    <row r="373" spans="4:10" hidden="1" x14ac:dyDescent="0.35">
      <c r="D373" s="236" t="s">
        <v>261</v>
      </c>
      <c r="E373" s="242">
        <f>BDFE!$F$1854/1000</f>
        <v>0</v>
      </c>
      <c r="F373" s="242">
        <f>BDFE!$F$1927/1000</f>
        <v>0</v>
      </c>
      <c r="G373" s="242">
        <f>BDFE!$F$1708/1000</f>
        <v>0</v>
      </c>
      <c r="H373" s="242">
        <f>BDFE!$F$1562/1000</f>
        <v>0</v>
      </c>
      <c r="I373" s="242">
        <f>BDFE!$F$1489/1000</f>
        <v>0</v>
      </c>
      <c r="J373" s="242">
        <f t="shared" si="72"/>
        <v>0</v>
      </c>
    </row>
    <row r="374" spans="4:10" hidden="1" x14ac:dyDescent="0.35">
      <c r="D374" s="236" t="s">
        <v>262</v>
      </c>
      <c r="E374" s="242">
        <f>BDFE!$F$1855/1000</f>
        <v>0</v>
      </c>
      <c r="F374" s="242">
        <f>BDFE!$F$1928/1000</f>
        <v>0</v>
      </c>
      <c r="G374" s="242">
        <f>BDFE!$F$1709/1000</f>
        <v>0</v>
      </c>
      <c r="H374" s="242">
        <f>BDFE!$F$1563/1000</f>
        <v>0</v>
      </c>
      <c r="I374" s="242">
        <f>BDFE!$F$1490/1000</f>
        <v>0</v>
      </c>
      <c r="J374" s="242">
        <f t="shared" si="72"/>
        <v>0</v>
      </c>
    </row>
    <row r="375" spans="4:10" x14ac:dyDescent="0.35">
      <c r="D375" s="236" t="s">
        <v>10</v>
      </c>
      <c r="E375" s="245">
        <f>(BDFE!F1834+BDFE!F1836+BDFE!F1838+BDFE!F1840+BDFE!F1842+BDFE!F1844+BDFE!F1846+BDFE!F1848+BDFE!F1850+BDFE!F1852-BDFE!F1796)/1000</f>
        <v>0</v>
      </c>
      <c r="F375" s="245">
        <f>(BDFE!F1907+BDFE!F1909+BDFE!F1911+BDFE!F1913+BDFE!F1915+BDFE!F1917+BDFE!F1919+BDFE!F1921+BDFE!F1923+BDFE!F1925-BDFE!F1869)/1000</f>
        <v>0</v>
      </c>
      <c r="G375" s="245">
        <f>(BDFE!F1688+BDFE!F1690+BDFE!F1692+BDFE!F1694+BDFE!F1696+BDFE!F1698+BDFE!F1700+BDFE!F1702+BDFE!F1704+BDFE!F1706-BDFE!F1650)/1000</f>
        <v>0</v>
      </c>
      <c r="H375" s="245">
        <f>(BDFE!F1542+BDFE!F1544+BDFE!F1546+BDFE!F1548+BDFE!F1550+BDFE!F1552+BDFE!F1554+BDFE!F1556+BDFE!F1558+BDFE!F1560-BDFE!F1504)/1000</f>
        <v>0</v>
      </c>
      <c r="I375" s="245">
        <f>(BDFE!F1469+BDFE!F1471+BDFE!F1473+BDFE!F1475+BDFE!F1477+BDFE!F1479+BDFE!F1481+BDFE!F1483+BDFE!F1485+BDFE!F1487-BDFE!F1431)/1000</f>
        <v>0</v>
      </c>
      <c r="J375" s="245">
        <f t="shared" si="72"/>
        <v>0</v>
      </c>
    </row>
    <row r="376" spans="4:10" x14ac:dyDescent="0.35">
      <c r="D376" s="235" t="s">
        <v>263</v>
      </c>
      <c r="E376" s="239">
        <f t="shared" ref="E376:J376" si="73">SUM(E363:E375)</f>
        <v>0</v>
      </c>
      <c r="F376" s="239">
        <f t="shared" si="73"/>
        <v>0</v>
      </c>
      <c r="G376" s="239">
        <f t="shared" si="73"/>
        <v>0</v>
      </c>
      <c r="H376" s="239">
        <f t="shared" si="73"/>
        <v>0</v>
      </c>
      <c r="I376" s="239">
        <f t="shared" si="73"/>
        <v>0</v>
      </c>
      <c r="J376" s="239">
        <f t="shared" si="73"/>
        <v>0</v>
      </c>
    </row>
    <row r="377" spans="4:10" x14ac:dyDescent="0.35">
      <c r="D377" s="236"/>
      <c r="E377" s="246"/>
      <c r="F377" s="246"/>
      <c r="G377" s="246"/>
      <c r="H377" s="249"/>
      <c r="I377" s="249"/>
      <c r="J377" s="249"/>
    </row>
    <row r="378" spans="4:10" x14ac:dyDescent="0.35">
      <c r="D378" s="235" t="s">
        <v>264</v>
      </c>
      <c r="E378" s="247">
        <f t="shared" ref="E378:J378" si="74">E341+E351+E360+E376</f>
        <v>0</v>
      </c>
      <c r="F378" s="247">
        <f t="shared" si="74"/>
        <v>0</v>
      </c>
      <c r="G378" s="247">
        <f t="shared" si="74"/>
        <v>0</v>
      </c>
      <c r="H378" s="239">
        <f t="shared" si="74"/>
        <v>0</v>
      </c>
      <c r="I378" s="239">
        <f t="shared" si="74"/>
        <v>0</v>
      </c>
      <c r="J378" s="239">
        <f t="shared" si="74"/>
        <v>0</v>
      </c>
    </row>
    <row r="379" spans="4:10" x14ac:dyDescent="0.35">
      <c r="D379" s="237" t="s">
        <v>276</v>
      </c>
      <c r="E379" s="247">
        <f>BDBG!$I$1516/1000</f>
        <v>0</v>
      </c>
      <c r="F379" s="247">
        <f>BDBG!$I$1570/1000</f>
        <v>0</v>
      </c>
      <c r="G379" s="247">
        <f>BDBG!$I$1408/1000</f>
        <v>0</v>
      </c>
      <c r="H379" s="239">
        <f>BDBG!$I$1300/1000</f>
        <v>0</v>
      </c>
      <c r="I379" s="239">
        <f>BDBG!$I$1246/1000</f>
        <v>0</v>
      </c>
      <c r="J379" s="239">
        <f>SUM(E379,F379,G379,H379,I379)</f>
        <v>0</v>
      </c>
    </row>
    <row r="380" spans="4:10" x14ac:dyDescent="0.35">
      <c r="D380" s="237" t="s">
        <v>277</v>
      </c>
      <c r="E380" s="247">
        <f t="shared" ref="E380:J380" si="75">E378+E379</f>
        <v>0</v>
      </c>
      <c r="F380" s="247">
        <f t="shared" si="75"/>
        <v>0</v>
      </c>
      <c r="G380" s="247">
        <f t="shared" si="75"/>
        <v>0</v>
      </c>
      <c r="H380" s="247">
        <f t="shared" si="75"/>
        <v>0</v>
      </c>
      <c r="I380" s="247">
        <f t="shared" si="75"/>
        <v>0</v>
      </c>
      <c r="J380" s="247">
        <f t="shared" si="75"/>
        <v>0</v>
      </c>
    </row>
    <row r="387" spans="3:10" x14ac:dyDescent="0.35">
      <c r="C387" t="s">
        <v>291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5"/>
      <c r="E388" s="238" t="s">
        <v>106</v>
      </c>
      <c r="F388" s="256"/>
      <c r="G388" s="256"/>
      <c r="H388" s="256"/>
      <c r="I388" s="256"/>
      <c r="J388" s="256"/>
    </row>
    <row r="389" spans="3:10" x14ac:dyDescent="0.35">
      <c r="D389" s="255"/>
      <c r="E389" s="238" t="s">
        <v>153</v>
      </c>
      <c r="F389" s="235" t="s">
        <v>154</v>
      </c>
      <c r="G389" s="235" t="s">
        <v>155</v>
      </c>
      <c r="H389" s="238" t="s">
        <v>293</v>
      </c>
      <c r="I389" s="238" t="s">
        <v>159</v>
      </c>
      <c r="J389" s="238" t="s">
        <v>270</v>
      </c>
    </row>
    <row r="390" spans="3:10" x14ac:dyDescent="0.35">
      <c r="D390" s="235" t="s">
        <v>248</v>
      </c>
      <c r="E390" s="239">
        <f>(BDFE!C728+BDFE!C717)/1000+ajustes!L15</f>
        <v>0</v>
      </c>
      <c r="F390" s="239">
        <f>(BDFE!C801+BDFE!C790)/1000+ajustes!M15</f>
        <v>0</v>
      </c>
      <c r="G390" s="239">
        <f>(BDFE!C947+BDFE!C936)/1000+ajustes!N15</f>
        <v>0</v>
      </c>
      <c r="H390" s="239">
        <f>(BDFE!C874+BDFE!C863)/1000+ajustes!O15</f>
        <v>0</v>
      </c>
      <c r="I390" s="239">
        <f>(BDFE!C1020+BDFE!C1009)/1000+ajustes!R15</f>
        <v>0</v>
      </c>
      <c r="J390" s="239">
        <f>SUM(E390,F390,G390,H390,I390)</f>
        <v>0</v>
      </c>
    </row>
    <row r="391" spans="3:10" x14ac:dyDescent="0.35">
      <c r="D391" s="236"/>
      <c r="E391" s="240"/>
      <c r="F391" s="240"/>
      <c r="G391" s="240"/>
      <c r="H391" s="240"/>
      <c r="I391" s="240"/>
      <c r="J391" s="240"/>
    </row>
    <row r="392" spans="3:10" x14ac:dyDescent="0.35">
      <c r="D392" s="235" t="s">
        <v>271</v>
      </c>
      <c r="E392" s="240"/>
      <c r="F392" s="240"/>
      <c r="G392" s="240"/>
      <c r="H392" s="240"/>
      <c r="I392" s="240"/>
      <c r="J392" s="240"/>
    </row>
    <row r="393" spans="3:10" x14ac:dyDescent="0.35">
      <c r="D393" s="236" t="s">
        <v>197</v>
      </c>
      <c r="E393" s="257">
        <f>BDFE!$C$731/1000</f>
        <v>0</v>
      </c>
      <c r="F393" s="257">
        <f>BDFE!$C$804/1000</f>
        <v>0</v>
      </c>
      <c r="G393" s="257">
        <f>BDFE!$C$950/1000</f>
        <v>0</v>
      </c>
      <c r="H393" s="257">
        <f>BDFE!$C$877/1000</f>
        <v>0</v>
      </c>
      <c r="I393" s="257">
        <f>BDFE!$C$1023/1000</f>
        <v>0</v>
      </c>
      <c r="J393" s="257">
        <f t="shared" ref="J393:J399" si="76">SUM(E393,F393,G393,H393,I393)</f>
        <v>0</v>
      </c>
    </row>
    <row r="394" spans="3:10" x14ac:dyDescent="0.35">
      <c r="D394" s="236" t="s">
        <v>198</v>
      </c>
      <c r="E394" s="258">
        <f>(BDFE!C732+BDFE!C733)/1000</f>
        <v>0</v>
      </c>
      <c r="F394" s="258">
        <f>(BDFE!C805+BDFE!C806)/1000</f>
        <v>0</v>
      </c>
      <c r="G394" s="258">
        <f>(BDFE!C951+BDFE!C952)/1000</f>
        <v>0</v>
      </c>
      <c r="H394" s="258">
        <f>(BDFE!C878+BDFE!C879)/1000</f>
        <v>0</v>
      </c>
      <c r="I394" s="258">
        <f>(BDFE!C1024+BDFE!C1025)/1000</f>
        <v>0</v>
      </c>
      <c r="J394" s="258">
        <f t="shared" si="76"/>
        <v>0</v>
      </c>
    </row>
    <row r="395" spans="3:10" x14ac:dyDescent="0.35">
      <c r="D395" s="236" t="s">
        <v>199</v>
      </c>
      <c r="E395" s="258">
        <f>BDFE!$C$734/1000</f>
        <v>0</v>
      </c>
      <c r="F395" s="258">
        <f>BDFE!$C$807/1000</f>
        <v>0</v>
      </c>
      <c r="G395" s="258">
        <f>BDFE!$C$953/1000</f>
        <v>0</v>
      </c>
      <c r="H395" s="258">
        <f>BDFE!$C$880/1000</f>
        <v>0</v>
      </c>
      <c r="I395" s="258">
        <f>BDFE!$C$1026/1000</f>
        <v>0</v>
      </c>
      <c r="J395" s="258">
        <f t="shared" si="76"/>
        <v>0</v>
      </c>
    </row>
    <row r="396" spans="3:10" x14ac:dyDescent="0.35">
      <c r="D396" s="236" t="s">
        <v>200</v>
      </c>
      <c r="E396" s="258">
        <f>(BDFE!C735+BDFE!C736)/1000</f>
        <v>0</v>
      </c>
      <c r="F396" s="258">
        <f>(BDFE!C808+BDFE!C809)/1000</f>
        <v>0</v>
      </c>
      <c r="G396" s="258">
        <f>(BDFE!C954+BDFE!C955)/1000</f>
        <v>0</v>
      </c>
      <c r="H396" s="258">
        <f>(BDFE!C881+BDFE!C882)/1000</f>
        <v>0</v>
      </c>
      <c r="I396" s="258">
        <f>(BDFE!C1027+BDFE!C1028)/1000</f>
        <v>0</v>
      </c>
      <c r="J396" s="258">
        <f t="shared" si="76"/>
        <v>0</v>
      </c>
    </row>
    <row r="397" spans="3:10" x14ac:dyDescent="0.35">
      <c r="D397" s="236" t="s">
        <v>223</v>
      </c>
      <c r="E397" s="258">
        <f>BDFE!$C$737/1000</f>
        <v>0</v>
      </c>
      <c r="F397" s="258">
        <f>BDFE!$C$810/1000</f>
        <v>0</v>
      </c>
      <c r="G397" s="258">
        <f>BDFE!$C$956/1000</f>
        <v>0</v>
      </c>
      <c r="H397" s="258">
        <f>BDFE!$C$883/1000</f>
        <v>0</v>
      </c>
      <c r="I397" s="258">
        <f>BDFE!$C$1029/1000</f>
        <v>0</v>
      </c>
      <c r="J397" s="258">
        <f t="shared" si="76"/>
        <v>0</v>
      </c>
    </row>
    <row r="398" spans="3:10" x14ac:dyDescent="0.35">
      <c r="D398" s="236" t="s">
        <v>249</v>
      </c>
      <c r="E398" s="258">
        <f>(BDFE!C738+BDFE!C739)/1000</f>
        <v>0</v>
      </c>
      <c r="F398" s="258">
        <f>(BDFE!C811+BDFE!C812)/1000</f>
        <v>0</v>
      </c>
      <c r="G398" s="258">
        <f>(BDFE!C957+BDFE!C958)/1000</f>
        <v>0</v>
      </c>
      <c r="H398" s="258">
        <f>(BDFE!C884+BDFE!C885)/1000</f>
        <v>0</v>
      </c>
      <c r="I398" s="258">
        <f>(BDFE!C1030+BDFE!C1031)/1000</f>
        <v>0</v>
      </c>
      <c r="J398" s="258">
        <f t="shared" si="76"/>
        <v>0</v>
      </c>
    </row>
    <row r="399" spans="3:10" x14ac:dyDescent="0.35">
      <c r="D399" s="236" t="s">
        <v>250</v>
      </c>
      <c r="E399" s="258">
        <f>(BDFE!C740+BDFE!C741+BDFE!C742)/1000</f>
        <v>0</v>
      </c>
      <c r="F399" s="258">
        <f>(BDFE!C813+BDFE!C814+BDFE!C815)/1000</f>
        <v>0</v>
      </c>
      <c r="G399" s="258">
        <f>(BDFE!C959+BDFE!C960+BDFE!C961)/1000</f>
        <v>0</v>
      </c>
      <c r="H399" s="258">
        <f>(BDFE!C886+BDFE!C887+BDFE!C888)/1000</f>
        <v>0</v>
      </c>
      <c r="I399" s="258">
        <f>(BDFE!C1032+BDFE!C1033+BDFE!C1034)/1000</f>
        <v>0</v>
      </c>
      <c r="J399" s="258">
        <f t="shared" si="76"/>
        <v>0</v>
      </c>
    </row>
    <row r="400" spans="3:10" x14ac:dyDescent="0.35">
      <c r="D400" s="235" t="s">
        <v>271</v>
      </c>
      <c r="E400" s="259">
        <f t="shared" ref="E400:J400" si="77">SUM(E393:E399)</f>
        <v>0</v>
      </c>
      <c r="F400" s="259">
        <f t="shared" si="77"/>
        <v>0</v>
      </c>
      <c r="G400" s="259">
        <f t="shared" si="77"/>
        <v>0</v>
      </c>
      <c r="H400" s="259">
        <f t="shared" si="77"/>
        <v>0</v>
      </c>
      <c r="I400" s="259">
        <f t="shared" si="77"/>
        <v>0</v>
      </c>
      <c r="J400" s="259">
        <f t="shared" si="77"/>
        <v>0</v>
      </c>
    </row>
    <row r="401" spans="4:10" x14ac:dyDescent="0.35">
      <c r="D401" s="236"/>
      <c r="E401" s="243"/>
      <c r="F401" s="243"/>
      <c r="G401" s="243"/>
      <c r="H401" s="243"/>
      <c r="I401" s="243"/>
      <c r="J401" s="243"/>
    </row>
    <row r="402" spans="4:10" x14ac:dyDescent="0.35">
      <c r="D402" s="235" t="s">
        <v>251</v>
      </c>
      <c r="E402" s="240"/>
      <c r="F402" s="240"/>
      <c r="G402" s="240"/>
      <c r="H402" s="240"/>
      <c r="I402" s="240"/>
      <c r="J402" s="240"/>
    </row>
    <row r="403" spans="4:10" x14ac:dyDescent="0.35">
      <c r="D403" s="236" t="s">
        <v>252</v>
      </c>
      <c r="E403" s="241">
        <f>BDFE!$C$745/1000</f>
        <v>0</v>
      </c>
      <c r="F403" s="241">
        <f>BDFE!$C$818/1000</f>
        <v>0</v>
      </c>
      <c r="G403" s="241">
        <f>BDFE!$C$964/1000</f>
        <v>0</v>
      </c>
      <c r="H403" s="241">
        <f>BDFE!$C$891/1000</f>
        <v>0</v>
      </c>
      <c r="I403" s="241">
        <f>BDFE!$C$1037/1000</f>
        <v>0</v>
      </c>
      <c r="J403" s="241">
        <f t="shared" ref="J403:J408" si="78">SUM(E403,F403,G403,H403,I403)</f>
        <v>0</v>
      </c>
    </row>
    <row r="404" spans="4:10" x14ac:dyDescent="0.35">
      <c r="D404" s="236" t="s">
        <v>253</v>
      </c>
      <c r="E404" s="242">
        <f>BDFE!$C$746/1000</f>
        <v>0</v>
      </c>
      <c r="F404" s="242">
        <f>BDFE!$C$819/1000</f>
        <v>0</v>
      </c>
      <c r="G404" s="242">
        <f>BDFE!$C$965/1000</f>
        <v>0</v>
      </c>
      <c r="H404" s="242">
        <f>BDFE!$C$892/1000</f>
        <v>0</v>
      </c>
      <c r="I404" s="242">
        <f>BDFE!$C$1038/1000</f>
        <v>0</v>
      </c>
      <c r="J404" s="242">
        <f t="shared" si="78"/>
        <v>0</v>
      </c>
    </row>
    <row r="405" spans="4:10" x14ac:dyDescent="0.35">
      <c r="D405" s="236" t="s">
        <v>238</v>
      </c>
      <c r="E405" s="242">
        <f>BDFE!$C$747/1000</f>
        <v>0</v>
      </c>
      <c r="F405" s="242">
        <f>BDFE!$C$820/1000</f>
        <v>0</v>
      </c>
      <c r="G405" s="242">
        <f>BDFE!$C$966/1000</f>
        <v>0</v>
      </c>
      <c r="H405" s="242">
        <f>BDFE!$C$893/1000</f>
        <v>0</v>
      </c>
      <c r="I405" s="242">
        <f>BDFE!$C$1039/1000</f>
        <v>0</v>
      </c>
      <c r="J405" s="242">
        <f t="shared" si="78"/>
        <v>0</v>
      </c>
    </row>
    <row r="406" spans="4:10" x14ac:dyDescent="0.35">
      <c r="D406" s="236" t="s">
        <v>254</v>
      </c>
      <c r="E406" s="242">
        <f>BDFE!$C$748/1000</f>
        <v>0</v>
      </c>
      <c r="F406" s="242">
        <f>BDFE!$C$821/1000</f>
        <v>0</v>
      </c>
      <c r="G406" s="242">
        <f>BDFE!$C$967/1000</f>
        <v>0</v>
      </c>
      <c r="H406" s="242">
        <f>BDFE!$C$894/1000</f>
        <v>0</v>
      </c>
      <c r="I406" s="242">
        <f>BDFE!$C$1040/1000</f>
        <v>0</v>
      </c>
      <c r="J406" s="242">
        <f t="shared" si="78"/>
        <v>0</v>
      </c>
    </row>
    <row r="407" spans="4:10" x14ac:dyDescent="0.35">
      <c r="D407" s="236" t="s">
        <v>272</v>
      </c>
      <c r="E407" s="242">
        <f>(BDFE!C749+BDFE!C750)/1000</f>
        <v>0</v>
      </c>
      <c r="F407" s="242">
        <f>(BDFE!C822+BDFE!C823)/1000</f>
        <v>0</v>
      </c>
      <c r="G407" s="242">
        <f>(BDFE!C968+BDFE!C969)/1000</f>
        <v>0</v>
      </c>
      <c r="H407" s="242">
        <f>(BDFE!C895+BDFE!C896)/1000</f>
        <v>0</v>
      </c>
      <c r="I407" s="242">
        <f>(BDFE!C1041+BDFE!C1042)/1000</f>
        <v>0</v>
      </c>
      <c r="J407" s="242">
        <f t="shared" si="78"/>
        <v>0</v>
      </c>
    </row>
    <row r="408" spans="4:10" x14ac:dyDescent="0.35">
      <c r="D408" s="236" t="s">
        <v>255</v>
      </c>
      <c r="E408" s="242">
        <f>BDFE!$C$751/1000</f>
        <v>0</v>
      </c>
      <c r="F408" s="242">
        <f>BDFE!$C$824/1000</f>
        <v>0</v>
      </c>
      <c r="G408" s="242">
        <f>BDFE!$C$970/1000</f>
        <v>0</v>
      </c>
      <c r="H408" s="242">
        <f>BDFE!$C$897/1000</f>
        <v>0</v>
      </c>
      <c r="I408" s="242">
        <f>BDFE!$C$1043/1000</f>
        <v>0</v>
      </c>
      <c r="J408" s="242">
        <f t="shared" si="78"/>
        <v>0</v>
      </c>
    </row>
    <row r="409" spans="4:10" x14ac:dyDescent="0.35">
      <c r="D409" s="235" t="s">
        <v>256</v>
      </c>
      <c r="E409" s="239">
        <f t="shared" ref="E409:J409" si="79">SUM(E403:E408)</f>
        <v>0</v>
      </c>
      <c r="F409" s="239">
        <f t="shared" si="79"/>
        <v>0</v>
      </c>
      <c r="G409" s="239">
        <f t="shared" si="79"/>
        <v>0</v>
      </c>
      <c r="H409" s="239">
        <f t="shared" si="79"/>
        <v>0</v>
      </c>
      <c r="I409" s="239">
        <f t="shared" si="79"/>
        <v>0</v>
      </c>
      <c r="J409" s="239">
        <f t="shared" si="79"/>
        <v>0</v>
      </c>
    </row>
    <row r="410" spans="4:10" x14ac:dyDescent="0.35">
      <c r="D410" s="235"/>
      <c r="E410" s="244"/>
      <c r="F410" s="244"/>
      <c r="G410" s="244"/>
      <c r="H410" s="244"/>
      <c r="I410" s="244"/>
      <c r="J410" s="244"/>
    </row>
    <row r="411" spans="4:10" x14ac:dyDescent="0.35">
      <c r="D411" s="235" t="s">
        <v>257</v>
      </c>
      <c r="E411" s="240"/>
      <c r="F411" s="240"/>
      <c r="G411" s="240"/>
      <c r="H411" s="240"/>
      <c r="I411" s="240"/>
      <c r="J411" s="240"/>
    </row>
    <row r="412" spans="4:10" x14ac:dyDescent="0.35">
      <c r="D412" s="236" t="s">
        <v>205</v>
      </c>
      <c r="E412" s="241">
        <f>BDFE!$C$754/1000</f>
        <v>0</v>
      </c>
      <c r="F412" s="241">
        <f>BDFE!$C$827/1000</f>
        <v>0</v>
      </c>
      <c r="G412" s="241">
        <f>BDFE!$C$973/1000</f>
        <v>0</v>
      </c>
      <c r="H412" s="241">
        <f>BDFE!$C$900/1000</f>
        <v>0</v>
      </c>
      <c r="I412" s="241">
        <f>BDFE!$C$1046/1000</f>
        <v>0</v>
      </c>
      <c r="J412" s="241">
        <f t="shared" ref="J412:J426" si="80">SUM(E412,F412,G412,H412,I412)</f>
        <v>0</v>
      </c>
    </row>
    <row r="413" spans="4:10" x14ac:dyDescent="0.35">
      <c r="D413" s="236" t="s">
        <v>209</v>
      </c>
      <c r="E413" s="242">
        <f>BDFE!$C$756/1000</f>
        <v>0</v>
      </c>
      <c r="F413" s="242">
        <f>BDFE!$C$829/1000</f>
        <v>0</v>
      </c>
      <c r="G413" s="242">
        <f>BDFE!$C$975/1000</f>
        <v>0</v>
      </c>
      <c r="H413" s="242">
        <f>BDFE!$C$902/1000</f>
        <v>0</v>
      </c>
      <c r="I413" s="242">
        <f>BDFE!$C$1048/1000</f>
        <v>0</v>
      </c>
      <c r="J413" s="242">
        <f t="shared" si="80"/>
        <v>0</v>
      </c>
    </row>
    <row r="414" spans="4:10" x14ac:dyDescent="0.35">
      <c r="D414" s="236" t="s">
        <v>208</v>
      </c>
      <c r="E414" s="242">
        <f>BDFE!$C$758/1000</f>
        <v>0</v>
      </c>
      <c r="F414" s="242">
        <f>BDFE!$C$831/1000</f>
        <v>0</v>
      </c>
      <c r="G414" s="242">
        <f>BDFE!$C$977/1000</f>
        <v>0</v>
      </c>
      <c r="H414" s="242">
        <f>BDFE!$C$904/1000</f>
        <v>0</v>
      </c>
      <c r="I414" s="242">
        <f>BDFE!$C$1050/1000</f>
        <v>0</v>
      </c>
      <c r="J414" s="242">
        <f t="shared" si="80"/>
        <v>0</v>
      </c>
    </row>
    <row r="415" spans="4:10" x14ac:dyDescent="0.35">
      <c r="D415" s="236" t="s">
        <v>207</v>
      </c>
      <c r="E415" s="242">
        <f>BDFE!$C$760/1000</f>
        <v>0</v>
      </c>
      <c r="F415" s="242">
        <f>BDFE!$C$833/1000</f>
        <v>0</v>
      </c>
      <c r="G415" s="242">
        <f>BDFE!$C$979/1000</f>
        <v>0</v>
      </c>
      <c r="H415" s="242">
        <f>BDFE!$C$906/1000</f>
        <v>0</v>
      </c>
      <c r="I415" s="242">
        <f>BDFE!$C$1052/1000</f>
        <v>0</v>
      </c>
      <c r="J415" s="242">
        <f t="shared" si="80"/>
        <v>0</v>
      </c>
    </row>
    <row r="416" spans="4:10" x14ac:dyDescent="0.35">
      <c r="D416" s="236" t="s">
        <v>258</v>
      </c>
      <c r="E416" s="242">
        <f>BDFE!$C$762/1000</f>
        <v>0</v>
      </c>
      <c r="F416" s="242">
        <f>BDFE!$C$835/1000</f>
        <v>0</v>
      </c>
      <c r="G416" s="242">
        <f>BDFE!$C$981/1000</f>
        <v>0</v>
      </c>
      <c r="H416" s="242">
        <f>BDFE!$C$908/1000</f>
        <v>0</v>
      </c>
      <c r="I416" s="242">
        <f>BDFE!$C$1054/1000</f>
        <v>0</v>
      </c>
      <c r="J416" s="242">
        <f t="shared" si="80"/>
        <v>0</v>
      </c>
    </row>
    <row r="417" spans="4:10" x14ac:dyDescent="0.35">
      <c r="D417" s="236" t="s">
        <v>273</v>
      </c>
      <c r="E417" s="242">
        <f>BDFE!$C$764/1000</f>
        <v>0</v>
      </c>
      <c r="F417" s="242">
        <f>BDFE!$C$837/1000</f>
        <v>0</v>
      </c>
      <c r="G417" s="242">
        <f>BDFE!$C$983/1000</f>
        <v>0</v>
      </c>
      <c r="H417" s="242">
        <f>BDFE!$C$910/1000</f>
        <v>0</v>
      </c>
      <c r="I417" s="242">
        <f>BDFE!$C$1056/1000</f>
        <v>0</v>
      </c>
      <c r="J417" s="242">
        <f t="shared" si="80"/>
        <v>0</v>
      </c>
    </row>
    <row r="418" spans="4:10" hidden="1" x14ac:dyDescent="0.35">
      <c r="D418" s="236" t="s">
        <v>274</v>
      </c>
      <c r="E418" s="242">
        <f>BDFE!$C$766/1000</f>
        <v>0</v>
      </c>
      <c r="F418" s="242">
        <f>BDFE!$C$839/1000</f>
        <v>0</v>
      </c>
      <c r="G418" s="242">
        <f>BDFE!$C$985/1000</f>
        <v>0</v>
      </c>
      <c r="H418" s="242">
        <f>BDFE!$C$912/1000</f>
        <v>0</v>
      </c>
      <c r="I418" s="242">
        <f>BDFE!$C$1058/1000</f>
        <v>0</v>
      </c>
      <c r="J418" s="242">
        <f t="shared" si="80"/>
        <v>0</v>
      </c>
    </row>
    <row r="419" spans="4:10" hidden="1" x14ac:dyDescent="0.35">
      <c r="D419" s="236" t="s">
        <v>275</v>
      </c>
      <c r="E419" s="242">
        <f>BDFE!$C$768/1000</f>
        <v>0</v>
      </c>
      <c r="F419" s="242">
        <f>BDFE!$C$841/1000</f>
        <v>0</v>
      </c>
      <c r="G419" s="242">
        <f>BDFE!$C$987/1000</f>
        <v>0</v>
      </c>
      <c r="H419" s="242">
        <f>BDFE!$C$914/1000</f>
        <v>0</v>
      </c>
      <c r="I419" s="242">
        <f>BDFE!$C$1060/1000</f>
        <v>0</v>
      </c>
      <c r="J419" s="242">
        <f t="shared" si="80"/>
        <v>0</v>
      </c>
    </row>
    <row r="420" spans="4:10" hidden="1" x14ac:dyDescent="0.35">
      <c r="D420" s="236" t="s">
        <v>259</v>
      </c>
      <c r="E420" s="242">
        <f>BDFE!$C$770/1000</f>
        <v>0</v>
      </c>
      <c r="F420" s="242">
        <f>BDFE!$C$843/1000</f>
        <v>0</v>
      </c>
      <c r="G420" s="242">
        <f>BDFE!$C$989/1000</f>
        <v>0</v>
      </c>
      <c r="H420" s="242">
        <f>BDFE!$C$916/1000</f>
        <v>0</v>
      </c>
      <c r="I420" s="242">
        <f>BDFE!$C$1062/1000</f>
        <v>0</v>
      </c>
      <c r="J420" s="242">
        <f t="shared" si="80"/>
        <v>0</v>
      </c>
    </row>
    <row r="421" spans="4:10" hidden="1" x14ac:dyDescent="0.35">
      <c r="D421" s="236" t="s">
        <v>260</v>
      </c>
      <c r="E421" s="242">
        <f>BDFE!$C$772/1000</f>
        <v>0</v>
      </c>
      <c r="F421" s="242">
        <f>BDFE!$C$845/1000</f>
        <v>0</v>
      </c>
      <c r="G421" s="242">
        <f>BDFE!$C$991/1000</f>
        <v>0</v>
      </c>
      <c r="H421" s="242">
        <f>BDFE!$C$918/1000</f>
        <v>0</v>
      </c>
      <c r="I421" s="242">
        <f>BDFE!$C$1064/1000</f>
        <v>0</v>
      </c>
      <c r="J421" s="242">
        <f t="shared" si="80"/>
        <v>0</v>
      </c>
    </row>
    <row r="422" spans="4:10" hidden="1" x14ac:dyDescent="0.35">
      <c r="D422" s="236" t="s">
        <v>261</v>
      </c>
      <c r="E422" s="242">
        <f>BDFE!$C$775/1000</f>
        <v>0</v>
      </c>
      <c r="F422" s="242">
        <f>BDFE!$C$848/1000</f>
        <v>0</v>
      </c>
      <c r="G422" s="242">
        <f>BDFE!$C$994/1000</f>
        <v>0</v>
      </c>
      <c r="H422" s="242">
        <f>BDFE!$C$921/1000</f>
        <v>0</v>
      </c>
      <c r="I422" s="242">
        <f>BDFE!$C$1067/1000</f>
        <v>0</v>
      </c>
      <c r="J422" s="242">
        <f t="shared" si="80"/>
        <v>0</v>
      </c>
    </row>
    <row r="423" spans="4:10" hidden="1" x14ac:dyDescent="0.35">
      <c r="D423" s="236" t="s">
        <v>262</v>
      </c>
      <c r="E423" s="242">
        <f>BDFE!$C$776/1000</f>
        <v>0</v>
      </c>
      <c r="F423" s="242">
        <f>BDFE!$C$849/1000</f>
        <v>0</v>
      </c>
      <c r="G423" s="242">
        <f>BDFE!$C$995/1000</f>
        <v>0</v>
      </c>
      <c r="H423" s="242">
        <f>BDFE!$C$922/1000</f>
        <v>0</v>
      </c>
      <c r="I423" s="242">
        <f>BDFE!$C$1068/1000</f>
        <v>0</v>
      </c>
      <c r="J423" s="242">
        <f t="shared" si="80"/>
        <v>0</v>
      </c>
    </row>
    <row r="424" spans="4:10" x14ac:dyDescent="0.35">
      <c r="D424" s="236" t="s">
        <v>294</v>
      </c>
      <c r="E424" s="242">
        <f>BDFE!$C$774/1000</f>
        <v>0</v>
      </c>
      <c r="F424" s="242">
        <f>BDFE!$C$847/1000</f>
        <v>0</v>
      </c>
      <c r="G424" s="242">
        <f>BDFE!$C$993/1000</f>
        <v>0</v>
      </c>
      <c r="H424" s="242">
        <f>BDFE!$C$920/1000</f>
        <v>0</v>
      </c>
      <c r="I424" s="242">
        <f>BDFE!$C$1066/1000</f>
        <v>0</v>
      </c>
      <c r="J424" s="242">
        <f t="shared" si="80"/>
        <v>0</v>
      </c>
    </row>
    <row r="425" spans="4:10" hidden="1" x14ac:dyDescent="0.35">
      <c r="D425" s="236" t="s">
        <v>295</v>
      </c>
      <c r="E425" s="242">
        <f>BDFE!$C$777/1000</f>
        <v>0</v>
      </c>
      <c r="F425" s="242">
        <f>BDFE!$C$850/1000</f>
        <v>0</v>
      </c>
      <c r="G425" s="242">
        <f>BDFE!$C$996/1000</f>
        <v>0</v>
      </c>
      <c r="H425" s="242">
        <f>BDFE!$C$923/1000</f>
        <v>0</v>
      </c>
      <c r="I425" s="242">
        <f>BDFE!$C$1069/1000</f>
        <v>0</v>
      </c>
      <c r="J425" s="242">
        <f t="shared" si="80"/>
        <v>0</v>
      </c>
    </row>
    <row r="426" spans="4:10" x14ac:dyDescent="0.35">
      <c r="D426" s="236" t="s">
        <v>10</v>
      </c>
      <c r="E426" s="245">
        <f>(BDFE!C755+BDFE!C757+BDFE!C759+BDFE!C761+BDFE!C763+BDFE!C765+BDFE!C767+BDFE!C769+BDFE!C771+BDFE!C773-BDFE!C717)/1000</f>
        <v>0</v>
      </c>
      <c r="F426" s="245">
        <f>(BDFE!C828+BDFE!C830+BDFE!C832+BDFE!C834+BDFE!C836+BDFE!C838+BDFE!C840+BDFE!C842+BDFE!C844+BDFE!C846-BDFE!C790)/1000</f>
        <v>0</v>
      </c>
      <c r="G426" s="245">
        <f>(BDFE!C974+BDFE!C976+BDFE!C978+BDFE!C980+BDFE!C982+BDFE!C984+BDFE!C986+BDFE!C988+BDFE!C990+BDFE!C992-BDFE!C936)/1000</f>
        <v>0</v>
      </c>
      <c r="H426" s="245">
        <f>(BDFE!C901+BDFE!C903+BDFE!C905+BDFE!C907+BDFE!C909+BDFE!C911+BDFE!C913+BDFE!C915+BDFE!C917+BDFE!C919-BDFE!C863)/1000</f>
        <v>0</v>
      </c>
      <c r="I426" s="245">
        <f>(BDFE!C1047+BDFE!C1049+BDFE!C1051+BDFE!C1053+BDFE!C1055+BDFE!C1057+BDFE!C1059+BDFE!C1061+BDFE!C1063+BDFE!C1065-BDFE!C1009)/1000</f>
        <v>0</v>
      </c>
      <c r="J426" s="245">
        <f t="shared" si="80"/>
        <v>0</v>
      </c>
    </row>
    <row r="427" spans="4:10" x14ac:dyDescent="0.35">
      <c r="D427" s="235" t="s">
        <v>263</v>
      </c>
      <c r="E427" s="247">
        <f t="shared" ref="E427:J427" si="81">SUM(E412:E426)</f>
        <v>0</v>
      </c>
      <c r="F427" s="247">
        <f t="shared" si="81"/>
        <v>0</v>
      </c>
      <c r="G427" s="247">
        <f t="shared" si="81"/>
        <v>0</v>
      </c>
      <c r="H427" s="247">
        <f t="shared" si="81"/>
        <v>0</v>
      </c>
      <c r="I427" s="247">
        <f t="shared" si="81"/>
        <v>0</v>
      </c>
      <c r="J427" s="247">
        <f t="shared" si="81"/>
        <v>0</v>
      </c>
    </row>
    <row r="428" spans="4:10" x14ac:dyDescent="0.35">
      <c r="D428" s="235" t="s">
        <v>292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5"/>
      <c r="E429" s="255"/>
      <c r="F429" s="255"/>
      <c r="G429" s="255"/>
      <c r="H429" s="255"/>
      <c r="I429" s="255"/>
      <c r="J429" s="255"/>
    </row>
    <row r="430" spans="4:10" x14ac:dyDescent="0.35">
      <c r="D430" s="235" t="s">
        <v>264</v>
      </c>
      <c r="E430" s="239">
        <f>E390+E400+E409+E427+E428</f>
        <v>0</v>
      </c>
      <c r="F430" s="239">
        <f t="shared" ref="F430:J430" si="82">F390+F400+F409+F427+F428</f>
        <v>0</v>
      </c>
      <c r="G430" s="239">
        <f t="shared" si="82"/>
        <v>0</v>
      </c>
      <c r="H430" s="239">
        <f t="shared" si="82"/>
        <v>0</v>
      </c>
      <c r="I430" s="239">
        <f t="shared" si="82"/>
        <v>0</v>
      </c>
      <c r="J430" s="239">
        <f t="shared" si="82"/>
        <v>0</v>
      </c>
    </row>
    <row r="431" spans="4:10" x14ac:dyDescent="0.35">
      <c r="D431" s="235" t="s">
        <v>276</v>
      </c>
      <c r="E431" s="239">
        <f>(BDBG!$H$705+BDBG!$H$706)/1000</f>
        <v>0</v>
      </c>
      <c r="F431" s="239">
        <f>(BDBG!$H$759+BDBG!$H$760)/1000</f>
        <v>0</v>
      </c>
      <c r="G431" s="239">
        <f>(BDBG!$H$868+BDBG!$H$869)/1000</f>
        <v>0</v>
      </c>
      <c r="H431" s="239">
        <f>(BDBG!$H$814+BDBG!$H$815)/1000</f>
        <v>0</v>
      </c>
      <c r="I431" s="239">
        <f>BDBG!$H$922/1000</f>
        <v>0</v>
      </c>
      <c r="J431" s="239">
        <f>SUM(E431,F431,G431,H431,I431)</f>
        <v>0</v>
      </c>
    </row>
    <row r="432" spans="4:10" x14ac:dyDescent="0.35">
      <c r="D432" s="235" t="s">
        <v>277</v>
      </c>
      <c r="E432" s="239">
        <f>E430+E431</f>
        <v>0</v>
      </c>
      <c r="F432" s="239">
        <f t="shared" ref="F432:J432" si="83">F430+F431</f>
        <v>0</v>
      </c>
      <c r="G432" s="239">
        <f t="shared" si="83"/>
        <v>0</v>
      </c>
      <c r="H432" s="239">
        <f t="shared" si="83"/>
        <v>0</v>
      </c>
      <c r="I432" s="239">
        <f t="shared" si="83"/>
        <v>0</v>
      </c>
      <c r="J432" s="239">
        <f t="shared" si="83"/>
        <v>0</v>
      </c>
    </row>
    <row r="439" spans="4:10" x14ac:dyDescent="0.35">
      <c r="D439" s="260"/>
      <c r="E439" s="261" t="s">
        <v>296</v>
      </c>
      <c r="F439" s="255"/>
      <c r="G439" s="255"/>
      <c r="H439" s="255"/>
      <c r="I439" s="255"/>
      <c r="J439" s="255"/>
    </row>
    <row r="440" spans="4:10" x14ac:dyDescent="0.35">
      <c r="D440" s="262"/>
      <c r="E440" s="238" t="s">
        <v>153</v>
      </c>
      <c r="F440" s="235" t="s">
        <v>154</v>
      </c>
      <c r="G440" s="235" t="s">
        <v>155</v>
      </c>
      <c r="H440" s="238" t="s">
        <v>293</v>
      </c>
      <c r="I440" s="238" t="s">
        <v>159</v>
      </c>
      <c r="J440" s="238" t="s">
        <v>270</v>
      </c>
    </row>
    <row r="441" spans="4:10" x14ac:dyDescent="0.35">
      <c r="D441" s="263" t="s">
        <v>248</v>
      </c>
      <c r="E441" s="239">
        <f>(BDFE!F728+BDFE!F717)/1000+ajustes!L30</f>
        <v>0</v>
      </c>
      <c r="F441" s="239">
        <f>(BDFE!F801+BDFE!F790)/1000+ajustes!M30</f>
        <v>0</v>
      </c>
      <c r="G441" s="239">
        <f>(BDFE!F947+BDFE!F936)/1000+ajustes!N30</f>
        <v>0</v>
      </c>
      <c r="H441" s="239">
        <f>(BDFE!F874+BDFE!F863)/1000+ajustes!O30</f>
        <v>0</v>
      </c>
      <c r="I441" s="239">
        <f>(BDFE!F1020+BDFE!F1009)/1000+ajustes!R30</f>
        <v>0</v>
      </c>
      <c r="J441" s="239">
        <f>SUM(E441,F441,G441,H441,I441)</f>
        <v>0</v>
      </c>
    </row>
    <row r="442" spans="4:10" x14ac:dyDescent="0.35">
      <c r="D442" s="243"/>
      <c r="E442" s="240"/>
      <c r="F442" s="240"/>
      <c r="G442" s="240"/>
      <c r="H442" s="240"/>
      <c r="I442" s="240"/>
      <c r="J442" s="240"/>
    </row>
    <row r="443" spans="4:10" x14ac:dyDescent="0.35">
      <c r="D443" s="243" t="s">
        <v>271</v>
      </c>
      <c r="E443" s="240"/>
      <c r="F443" s="240"/>
      <c r="G443" s="240"/>
      <c r="H443" s="240"/>
      <c r="I443" s="240"/>
      <c r="J443" s="240"/>
    </row>
    <row r="444" spans="4:10" x14ac:dyDescent="0.35">
      <c r="D444" s="264" t="s">
        <v>197</v>
      </c>
      <c r="E444" s="241">
        <f>BDFE!$F$731/1000</f>
        <v>0</v>
      </c>
      <c r="F444" s="241">
        <f>BDFE!$F$804/1000</f>
        <v>0</v>
      </c>
      <c r="G444" s="241">
        <f>BDFE!$F$950/1000</f>
        <v>0</v>
      </c>
      <c r="H444" s="241">
        <f>BDFE!$F$877/1000</f>
        <v>0</v>
      </c>
      <c r="I444" s="241">
        <f>BDFE!$F$1023/1000</f>
        <v>0</v>
      </c>
      <c r="J444" s="241">
        <f t="shared" ref="J444:J450" si="84">SUM(E444,F444,G444,H444,I444)</f>
        <v>0</v>
      </c>
    </row>
    <row r="445" spans="4:10" x14ac:dyDescent="0.35">
      <c r="D445" s="264" t="s">
        <v>198</v>
      </c>
      <c r="E445" s="242">
        <f>(BDFE!F732+BDFE!F733)/1000</f>
        <v>0</v>
      </c>
      <c r="F445" s="242">
        <f>(BDFE!F805+BDFE!F806)/1000</f>
        <v>0</v>
      </c>
      <c r="G445" s="242">
        <f>(BDFE!F951+BDFE!F952)/1000</f>
        <v>0</v>
      </c>
      <c r="H445" s="242">
        <f>(BDFE!F878+BDFE!F879)/1000</f>
        <v>0</v>
      </c>
      <c r="I445" s="242">
        <f>(BDFE!F1024+BDFE!F1025)/1000</f>
        <v>0</v>
      </c>
      <c r="J445" s="242">
        <f t="shared" si="84"/>
        <v>0</v>
      </c>
    </row>
    <row r="446" spans="4:10" x14ac:dyDescent="0.35">
      <c r="D446" s="264" t="s">
        <v>199</v>
      </c>
      <c r="E446" s="242">
        <f>BDFE!$F$734/1000</f>
        <v>0</v>
      </c>
      <c r="F446" s="242">
        <f>BDFE!$F$807/1000</f>
        <v>0</v>
      </c>
      <c r="G446" s="242">
        <f>BDFE!$F$953/1000</f>
        <v>0</v>
      </c>
      <c r="H446" s="242">
        <f>BDFE!$F$880/1000</f>
        <v>0</v>
      </c>
      <c r="I446" s="242">
        <f>BDFE!$F$1026/1000</f>
        <v>0</v>
      </c>
      <c r="J446" s="242">
        <f t="shared" si="84"/>
        <v>0</v>
      </c>
    </row>
    <row r="447" spans="4:10" x14ac:dyDescent="0.35">
      <c r="D447" s="264" t="s">
        <v>200</v>
      </c>
      <c r="E447" s="242">
        <f>(BDFE!F735+BDFE!F736)/1000</f>
        <v>0</v>
      </c>
      <c r="F447" s="242">
        <f>(BDFE!F808+BDFE!F809)/1000</f>
        <v>0</v>
      </c>
      <c r="G447" s="242">
        <f>(BDFE!F954+BDFE!F955)/1000</f>
        <v>0</v>
      </c>
      <c r="H447" s="242">
        <f>(BDFE!F881+BDFE!F882)/1000</f>
        <v>0</v>
      </c>
      <c r="I447" s="242">
        <f>(BDFE!F1027+BDFE!F1028)/1000</f>
        <v>0</v>
      </c>
      <c r="J447" s="242">
        <f t="shared" si="84"/>
        <v>0</v>
      </c>
    </row>
    <row r="448" spans="4:10" x14ac:dyDescent="0.35">
      <c r="D448" s="264" t="s">
        <v>223</v>
      </c>
      <c r="E448" s="242">
        <f>BDFE!$F$737/1000</f>
        <v>0</v>
      </c>
      <c r="F448" s="242">
        <f>BDFE!$F$810/1000</f>
        <v>0</v>
      </c>
      <c r="G448" s="242">
        <f>BDFE!$F$956/1000</f>
        <v>0</v>
      </c>
      <c r="H448" s="242">
        <f>BDFE!$F$883/1000</f>
        <v>0</v>
      </c>
      <c r="I448" s="242">
        <f>BDFE!$F$1029/1000</f>
        <v>0</v>
      </c>
      <c r="J448" s="242">
        <f t="shared" si="84"/>
        <v>0</v>
      </c>
    </row>
    <row r="449" spans="4:10" x14ac:dyDescent="0.35">
      <c r="D449" s="264" t="s">
        <v>249</v>
      </c>
      <c r="E449" s="242">
        <f>(BDFE!F738+BDFE!F739)/1000</f>
        <v>0</v>
      </c>
      <c r="F449" s="242">
        <f>(BDFE!F811+BDFE!F812)/1000</f>
        <v>0</v>
      </c>
      <c r="G449" s="242">
        <f>(BDFE!F957+BDFE!F958)/1000</f>
        <v>0</v>
      </c>
      <c r="H449" s="242">
        <f>(BDFE!F884+BDFE!F885)/1000</f>
        <v>0</v>
      </c>
      <c r="I449" s="242">
        <f>(BDFE!F1030+BDFE!F1031)/1000</f>
        <v>0</v>
      </c>
      <c r="J449" s="242">
        <f t="shared" si="84"/>
        <v>0</v>
      </c>
    </row>
    <row r="450" spans="4:10" x14ac:dyDescent="0.35">
      <c r="D450" s="264" t="s">
        <v>250</v>
      </c>
      <c r="E450" s="245">
        <f>(BDFE!F740+BDFE!F741+BDFE!F742)/1000</f>
        <v>0</v>
      </c>
      <c r="F450" s="242">
        <f>(BDFE!F813+BDFE!F814+BDFE!F815)/1000</f>
        <v>0</v>
      </c>
      <c r="G450" s="242">
        <f>(BDFE!F959+BDFE!F960+BDFE!F961)/1000</f>
        <v>0</v>
      </c>
      <c r="H450" s="242">
        <f>(BDFE!F886+BDFE!F887+BDFE!F888)/1000</f>
        <v>0</v>
      </c>
      <c r="I450" s="242">
        <f>(BDFE!F1032+BDFE!F1033+BDFE!F1034)/1000</f>
        <v>0</v>
      </c>
      <c r="J450" s="242">
        <f t="shared" si="84"/>
        <v>0</v>
      </c>
    </row>
    <row r="451" spans="4:10" x14ac:dyDescent="0.35">
      <c r="D451" s="263" t="s">
        <v>271</v>
      </c>
      <c r="E451" s="239">
        <f t="shared" ref="E451:J451" si="85">SUM(E444:E450)</f>
        <v>0</v>
      </c>
      <c r="F451" s="239">
        <f t="shared" si="85"/>
        <v>0</v>
      </c>
      <c r="G451" s="239">
        <f t="shared" si="85"/>
        <v>0</v>
      </c>
      <c r="H451" s="239">
        <f t="shared" si="85"/>
        <v>0</v>
      </c>
      <c r="I451" s="239">
        <f t="shared" si="85"/>
        <v>0</v>
      </c>
      <c r="J451" s="239">
        <f t="shared" si="85"/>
        <v>0</v>
      </c>
    </row>
    <row r="452" spans="4:10" x14ac:dyDescent="0.35">
      <c r="D452" s="243"/>
      <c r="E452" s="243"/>
      <c r="F452" s="243"/>
      <c r="G452" s="243"/>
      <c r="H452" s="243"/>
      <c r="I452" s="243"/>
      <c r="J452" s="243"/>
    </row>
    <row r="453" spans="4:10" x14ac:dyDescent="0.35">
      <c r="D453" s="243" t="s">
        <v>251</v>
      </c>
      <c r="E453" s="240"/>
      <c r="F453" s="240"/>
      <c r="G453" s="240"/>
      <c r="H453" s="240"/>
      <c r="I453" s="240"/>
      <c r="J453" s="240"/>
    </row>
    <row r="454" spans="4:10" x14ac:dyDescent="0.35">
      <c r="D454" s="264" t="s">
        <v>252</v>
      </c>
      <c r="E454" s="241">
        <f>BDFE!$F$745/1000</f>
        <v>0</v>
      </c>
      <c r="F454" s="241">
        <f>BDFE!$F$818/1000</f>
        <v>0</v>
      </c>
      <c r="G454" s="241">
        <f>BDFE!$F$964/1000</f>
        <v>0</v>
      </c>
      <c r="H454" s="241">
        <f>BDFE!$F$891/1000</f>
        <v>0</v>
      </c>
      <c r="I454" s="241">
        <f>BDFE!$F$1037/1000</f>
        <v>0</v>
      </c>
      <c r="J454" s="241">
        <f t="shared" ref="J454:J459" si="86">SUM(E454,F454,G454,H454,I454)</f>
        <v>0</v>
      </c>
    </row>
    <row r="455" spans="4:10" x14ac:dyDescent="0.35">
      <c r="D455" s="264" t="s">
        <v>253</v>
      </c>
      <c r="E455" s="242">
        <f>BDFE!$F$746/1000</f>
        <v>0</v>
      </c>
      <c r="F455" s="242">
        <f>BDFE!$F$819/1000</f>
        <v>0</v>
      </c>
      <c r="G455" s="242">
        <f>BDFE!$F$965/1000</f>
        <v>0</v>
      </c>
      <c r="H455" s="242">
        <f>BDFE!$F$892/1000</f>
        <v>0</v>
      </c>
      <c r="I455" s="242">
        <f>BDFE!$F$1038/1000</f>
        <v>0</v>
      </c>
      <c r="J455" s="242">
        <f t="shared" si="86"/>
        <v>0</v>
      </c>
    </row>
    <row r="456" spans="4:10" x14ac:dyDescent="0.35">
      <c r="D456" s="264" t="s">
        <v>238</v>
      </c>
      <c r="E456" s="242">
        <f>BDFE!$F$747/1000</f>
        <v>0</v>
      </c>
      <c r="F456" s="242">
        <f>BDFE!$F$820/1000</f>
        <v>0</v>
      </c>
      <c r="G456" s="242">
        <f>BDFE!$F$966/1000</f>
        <v>0</v>
      </c>
      <c r="H456" s="242">
        <f>BDFE!$F$893/1000</f>
        <v>0</v>
      </c>
      <c r="I456" s="242">
        <f>BDFE!$F$1039/1000</f>
        <v>0</v>
      </c>
      <c r="J456" s="242">
        <f t="shared" si="86"/>
        <v>0</v>
      </c>
    </row>
    <row r="457" spans="4:10" x14ac:dyDescent="0.35">
      <c r="D457" s="264" t="s">
        <v>254</v>
      </c>
      <c r="E457" s="242">
        <f>BDFE!$F$748/1000</f>
        <v>0</v>
      </c>
      <c r="F457" s="242">
        <f>BDFE!$F$821/1000</f>
        <v>0</v>
      </c>
      <c r="G457" s="242">
        <f>BDFE!$F$967/1000</f>
        <v>0</v>
      </c>
      <c r="H457" s="242">
        <f>BDFE!$F$894/1000</f>
        <v>0</v>
      </c>
      <c r="I457" s="242">
        <f>BDFE!$F$1040/1000</f>
        <v>0</v>
      </c>
      <c r="J457" s="242">
        <f t="shared" si="86"/>
        <v>0</v>
      </c>
    </row>
    <row r="458" spans="4:10" x14ac:dyDescent="0.35">
      <c r="D458" s="264" t="s">
        <v>272</v>
      </c>
      <c r="E458" s="242">
        <f>(BDFE!F749+BDFE!F750)/1000</f>
        <v>0</v>
      </c>
      <c r="F458" s="242">
        <f>(BDFE!F822+BDFE!F823)/1000</f>
        <v>0</v>
      </c>
      <c r="G458" s="242">
        <f>(BDFE!F968+BDFE!F969)/1000</f>
        <v>0</v>
      </c>
      <c r="H458" s="242">
        <f>(BDFE!F895+BDFE!F896)/1000</f>
        <v>0</v>
      </c>
      <c r="I458" s="242">
        <f>(BDFE!F1041+BDFE!F1042)/1000</f>
        <v>0</v>
      </c>
      <c r="J458" s="242">
        <f t="shared" si="86"/>
        <v>0</v>
      </c>
    </row>
    <row r="459" spans="4:10" x14ac:dyDescent="0.35">
      <c r="D459" s="264" t="s">
        <v>255</v>
      </c>
      <c r="E459" s="242">
        <f>BDFE!$F$751/1000</f>
        <v>0</v>
      </c>
      <c r="F459" s="242">
        <f>BDFE!$F$824/1000</f>
        <v>0</v>
      </c>
      <c r="G459" s="242">
        <f>BDFE!$F$970/1000</f>
        <v>0</v>
      </c>
      <c r="H459" s="242">
        <f>BDFE!$F$897/1000</f>
        <v>0</v>
      </c>
      <c r="I459" s="242">
        <f>BDFE!$F$1043/1000</f>
        <v>0</v>
      </c>
      <c r="J459" s="242">
        <f t="shared" si="86"/>
        <v>0</v>
      </c>
    </row>
    <row r="460" spans="4:10" x14ac:dyDescent="0.35">
      <c r="D460" s="263" t="s">
        <v>256</v>
      </c>
      <c r="E460" s="239">
        <f t="shared" ref="E460:J460" si="87">SUM(E454:E459)</f>
        <v>0</v>
      </c>
      <c r="F460" s="239">
        <f t="shared" si="87"/>
        <v>0</v>
      </c>
      <c r="G460" s="239">
        <f t="shared" si="87"/>
        <v>0</v>
      </c>
      <c r="H460" s="239">
        <f t="shared" si="87"/>
        <v>0</v>
      </c>
      <c r="I460" s="239">
        <f t="shared" si="87"/>
        <v>0</v>
      </c>
      <c r="J460" s="239">
        <f t="shared" si="87"/>
        <v>0</v>
      </c>
    </row>
    <row r="461" spans="4:10" x14ac:dyDescent="0.35">
      <c r="D461" s="243"/>
      <c r="E461" s="243"/>
      <c r="F461" s="244"/>
      <c r="G461" s="244"/>
      <c r="H461" s="244"/>
      <c r="I461" s="244"/>
      <c r="J461" s="244"/>
    </row>
    <row r="462" spans="4:10" x14ac:dyDescent="0.35">
      <c r="D462" s="243" t="s">
        <v>257</v>
      </c>
      <c r="E462" s="240"/>
      <c r="F462" s="240"/>
      <c r="G462" s="240"/>
      <c r="H462" s="240"/>
      <c r="I462" s="240"/>
      <c r="J462" s="240"/>
    </row>
    <row r="463" spans="4:10" x14ac:dyDescent="0.35">
      <c r="D463" s="264" t="s">
        <v>205</v>
      </c>
      <c r="E463" s="241">
        <f>BDFE!$F$754/1000</f>
        <v>0</v>
      </c>
      <c r="F463" s="241">
        <f>BDFE!$F$827/1000</f>
        <v>0</v>
      </c>
      <c r="G463" s="241">
        <f>BDFE!$F$973/1000</f>
        <v>0</v>
      </c>
      <c r="H463" s="241">
        <f>BDFE!$F$900/1000</f>
        <v>0</v>
      </c>
      <c r="I463" s="241">
        <f>BDFE!$F$1046/1000</f>
        <v>0</v>
      </c>
      <c r="J463" s="241">
        <f t="shared" ref="J463:J477" si="88">SUM(E463,F463,G463,H463,I463)</f>
        <v>0</v>
      </c>
    </row>
    <row r="464" spans="4:10" x14ac:dyDescent="0.35">
      <c r="D464" s="264" t="s">
        <v>209</v>
      </c>
      <c r="E464" s="242">
        <f>BDFE!$F$756/1000</f>
        <v>0</v>
      </c>
      <c r="F464" s="242">
        <f>BDFE!$F$829/1000</f>
        <v>0</v>
      </c>
      <c r="G464" s="242">
        <f>BDFE!$F$975/1000</f>
        <v>0</v>
      </c>
      <c r="H464" s="242">
        <f>BDFE!$F$902/1000</f>
        <v>0</v>
      </c>
      <c r="I464" s="242">
        <f>BDFE!$F$1048/1000</f>
        <v>0</v>
      </c>
      <c r="J464" s="242">
        <f t="shared" si="88"/>
        <v>0</v>
      </c>
    </row>
    <row r="465" spans="4:10" x14ac:dyDescent="0.35">
      <c r="D465" s="264" t="s">
        <v>208</v>
      </c>
      <c r="E465" s="242">
        <f>BDFE!$F$758/1000</f>
        <v>0</v>
      </c>
      <c r="F465" s="242">
        <f>BDFE!$F$831/1000</f>
        <v>0</v>
      </c>
      <c r="G465" s="242">
        <f>BDFE!$F$977/1000</f>
        <v>0</v>
      </c>
      <c r="H465" s="242">
        <f>BDFE!$F$904/1000</f>
        <v>0</v>
      </c>
      <c r="I465" s="242">
        <f>BDFE!$F$1050/1000</f>
        <v>0</v>
      </c>
      <c r="J465" s="242">
        <f t="shared" si="88"/>
        <v>0</v>
      </c>
    </row>
    <row r="466" spans="4:10" x14ac:dyDescent="0.35">
      <c r="D466" s="264" t="s">
        <v>207</v>
      </c>
      <c r="E466" s="242">
        <f>BDFE!$F$760/1000</f>
        <v>0</v>
      </c>
      <c r="F466" s="242">
        <f>BDFE!$F$833/1000</f>
        <v>0</v>
      </c>
      <c r="G466" s="242">
        <f>BDFE!$F$979/1000</f>
        <v>0</v>
      </c>
      <c r="H466" s="242">
        <f>BDFE!$F$906/1000</f>
        <v>0</v>
      </c>
      <c r="I466" s="242">
        <f>BDFE!$F$1052/1000</f>
        <v>0</v>
      </c>
      <c r="J466" s="242">
        <f t="shared" si="88"/>
        <v>0</v>
      </c>
    </row>
    <row r="467" spans="4:10" x14ac:dyDescent="0.35">
      <c r="D467" s="264" t="s">
        <v>258</v>
      </c>
      <c r="E467" s="242">
        <f>BDFE!$F$762/1000</f>
        <v>0</v>
      </c>
      <c r="F467" s="242">
        <f>BDFE!$F$835/1000</f>
        <v>0</v>
      </c>
      <c r="G467" s="242">
        <f>BDFE!$F$981/1000</f>
        <v>0</v>
      </c>
      <c r="H467" s="242">
        <f>BDFE!$F$908/1000</f>
        <v>0</v>
      </c>
      <c r="I467" s="242">
        <f>BDFE!$F$1054/1000</f>
        <v>0</v>
      </c>
      <c r="J467" s="242">
        <f t="shared" si="88"/>
        <v>0</v>
      </c>
    </row>
    <row r="468" spans="4:10" x14ac:dyDescent="0.35">
      <c r="D468" s="264" t="s">
        <v>273</v>
      </c>
      <c r="E468" s="242">
        <f>BDFE!$F$764/1000</f>
        <v>0</v>
      </c>
      <c r="F468" s="242">
        <f>BDFE!$F$837/1000</f>
        <v>0</v>
      </c>
      <c r="G468" s="242">
        <f>BDFE!$F$983/1000</f>
        <v>0</v>
      </c>
      <c r="H468" s="242">
        <f>BDFE!$F$910/1000</f>
        <v>0</v>
      </c>
      <c r="I468" s="242">
        <f>BDFE!$F$1056/1000</f>
        <v>0</v>
      </c>
      <c r="J468" s="242">
        <f t="shared" si="88"/>
        <v>0</v>
      </c>
    </row>
    <row r="469" spans="4:10" hidden="1" x14ac:dyDescent="0.35">
      <c r="D469" s="264" t="s">
        <v>274</v>
      </c>
      <c r="E469" s="242">
        <f>BDFE!$F$766/1000</f>
        <v>0</v>
      </c>
      <c r="F469" s="242">
        <f>BDFE!$F$839/1000</f>
        <v>0</v>
      </c>
      <c r="G469" s="242">
        <f>BDFE!$F$985/1000</f>
        <v>0</v>
      </c>
      <c r="H469" s="242">
        <f>BDFE!$F$912/1000</f>
        <v>0</v>
      </c>
      <c r="I469" s="242">
        <f>BDFE!$F$1058/1000</f>
        <v>0</v>
      </c>
      <c r="J469" s="242">
        <f t="shared" si="88"/>
        <v>0</v>
      </c>
    </row>
    <row r="470" spans="4:10" hidden="1" x14ac:dyDescent="0.35">
      <c r="D470" s="264" t="s">
        <v>275</v>
      </c>
      <c r="E470" s="242">
        <f>BDFE!$F$768/1000</f>
        <v>0</v>
      </c>
      <c r="F470" s="242">
        <f>BDFE!$F$841/1000</f>
        <v>0</v>
      </c>
      <c r="G470" s="242">
        <f>BDFE!$F$987/1000</f>
        <v>0</v>
      </c>
      <c r="H470" s="242">
        <f>BDFE!$F$914/1000</f>
        <v>0</v>
      </c>
      <c r="I470" s="242">
        <f>BDFE!$F$1060/1000</f>
        <v>0</v>
      </c>
      <c r="J470" s="242">
        <f t="shared" si="88"/>
        <v>0</v>
      </c>
    </row>
    <row r="471" spans="4:10" hidden="1" x14ac:dyDescent="0.35">
      <c r="D471" s="264" t="s">
        <v>259</v>
      </c>
      <c r="E471" s="242">
        <f>BDFE!$F$770/1000</f>
        <v>0</v>
      </c>
      <c r="F471" s="242">
        <f>BDFE!$F$843/1000</f>
        <v>0</v>
      </c>
      <c r="G471" s="242">
        <f>BDFE!$F$989/1000</f>
        <v>0</v>
      </c>
      <c r="H471" s="242">
        <f>BDFE!$F$916/1000</f>
        <v>0</v>
      </c>
      <c r="I471" s="242">
        <f>BDFE!$F$1062/1000</f>
        <v>0</v>
      </c>
      <c r="J471" s="242">
        <f t="shared" si="88"/>
        <v>0</v>
      </c>
    </row>
    <row r="472" spans="4:10" hidden="1" x14ac:dyDescent="0.35">
      <c r="D472" s="264" t="s">
        <v>260</v>
      </c>
      <c r="E472" s="242">
        <f>BDFE!$F$772/1000</f>
        <v>0</v>
      </c>
      <c r="F472" s="242">
        <f>BDFE!$F$845/1000</f>
        <v>0</v>
      </c>
      <c r="G472" s="242">
        <f>BDFE!$F$991/1000</f>
        <v>0</v>
      </c>
      <c r="H472" s="242">
        <f>BDFE!$F$918/1000</f>
        <v>0</v>
      </c>
      <c r="I472" s="242">
        <f>BDFE!$F$1064/1000</f>
        <v>0</v>
      </c>
      <c r="J472" s="242">
        <f t="shared" si="88"/>
        <v>0</v>
      </c>
    </row>
    <row r="473" spans="4:10" hidden="1" x14ac:dyDescent="0.35">
      <c r="D473" s="264" t="s">
        <v>261</v>
      </c>
      <c r="E473" s="242">
        <f>BDFE!$F$775/1000</f>
        <v>0</v>
      </c>
      <c r="F473" s="242">
        <f>BDFE!$F$848/1000</f>
        <v>0</v>
      </c>
      <c r="G473" s="242">
        <f>BDFE!$F$994/1000</f>
        <v>0</v>
      </c>
      <c r="H473" s="242">
        <f>BDFE!$F$921/1000</f>
        <v>0</v>
      </c>
      <c r="I473" s="242">
        <f>BDFE!$F$1067/1000</f>
        <v>0</v>
      </c>
      <c r="J473" s="242">
        <f t="shared" si="88"/>
        <v>0</v>
      </c>
    </row>
    <row r="474" spans="4:10" hidden="1" x14ac:dyDescent="0.35">
      <c r="D474" s="264" t="s">
        <v>262</v>
      </c>
      <c r="E474" s="242">
        <f>BDFE!$F$776/1000</f>
        <v>0</v>
      </c>
      <c r="F474" s="242">
        <f>BDFE!$F$849/1000</f>
        <v>0</v>
      </c>
      <c r="G474" s="242">
        <f>BDFE!$F$995/1000</f>
        <v>0</v>
      </c>
      <c r="H474" s="242">
        <f>BDFE!$F$922/1000</f>
        <v>0</v>
      </c>
      <c r="I474" s="242">
        <f>BDFE!$F$1068/1000</f>
        <v>0</v>
      </c>
      <c r="J474" s="242">
        <f t="shared" si="88"/>
        <v>0</v>
      </c>
    </row>
    <row r="475" spans="4:10" x14ac:dyDescent="0.35">
      <c r="D475" s="264" t="s">
        <v>294</v>
      </c>
      <c r="E475" s="242">
        <f>BDFE!$F$774/1000</f>
        <v>0</v>
      </c>
      <c r="F475" s="242">
        <f>BDFE!$F$847/1000</f>
        <v>0</v>
      </c>
      <c r="G475" s="242">
        <f>BDFE!$F$993/1000</f>
        <v>0</v>
      </c>
      <c r="H475" s="242">
        <f>BDFE!$F$920/1000</f>
        <v>0</v>
      </c>
      <c r="I475" s="242">
        <f>BDFE!$F$1066/1000</f>
        <v>0</v>
      </c>
      <c r="J475" s="242">
        <f t="shared" si="88"/>
        <v>0</v>
      </c>
    </row>
    <row r="476" spans="4:10" hidden="1" x14ac:dyDescent="0.35">
      <c r="D476" s="264" t="s">
        <v>295</v>
      </c>
      <c r="E476" s="242">
        <f>BDFE!$F$777/1000</f>
        <v>0</v>
      </c>
      <c r="F476" s="242">
        <f>BDFE!$F$850/1000</f>
        <v>0</v>
      </c>
      <c r="G476" s="242">
        <f>BDFE!$F$996/1000</f>
        <v>0</v>
      </c>
      <c r="H476" s="242">
        <f>BDFE!$F$923/1000</f>
        <v>0</v>
      </c>
      <c r="I476" s="242">
        <f>BDFE!$F$1069/1000</f>
        <v>0</v>
      </c>
      <c r="J476" s="242">
        <f t="shared" si="88"/>
        <v>0</v>
      </c>
    </row>
    <row r="477" spans="4:10" x14ac:dyDescent="0.35">
      <c r="D477" s="264" t="s">
        <v>10</v>
      </c>
      <c r="E477" s="245">
        <f>(BDFE!F755+BDFE!F757+BDFE!F759+BDFE!F761+BDFE!F763+BDFE!F765+BDFE!F767+BDFE!F769+BDFE!F771+BDFE!F773-BDFE!F717)/1000</f>
        <v>0</v>
      </c>
      <c r="F477" s="245">
        <f>(BDFE!F828+BDFE!F830+BDFE!F832+BDFE!F834+BDFE!F836+BDFE!F838+BDFE!F840+BDFE!F842+BDFE!F844+BDFE!F846-BDFE!F790)/1000</f>
        <v>0</v>
      </c>
      <c r="G477" s="245">
        <f>(BDFE!F974+BDFE!F976+BDFE!F978+BDFE!F980+BDFE!F982+BDFE!F984+BDFE!F986+BDFE!F988+BDFE!F990+BDFE!F992-BDFE!F936)/1000</f>
        <v>0</v>
      </c>
      <c r="H477" s="245">
        <f>(BDFE!F901+BDFE!F903+BDFE!F905+BDFE!F907+BDFE!F909+BDFE!F911+BDFE!F913+BDFE!F915+BDFE!F917+BDFE!F919-BDFE!F863)/1000</f>
        <v>0</v>
      </c>
      <c r="I477" s="245">
        <f>(BDFE!F1047+BDFE!F1049+BDFE!F1051+BDFE!F1053+BDFE!F1055+BDFE!F1057+BDFE!F1059+BDFE!F1061+BDFE!F1063+BDFE!F1065-BDFE!F1009)/1000</f>
        <v>0</v>
      </c>
      <c r="J477" s="245">
        <f t="shared" si="88"/>
        <v>0</v>
      </c>
    </row>
    <row r="478" spans="4:10" x14ac:dyDescent="0.35">
      <c r="D478" s="263" t="s">
        <v>263</v>
      </c>
      <c r="E478" s="265">
        <f t="shared" ref="E478:J478" si="89">SUM(E463:E477)</f>
        <v>0</v>
      </c>
      <c r="F478" s="247">
        <f t="shared" si="89"/>
        <v>0</v>
      </c>
      <c r="G478" s="247">
        <f t="shared" si="89"/>
        <v>0</v>
      </c>
      <c r="H478" s="247">
        <f t="shared" si="89"/>
        <v>0</v>
      </c>
      <c r="I478" s="247">
        <f t="shared" si="89"/>
        <v>0</v>
      </c>
      <c r="J478" s="247">
        <f t="shared" si="89"/>
        <v>0</v>
      </c>
    </row>
    <row r="479" spans="4:10" x14ac:dyDescent="0.35">
      <c r="D479" s="263" t="s">
        <v>292</v>
      </c>
      <c r="E479" s="14">
        <f>-ajustes!L30</f>
        <v>0</v>
      </c>
      <c r="F479" s="20">
        <f>-ajustes!M30</f>
        <v>0</v>
      </c>
      <c r="G479" s="20">
        <f>-ajustes!N30</f>
        <v>0</v>
      </c>
      <c r="H479" s="20">
        <f>-ajustes!O30</f>
        <v>0</v>
      </c>
      <c r="I479" s="20">
        <f>-ajustes!R30</f>
        <v>0</v>
      </c>
      <c r="J479" s="20">
        <f>SUM(E479:I479)</f>
        <v>0</v>
      </c>
    </row>
    <row r="480" spans="4:10" x14ac:dyDescent="0.35">
      <c r="D480" s="243"/>
      <c r="E480" s="266"/>
      <c r="F480" s="255"/>
      <c r="G480" s="255"/>
      <c r="H480" s="255"/>
      <c r="I480" s="255"/>
      <c r="J480" s="255"/>
    </row>
    <row r="481" spans="3:10" x14ac:dyDescent="0.35">
      <c r="D481" s="263" t="s">
        <v>264</v>
      </c>
      <c r="E481" s="239">
        <f>E441+E451+E460+E478+E479</f>
        <v>0</v>
      </c>
      <c r="F481" s="239">
        <f t="shared" ref="F481:I481" si="90">F441+F451+F460+F478+F479</f>
        <v>0</v>
      </c>
      <c r="G481" s="239">
        <f t="shared" si="90"/>
        <v>0</v>
      </c>
      <c r="H481" s="239">
        <f t="shared" si="90"/>
        <v>0</v>
      </c>
      <c r="I481" s="239">
        <f t="shared" si="90"/>
        <v>0</v>
      </c>
      <c r="J481" s="239">
        <f>J441+J451+J460+J478+J479</f>
        <v>0</v>
      </c>
    </row>
    <row r="482" spans="3:10" x14ac:dyDescent="0.35">
      <c r="D482" s="263" t="s">
        <v>276</v>
      </c>
      <c r="E482" s="247">
        <f>(BDBG!$I$705+BDBG!$I$706)/1000</f>
        <v>0</v>
      </c>
      <c r="F482" s="239">
        <f>(BDBG!$I$759+BDBG!$I$760)/1000</f>
        <v>0</v>
      </c>
      <c r="G482" s="239">
        <f>(BDBG!$I$868+BDBG!$I$869)/1000</f>
        <v>0</v>
      </c>
      <c r="H482" s="239">
        <f>(BDBG!$I$814+BDBG!$I$815)/1000</f>
        <v>0</v>
      </c>
      <c r="I482" s="239">
        <f>BDBG!$I$922/1000</f>
        <v>0</v>
      </c>
      <c r="J482" s="239">
        <f>SUM(E482,F482,G482,H482,I482)</f>
        <v>0</v>
      </c>
    </row>
    <row r="483" spans="3:10" x14ac:dyDescent="0.35">
      <c r="D483" s="263" t="s">
        <v>277</v>
      </c>
      <c r="E483" s="239">
        <f>E481+E482</f>
        <v>0</v>
      </c>
      <c r="F483" s="239">
        <f t="shared" ref="F483" si="91">F481+F482</f>
        <v>0</v>
      </c>
      <c r="G483" s="239">
        <f t="shared" ref="G483" si="92">G481+G482</f>
        <v>0</v>
      </c>
      <c r="H483" s="239">
        <f t="shared" ref="H483" si="93">H481+H482</f>
        <v>0</v>
      </c>
      <c r="I483" s="239">
        <f t="shared" ref="I483" si="94">I481+I482</f>
        <v>0</v>
      </c>
      <c r="J483" s="239">
        <f t="shared" ref="J483" si="95">J481+J482</f>
        <v>0</v>
      </c>
    </row>
    <row r="490" spans="3:10" x14ac:dyDescent="0.35">
      <c r="C490" t="s">
        <v>297</v>
      </c>
      <c r="E490">
        <v>615</v>
      </c>
      <c r="F490">
        <v>613</v>
      </c>
    </row>
    <row r="491" spans="3:10" x14ac:dyDescent="0.35">
      <c r="D491" s="255"/>
      <c r="E491" s="235" t="s">
        <v>106</v>
      </c>
      <c r="F491" s="236"/>
      <c r="G491" s="236"/>
    </row>
    <row r="492" spans="3:10" x14ac:dyDescent="0.35">
      <c r="D492" s="255"/>
      <c r="E492" s="235" t="s">
        <v>161</v>
      </c>
      <c r="F492" s="235" t="s">
        <v>162</v>
      </c>
      <c r="G492" s="238" t="s">
        <v>270</v>
      </c>
    </row>
    <row r="493" spans="3:10" x14ac:dyDescent="0.35">
      <c r="D493" s="235" t="s">
        <v>298</v>
      </c>
      <c r="E493" s="239">
        <f>(BDFE!C1231+BDFE!C1220)/1000</f>
        <v>0</v>
      </c>
      <c r="F493" s="239">
        <f>(BDFE!C1166+BDFE!C1155)/1000</f>
        <v>0</v>
      </c>
      <c r="G493" s="239">
        <f>SUM(E493,F493)</f>
        <v>0</v>
      </c>
    </row>
    <row r="494" spans="3:10" x14ac:dyDescent="0.35">
      <c r="D494" s="236"/>
      <c r="E494" s="240"/>
      <c r="F494" s="240"/>
      <c r="G494" s="240"/>
    </row>
    <row r="495" spans="3:10" x14ac:dyDescent="0.35">
      <c r="D495" s="235" t="s">
        <v>271</v>
      </c>
      <c r="E495" s="240"/>
      <c r="F495" s="240"/>
      <c r="G495" s="240"/>
    </row>
    <row r="496" spans="3:10" x14ac:dyDescent="0.35">
      <c r="D496" s="236" t="s">
        <v>197</v>
      </c>
      <c r="E496" s="241">
        <f>BDFE!$C$1234/1000</f>
        <v>0</v>
      </c>
      <c r="F496" s="241">
        <f>BDFE!$C$1169/1000</f>
        <v>0</v>
      </c>
      <c r="G496" s="241">
        <f t="shared" ref="G496:G506" si="96">SUM(E496,F496)</f>
        <v>0</v>
      </c>
    </row>
    <row r="497" spans="4:7" x14ac:dyDescent="0.35">
      <c r="D497" s="236" t="s">
        <v>198</v>
      </c>
      <c r="E497" s="242">
        <f>BDFE!$C$1235/1000</f>
        <v>0</v>
      </c>
      <c r="F497" s="242">
        <f>BDFE!$C$1170/1000</f>
        <v>0</v>
      </c>
      <c r="G497" s="242">
        <f t="shared" si="96"/>
        <v>0</v>
      </c>
    </row>
    <row r="498" spans="4:7" x14ac:dyDescent="0.35">
      <c r="D498" s="236" t="s">
        <v>199</v>
      </c>
      <c r="E498" s="242">
        <f>BDFE!$C$1236/1000</f>
        <v>0</v>
      </c>
      <c r="F498" s="242">
        <f>BDFE!$C$1171/1000</f>
        <v>0</v>
      </c>
      <c r="G498" s="242">
        <f t="shared" si="96"/>
        <v>0</v>
      </c>
    </row>
    <row r="499" spans="4:7" x14ac:dyDescent="0.35">
      <c r="D499" s="236" t="s">
        <v>200</v>
      </c>
      <c r="E499" s="242">
        <f>(BDFE!C1237+BDFE!C1238)/1000</f>
        <v>0</v>
      </c>
      <c r="F499" s="242">
        <f>(BDFE!C1172+BDFE!C1173)/1000</f>
        <v>0</v>
      </c>
      <c r="G499" s="242">
        <f t="shared" si="96"/>
        <v>0</v>
      </c>
    </row>
    <row r="500" spans="4:7" x14ac:dyDescent="0.35">
      <c r="D500" s="236" t="s">
        <v>265</v>
      </c>
      <c r="E500" s="242">
        <f>BDFE!$C$1239/1000</f>
        <v>0</v>
      </c>
      <c r="F500" s="242">
        <f>BDFE!$C$1174/1000</f>
        <v>0</v>
      </c>
      <c r="G500" s="242">
        <f t="shared" si="96"/>
        <v>0</v>
      </c>
    </row>
    <row r="501" spans="4:7" x14ac:dyDescent="0.35">
      <c r="D501" s="236" t="s">
        <v>266</v>
      </c>
      <c r="E501" s="242">
        <f>BDFE!$C$1240/1000</f>
        <v>0</v>
      </c>
      <c r="F501" s="242">
        <f>BDFE!$C$1175/1000</f>
        <v>0</v>
      </c>
      <c r="G501" s="242">
        <f t="shared" si="96"/>
        <v>0</v>
      </c>
    </row>
    <row r="502" spans="4:7" x14ac:dyDescent="0.35">
      <c r="D502" s="236" t="s">
        <v>223</v>
      </c>
      <c r="E502" s="242">
        <f>BDFE!$C$1241/1000</f>
        <v>0</v>
      </c>
      <c r="F502" s="242">
        <f>BDFE!$C$1176/1000</f>
        <v>0</v>
      </c>
      <c r="G502" s="242">
        <f t="shared" si="96"/>
        <v>0</v>
      </c>
    </row>
    <row r="503" spans="4:7" x14ac:dyDescent="0.35">
      <c r="D503" s="236" t="s">
        <v>249</v>
      </c>
      <c r="E503" s="242">
        <f>(BDFE!C1242+BDFE!C1243)/1000</f>
        <v>0</v>
      </c>
      <c r="F503" s="242">
        <f>(BDFE!C1177+BDFE!C1178)/1000</f>
        <v>0</v>
      </c>
      <c r="G503" s="242">
        <f t="shared" si="96"/>
        <v>0</v>
      </c>
    </row>
    <row r="504" spans="4:7" x14ac:dyDescent="0.35">
      <c r="D504" s="236" t="s">
        <v>250</v>
      </c>
      <c r="E504" s="242">
        <f>(BDFE!C1244+BDFE!C1245)/1000</f>
        <v>0</v>
      </c>
      <c r="F504" s="242">
        <f>(BDFE!C1179+BDFE!C1180)/1000</f>
        <v>0</v>
      </c>
      <c r="G504" s="242">
        <f t="shared" si="96"/>
        <v>0</v>
      </c>
    </row>
    <row r="505" spans="4:7" x14ac:dyDescent="0.35">
      <c r="D505" s="236" t="s">
        <v>267</v>
      </c>
      <c r="E505" s="242">
        <f>BDFE!$C$1246/1000</f>
        <v>0</v>
      </c>
      <c r="F505" s="242">
        <f>BDFE!$C$1181/1000</f>
        <v>0</v>
      </c>
      <c r="G505" s="242">
        <f t="shared" si="96"/>
        <v>0</v>
      </c>
    </row>
    <row r="506" spans="4:7" x14ac:dyDescent="0.35">
      <c r="D506" s="236" t="s">
        <v>299</v>
      </c>
      <c r="E506" s="242">
        <f>(BDFE!C1247+BDFE!C1248)/1000</f>
        <v>0</v>
      </c>
      <c r="F506" s="242">
        <f>(BDFE!C1182+BDFE!C1183)/1000</f>
        <v>0</v>
      </c>
      <c r="G506" s="242">
        <f t="shared" si="96"/>
        <v>0</v>
      </c>
    </row>
    <row r="507" spans="4:7" x14ac:dyDescent="0.35">
      <c r="D507" s="235" t="s">
        <v>271</v>
      </c>
      <c r="E507" s="239">
        <f>SUM(E496:E506)</f>
        <v>0</v>
      </c>
      <c r="F507" s="239">
        <f>SUM(F496:F506)</f>
        <v>0</v>
      </c>
      <c r="G507" s="239">
        <f>SUM(G496:G506)</f>
        <v>0</v>
      </c>
    </row>
    <row r="508" spans="4:7" x14ac:dyDescent="0.35">
      <c r="D508" s="236"/>
      <c r="E508" s="249"/>
      <c r="F508" s="249"/>
      <c r="G508" s="249"/>
    </row>
    <row r="509" spans="4:7" x14ac:dyDescent="0.35">
      <c r="D509" s="235" t="s">
        <v>251</v>
      </c>
      <c r="E509" s="252"/>
      <c r="F509" s="252"/>
      <c r="G509" s="252"/>
    </row>
    <row r="510" spans="4:7" x14ac:dyDescent="0.35">
      <c r="D510" s="236" t="s">
        <v>252</v>
      </c>
      <c r="E510" s="241">
        <f>BDFE!$C$1251/1000</f>
        <v>0</v>
      </c>
      <c r="F510" s="241">
        <f>BDFE!$C$1186/1000</f>
        <v>0</v>
      </c>
      <c r="G510" s="241">
        <f t="shared" ref="G510:G515" si="97">SUM(E510,F510)</f>
        <v>0</v>
      </c>
    </row>
    <row r="511" spans="4:7" ht="14.5" hidden="1" customHeight="1" x14ac:dyDescent="0.35">
      <c r="D511" s="236" t="s">
        <v>253</v>
      </c>
      <c r="E511" s="242"/>
      <c r="F511" s="242"/>
      <c r="G511" s="242">
        <f t="shared" si="97"/>
        <v>0</v>
      </c>
    </row>
    <row r="512" spans="4:7" x14ac:dyDescent="0.35">
      <c r="D512" s="236" t="s">
        <v>238</v>
      </c>
      <c r="E512" s="242">
        <f>BDFE!$C$1252/1000</f>
        <v>0</v>
      </c>
      <c r="F512" s="242">
        <f>BDFE!$C$1187/1000</f>
        <v>0</v>
      </c>
      <c r="G512" s="242">
        <f t="shared" si="97"/>
        <v>0</v>
      </c>
    </row>
    <row r="513" spans="4:7" x14ac:dyDescent="0.35">
      <c r="D513" s="236" t="s">
        <v>254</v>
      </c>
      <c r="E513" s="242">
        <f>BDFE!$C$1253/1000</f>
        <v>0</v>
      </c>
      <c r="F513" s="242">
        <f>BDFE!$C$1188/1000</f>
        <v>0</v>
      </c>
      <c r="G513" s="242">
        <f t="shared" si="97"/>
        <v>0</v>
      </c>
    </row>
    <row r="514" spans="4:7" x14ac:dyDescent="0.35">
      <c r="D514" s="236" t="s">
        <v>272</v>
      </c>
      <c r="E514" s="242">
        <f>BDFE!$C$1254/1000</f>
        <v>0</v>
      </c>
      <c r="F514" s="242">
        <f>BDFE!$C$1189/1000</f>
        <v>0</v>
      </c>
      <c r="G514" s="242">
        <f t="shared" si="97"/>
        <v>0</v>
      </c>
    </row>
    <row r="515" spans="4:7" x14ac:dyDescent="0.35">
      <c r="D515" s="236" t="s">
        <v>255</v>
      </c>
      <c r="E515" s="242">
        <f>BDFE!$C$1255/1000</f>
        <v>0</v>
      </c>
      <c r="F515" s="242">
        <f>BDFE!$C$1190/1000</f>
        <v>0</v>
      </c>
      <c r="G515" s="242">
        <f t="shared" si="97"/>
        <v>0</v>
      </c>
    </row>
    <row r="516" spans="4:7" x14ac:dyDescent="0.35">
      <c r="D516" s="235" t="s">
        <v>256</v>
      </c>
      <c r="E516" s="239">
        <f>SUM(E510:E515)</f>
        <v>0</v>
      </c>
      <c r="F516" s="239">
        <f>SUM(F510:F515)</f>
        <v>0</v>
      </c>
      <c r="G516" s="239">
        <f>SUM(G510:G515)</f>
        <v>0</v>
      </c>
    </row>
    <row r="517" spans="4:7" x14ac:dyDescent="0.35">
      <c r="D517" s="235"/>
      <c r="E517" s="249"/>
      <c r="F517" s="249"/>
      <c r="G517" s="249"/>
    </row>
    <row r="518" spans="4:7" x14ac:dyDescent="0.35">
      <c r="D518" s="235" t="s">
        <v>257</v>
      </c>
      <c r="E518" s="252"/>
      <c r="F518" s="252"/>
      <c r="G518" s="252"/>
    </row>
    <row r="519" spans="4:7" x14ac:dyDescent="0.35">
      <c r="D519" s="236" t="s">
        <v>204</v>
      </c>
      <c r="E519" s="241">
        <f>BDFE!$C$1258/1000</f>
        <v>0</v>
      </c>
      <c r="F519" s="241">
        <f>BDFE!$C$1193/1000</f>
        <v>0</v>
      </c>
      <c r="G519" s="241">
        <f t="shared" ref="G519:G533" si="98">SUM(E519,F519)</f>
        <v>0</v>
      </c>
    </row>
    <row r="520" spans="4:7" x14ac:dyDescent="0.35">
      <c r="D520" s="236" t="s">
        <v>205</v>
      </c>
      <c r="E520" s="242">
        <f>BDFE!$C$1259/1000</f>
        <v>0</v>
      </c>
      <c r="F520" s="242">
        <f>BDFE!$C$1194/1000</f>
        <v>0</v>
      </c>
      <c r="G520" s="242">
        <f t="shared" si="98"/>
        <v>0</v>
      </c>
    </row>
    <row r="521" spans="4:7" hidden="1" x14ac:dyDescent="0.35">
      <c r="D521" s="236" t="s">
        <v>209</v>
      </c>
      <c r="E521" s="242">
        <f>BDFE!$C$1261/1000</f>
        <v>0</v>
      </c>
      <c r="F521" s="242">
        <f>BDFE!$C$1196/1000</f>
        <v>0</v>
      </c>
      <c r="G521" s="242">
        <f t="shared" si="98"/>
        <v>0</v>
      </c>
    </row>
    <row r="522" spans="4:7" hidden="1" x14ac:dyDescent="0.35">
      <c r="D522" s="236" t="s">
        <v>208</v>
      </c>
      <c r="E522" s="242">
        <f>BDFE!$C$1265/1000</f>
        <v>0</v>
      </c>
      <c r="F522" s="242">
        <f>BDFE!$C$1200/1000</f>
        <v>0</v>
      </c>
      <c r="G522" s="242">
        <f t="shared" si="98"/>
        <v>0</v>
      </c>
    </row>
    <row r="523" spans="4:7" x14ac:dyDescent="0.35">
      <c r="D523" s="236" t="s">
        <v>207</v>
      </c>
      <c r="E523" s="242">
        <f>BDFE!$C$1267/1000</f>
        <v>0</v>
      </c>
      <c r="F523" s="242">
        <f>BDFE!$C$1202/1000</f>
        <v>0</v>
      </c>
      <c r="G523" s="242">
        <f t="shared" si="98"/>
        <v>0</v>
      </c>
    </row>
    <row r="524" spans="4:7" x14ac:dyDescent="0.35">
      <c r="D524" s="236" t="s">
        <v>258</v>
      </c>
      <c r="E524" s="242">
        <f>BDFE!$C$1262/1000</f>
        <v>0</v>
      </c>
      <c r="F524" s="242">
        <f>BDFE!$C$1197/1000</f>
        <v>0</v>
      </c>
      <c r="G524" s="242">
        <f t="shared" si="98"/>
        <v>0</v>
      </c>
    </row>
    <row r="525" spans="4:7" x14ac:dyDescent="0.35">
      <c r="D525" s="236" t="s">
        <v>273</v>
      </c>
      <c r="E525" s="242">
        <f>BDFE!$C$1269/1000</f>
        <v>0</v>
      </c>
      <c r="F525" s="242">
        <f>BDFE!$C$1204/1000</f>
        <v>0</v>
      </c>
      <c r="G525" s="242">
        <f t="shared" si="98"/>
        <v>0</v>
      </c>
    </row>
    <row r="526" spans="4:7" hidden="1" x14ac:dyDescent="0.35">
      <c r="D526" s="236" t="s">
        <v>274</v>
      </c>
      <c r="E526" s="242">
        <f>BDFE!$C$1270/1000</f>
        <v>0</v>
      </c>
      <c r="F526" s="242">
        <f>BDFE!$C$1205/1000</f>
        <v>0</v>
      </c>
      <c r="G526" s="242">
        <f t="shared" si="98"/>
        <v>0</v>
      </c>
    </row>
    <row r="527" spans="4:7" hidden="1" x14ac:dyDescent="0.35">
      <c r="D527" s="236" t="s">
        <v>275</v>
      </c>
      <c r="E527" s="242"/>
      <c r="F527" s="242"/>
      <c r="G527" s="242">
        <f t="shared" si="98"/>
        <v>0</v>
      </c>
    </row>
    <row r="528" spans="4:7" hidden="1" x14ac:dyDescent="0.35">
      <c r="D528" s="236" t="s">
        <v>259</v>
      </c>
      <c r="E528" s="242"/>
      <c r="F528" s="242"/>
      <c r="G528" s="242">
        <f t="shared" si="98"/>
        <v>0</v>
      </c>
    </row>
    <row r="529" spans="4:14" hidden="1" x14ac:dyDescent="0.35">
      <c r="D529" s="236" t="s">
        <v>260</v>
      </c>
      <c r="E529" s="242"/>
      <c r="F529" s="242"/>
      <c r="G529" s="242">
        <f t="shared" si="98"/>
        <v>0</v>
      </c>
    </row>
    <row r="530" spans="4:14" hidden="1" x14ac:dyDescent="0.35">
      <c r="D530" s="236" t="s">
        <v>300</v>
      </c>
      <c r="E530" s="242"/>
      <c r="F530" s="242"/>
      <c r="G530" s="242">
        <f t="shared" si="98"/>
        <v>0</v>
      </c>
    </row>
    <row r="531" spans="4:14" hidden="1" x14ac:dyDescent="0.35">
      <c r="D531" s="236" t="s">
        <v>262</v>
      </c>
      <c r="E531" s="267"/>
      <c r="F531" s="267"/>
      <c r="G531" s="267">
        <f t="shared" si="98"/>
        <v>0</v>
      </c>
    </row>
    <row r="532" spans="4:14" hidden="1" x14ac:dyDescent="0.35">
      <c r="D532" s="236" t="s">
        <v>301</v>
      </c>
      <c r="E532" s="267">
        <f>BDFE!$C$1272/1000</f>
        <v>0</v>
      </c>
      <c r="F532" s="267">
        <f>BDFE!$C$1207/1000</f>
        <v>0</v>
      </c>
      <c r="G532" s="267">
        <f t="shared" si="98"/>
        <v>0</v>
      </c>
    </row>
    <row r="533" spans="4:14" x14ac:dyDescent="0.35">
      <c r="D533" s="236" t="s">
        <v>302</v>
      </c>
      <c r="E533" s="245">
        <f>(BDFE!C1260+BDFE!C1263+BDFE!C1264+BDFE!C1266+BDFE!C1268+BDFE!C1271-BDFE!C1220)/1000</f>
        <v>0</v>
      </c>
      <c r="F533" s="245">
        <f>(BDFE!C1195+BDFE!C1198+BDFE!C1199+BDFE!C1201+BDFE!C1203+BDFE!C1206-BDFE!C1155)/1000</f>
        <v>0</v>
      </c>
      <c r="G533" s="245">
        <f t="shared" si="98"/>
        <v>0</v>
      </c>
      <c r="N533" t="s">
        <v>303</v>
      </c>
    </row>
    <row r="534" spans="4:14" x14ac:dyDescent="0.35">
      <c r="D534" s="235" t="s">
        <v>263</v>
      </c>
      <c r="E534" s="239">
        <f>SUM(E519:E533)</f>
        <v>0</v>
      </c>
      <c r="F534" s="239">
        <f>SUM(F519:F533)</f>
        <v>0</v>
      </c>
      <c r="G534" s="239">
        <f>SUM(G519:G533)</f>
        <v>0</v>
      </c>
    </row>
    <row r="535" spans="4:14" x14ac:dyDescent="0.35">
      <c r="D535" s="236"/>
      <c r="E535" s="255"/>
      <c r="F535" s="255"/>
      <c r="G535" s="255"/>
    </row>
    <row r="536" spans="4:14" x14ac:dyDescent="0.35">
      <c r="D536" s="235" t="s">
        <v>264</v>
      </c>
      <c r="E536" s="268">
        <f>E493+E507+E516+E534</f>
        <v>0</v>
      </c>
      <c r="F536" s="268">
        <f>F493+F507+F516+F534</f>
        <v>0</v>
      </c>
      <c r="G536" s="268">
        <f>G493+G507+G516+G534</f>
        <v>0</v>
      </c>
    </row>
    <row r="537" spans="4:14" x14ac:dyDescent="0.35">
      <c r="D537" s="237" t="s">
        <v>276</v>
      </c>
      <c r="E537" s="239">
        <f>BDBG!$H$1084/1000</f>
        <v>0</v>
      </c>
      <c r="F537" s="239">
        <f>BDBG!$H$1030/1000</f>
        <v>0</v>
      </c>
      <c r="G537" s="239">
        <f>SUM(E537,F537)</f>
        <v>0</v>
      </c>
    </row>
    <row r="538" spans="4:14" x14ac:dyDescent="0.35">
      <c r="D538" s="237" t="s">
        <v>277</v>
      </c>
      <c r="E538" s="239">
        <f>SUM(E536:E537)</f>
        <v>0</v>
      </c>
      <c r="F538" s="239">
        <f t="shared" ref="F538:G538" si="99">SUM(F536:F537)</f>
        <v>0</v>
      </c>
      <c r="G538" s="239">
        <f t="shared" si="99"/>
        <v>0</v>
      </c>
    </row>
    <row r="545" spans="4:7" x14ac:dyDescent="0.35">
      <c r="D545" s="250"/>
      <c r="E545" s="235" t="s">
        <v>296</v>
      </c>
      <c r="F545" s="236"/>
      <c r="G545" s="236"/>
    </row>
    <row r="546" spans="4:7" x14ac:dyDescent="0.35">
      <c r="D546" s="262"/>
      <c r="E546" s="235" t="s">
        <v>161</v>
      </c>
      <c r="F546" s="235" t="s">
        <v>162</v>
      </c>
      <c r="G546" s="238" t="s">
        <v>270</v>
      </c>
    </row>
    <row r="547" spans="4:7" x14ac:dyDescent="0.35">
      <c r="D547" s="235" t="s">
        <v>298</v>
      </c>
      <c r="E547" s="239">
        <f>(BDFE!F1231+BDFE!F1220)/1000</f>
        <v>0</v>
      </c>
      <c r="F547" s="239">
        <f>(BDFE!F1166+BDFE!F1155)/1000</f>
        <v>0</v>
      </c>
      <c r="G547" s="239">
        <f>SUM(E547,F547)</f>
        <v>0</v>
      </c>
    </row>
    <row r="548" spans="4:7" x14ac:dyDescent="0.35">
      <c r="D548" s="236"/>
      <c r="E548" s="240"/>
      <c r="F548" s="240"/>
      <c r="G548" s="240"/>
    </row>
    <row r="549" spans="4:7" x14ac:dyDescent="0.35">
      <c r="D549" s="235" t="s">
        <v>271</v>
      </c>
      <c r="E549" s="240"/>
      <c r="F549" s="240"/>
      <c r="G549" s="240"/>
    </row>
    <row r="550" spans="4:7" x14ac:dyDescent="0.35">
      <c r="D550" s="236" t="s">
        <v>197</v>
      </c>
      <c r="E550" s="241">
        <f>BDFE!$F$1234/1000</f>
        <v>0</v>
      </c>
      <c r="F550" s="241">
        <f>BDFE!$F$1169/1000</f>
        <v>0</v>
      </c>
      <c r="G550" s="241">
        <f t="shared" ref="G550:G560" si="100">SUM(E550,F550)</f>
        <v>0</v>
      </c>
    </row>
    <row r="551" spans="4:7" x14ac:dyDescent="0.35">
      <c r="D551" s="236" t="s">
        <v>198</v>
      </c>
      <c r="E551" s="242">
        <f>BDFE!$F$1235/1000</f>
        <v>0</v>
      </c>
      <c r="F551" s="242">
        <f>BDFE!$F$1170/1000</f>
        <v>0</v>
      </c>
      <c r="G551" s="242">
        <f t="shared" si="100"/>
        <v>0</v>
      </c>
    </row>
    <row r="552" spans="4:7" x14ac:dyDescent="0.35">
      <c r="D552" s="236" t="s">
        <v>199</v>
      </c>
      <c r="E552" s="242">
        <f>BDFE!$F$1236/1000</f>
        <v>0</v>
      </c>
      <c r="F552" s="242">
        <f>BDFE!$F$1171/1000</f>
        <v>0</v>
      </c>
      <c r="G552" s="242">
        <f t="shared" si="100"/>
        <v>0</v>
      </c>
    </row>
    <row r="553" spans="4:7" x14ac:dyDescent="0.35">
      <c r="D553" s="236" t="s">
        <v>200</v>
      </c>
      <c r="E553" s="242">
        <f>(BDFE!F1237+BDFE!F1238)/1000</f>
        <v>0</v>
      </c>
      <c r="F553" s="242">
        <f>(BDFE!F1172+BDFE!F1173)/1000</f>
        <v>0</v>
      </c>
      <c r="G553" s="242">
        <f t="shared" si="100"/>
        <v>0</v>
      </c>
    </row>
    <row r="554" spans="4:7" x14ac:dyDescent="0.35">
      <c r="D554" s="236" t="s">
        <v>265</v>
      </c>
      <c r="E554" s="242">
        <f>BDFE!$F$1239/1000</f>
        <v>0</v>
      </c>
      <c r="F554" s="242">
        <f>BDFE!$F$1174/1000</f>
        <v>0</v>
      </c>
      <c r="G554" s="242">
        <f t="shared" si="100"/>
        <v>0</v>
      </c>
    </row>
    <row r="555" spans="4:7" x14ac:dyDescent="0.35">
      <c r="D555" s="236" t="s">
        <v>266</v>
      </c>
      <c r="E555" s="242">
        <f>BDFE!$F$1240/1000</f>
        <v>0</v>
      </c>
      <c r="F555" s="242">
        <f>BDFE!$F$1175/1000</f>
        <v>0</v>
      </c>
      <c r="G555" s="242">
        <f t="shared" si="100"/>
        <v>0</v>
      </c>
    </row>
    <row r="556" spans="4:7" x14ac:dyDescent="0.35">
      <c r="D556" s="236" t="s">
        <v>223</v>
      </c>
      <c r="E556" s="242">
        <f>BDFE!$F$1241/1000</f>
        <v>0</v>
      </c>
      <c r="F556" s="242">
        <f>BDFE!$F$1176/1000</f>
        <v>0</v>
      </c>
      <c r="G556" s="242">
        <f t="shared" si="100"/>
        <v>0</v>
      </c>
    </row>
    <row r="557" spans="4:7" x14ac:dyDescent="0.35">
      <c r="D557" s="236" t="s">
        <v>249</v>
      </c>
      <c r="E557" s="242">
        <f>(BDFE!F1242+BDFE!F1243)/1000</f>
        <v>0</v>
      </c>
      <c r="F557" s="242">
        <f>(BDFE!F1177+BDFE!F1178)/1000</f>
        <v>0</v>
      </c>
      <c r="G557" s="242">
        <f t="shared" si="100"/>
        <v>0</v>
      </c>
    </row>
    <row r="558" spans="4:7" x14ac:dyDescent="0.35">
      <c r="D558" s="236" t="s">
        <v>250</v>
      </c>
      <c r="E558" s="242">
        <f>(BDFE!F1244+BDFE!F1245)/1000</f>
        <v>0</v>
      </c>
      <c r="F558" s="242">
        <f>(BDFE!F1179+BDFE!F1180)/1000</f>
        <v>0</v>
      </c>
      <c r="G558" s="242">
        <f t="shared" si="100"/>
        <v>0</v>
      </c>
    </row>
    <row r="559" spans="4:7" x14ac:dyDescent="0.35">
      <c r="D559" s="236" t="s">
        <v>267</v>
      </c>
      <c r="E559" s="242">
        <f>BDFE!$F$1246/1000</f>
        <v>0</v>
      </c>
      <c r="F559" s="242">
        <f>BDFE!$F$1181/1000</f>
        <v>0</v>
      </c>
      <c r="G559" s="242">
        <f t="shared" si="100"/>
        <v>0</v>
      </c>
    </row>
    <row r="560" spans="4:7" x14ac:dyDescent="0.35">
      <c r="D560" s="236" t="s">
        <v>299</v>
      </c>
      <c r="E560" s="242">
        <f>(BDFE!F1247+BDFE!F1248)/1000</f>
        <v>0</v>
      </c>
      <c r="F560" s="242">
        <f>(BDFE!F1182+BDFE!F1183)/1000</f>
        <v>0</v>
      </c>
      <c r="G560" s="242">
        <f t="shared" si="100"/>
        <v>0</v>
      </c>
    </row>
    <row r="561" spans="4:7" x14ac:dyDescent="0.35">
      <c r="D561" s="235" t="s">
        <v>271</v>
      </c>
      <c r="E561" s="239">
        <f>SUM(E550:E560)</f>
        <v>0</v>
      </c>
      <c r="F561" s="239">
        <f>SUM(F550:F560)</f>
        <v>0</v>
      </c>
      <c r="G561" s="239">
        <f>SUM(G550:G560)</f>
        <v>0</v>
      </c>
    </row>
    <row r="562" spans="4:7" ht="14" customHeight="1" x14ac:dyDescent="0.35">
      <c r="D562" s="236"/>
      <c r="E562" s="249"/>
      <c r="F562" s="249"/>
      <c r="G562" s="249"/>
    </row>
    <row r="563" spans="4:7" x14ac:dyDescent="0.35">
      <c r="D563" s="235" t="s">
        <v>251</v>
      </c>
      <c r="E563" s="240"/>
      <c r="F563" s="252"/>
      <c r="G563" s="252"/>
    </row>
    <row r="564" spans="4:7" x14ac:dyDescent="0.35">
      <c r="D564" s="236" t="s">
        <v>252</v>
      </c>
      <c r="E564" s="241">
        <f>BDFE!$F$1251/1000</f>
        <v>0</v>
      </c>
      <c r="F564" s="241">
        <f>BDFE!$F$1186/1000</f>
        <v>0</v>
      </c>
      <c r="G564" s="241">
        <f t="shared" ref="G564:G569" si="101">SUM(E564,F564)</f>
        <v>0</v>
      </c>
    </row>
    <row r="565" spans="4:7" hidden="1" x14ac:dyDescent="0.35">
      <c r="D565" s="236" t="s">
        <v>253</v>
      </c>
      <c r="E565" s="242"/>
      <c r="F565" s="242"/>
      <c r="G565" s="242">
        <f t="shared" si="101"/>
        <v>0</v>
      </c>
    </row>
    <row r="566" spans="4:7" x14ac:dyDescent="0.35">
      <c r="D566" s="236" t="s">
        <v>238</v>
      </c>
      <c r="E566" s="242">
        <f>BDFE!$F$1252/1000</f>
        <v>0</v>
      </c>
      <c r="F566" s="242">
        <f>BDFE!$F$1187/1000</f>
        <v>0</v>
      </c>
      <c r="G566" s="242">
        <f t="shared" si="101"/>
        <v>0</v>
      </c>
    </row>
    <row r="567" spans="4:7" x14ac:dyDescent="0.35">
      <c r="D567" s="236" t="s">
        <v>254</v>
      </c>
      <c r="E567" s="242">
        <f>BDFE!$F$1253/1000</f>
        <v>0</v>
      </c>
      <c r="F567" s="242">
        <f>BDFE!$F$1188/1000</f>
        <v>0</v>
      </c>
      <c r="G567" s="242">
        <f t="shared" si="101"/>
        <v>0</v>
      </c>
    </row>
    <row r="568" spans="4:7" x14ac:dyDescent="0.35">
      <c r="D568" s="236" t="s">
        <v>272</v>
      </c>
      <c r="E568" s="242">
        <f>BDFE!$F$1254/1000</f>
        <v>0</v>
      </c>
      <c r="F568" s="242">
        <f>BDFE!$F$1189/1000</f>
        <v>0</v>
      </c>
      <c r="G568" s="242">
        <f t="shared" si="101"/>
        <v>0</v>
      </c>
    </row>
    <row r="569" spans="4:7" x14ac:dyDescent="0.35">
      <c r="D569" s="236" t="s">
        <v>255</v>
      </c>
      <c r="E569" s="242">
        <f>BDFE!$F$1255/1000</f>
        <v>0</v>
      </c>
      <c r="F569" s="242">
        <f>BDFE!$F$1190/1000</f>
        <v>0</v>
      </c>
      <c r="G569" s="242">
        <f t="shared" si="101"/>
        <v>0</v>
      </c>
    </row>
    <row r="570" spans="4:7" x14ac:dyDescent="0.35">
      <c r="D570" s="235" t="s">
        <v>256</v>
      </c>
      <c r="E570" s="239">
        <f>SUM(E564:E569)</f>
        <v>0</v>
      </c>
      <c r="F570" s="239">
        <f>SUM(F564:F569)</f>
        <v>0</v>
      </c>
      <c r="G570" s="239">
        <f>SUM(G564:G569)</f>
        <v>0</v>
      </c>
    </row>
    <row r="571" spans="4:7" x14ac:dyDescent="0.35">
      <c r="D571" s="235"/>
      <c r="E571" s="249"/>
      <c r="F571" s="249"/>
      <c r="G571" s="249"/>
    </row>
    <row r="572" spans="4:7" x14ac:dyDescent="0.35">
      <c r="D572" s="235" t="s">
        <v>257</v>
      </c>
      <c r="E572" s="240"/>
      <c r="F572" s="252"/>
      <c r="G572" s="252"/>
    </row>
    <row r="573" spans="4:7" x14ac:dyDescent="0.35">
      <c r="D573" s="236" t="s">
        <v>204</v>
      </c>
      <c r="E573" s="241">
        <f>BDFE!$F$1258/1000</f>
        <v>0</v>
      </c>
      <c r="F573" s="241">
        <f>BDFE!$F$1193/1000</f>
        <v>0</v>
      </c>
      <c r="G573" s="241">
        <f t="shared" ref="G573:G587" si="102">SUM(E573,F573)</f>
        <v>0</v>
      </c>
    </row>
    <row r="574" spans="4:7" x14ac:dyDescent="0.35">
      <c r="D574" s="236" t="s">
        <v>205</v>
      </c>
      <c r="E574" s="242">
        <f>BDFE!$F$1259/1000</f>
        <v>0</v>
      </c>
      <c r="F574" s="242">
        <f>BDFE!$F$1194/1000</f>
        <v>0</v>
      </c>
      <c r="G574" s="242">
        <f t="shared" si="102"/>
        <v>0</v>
      </c>
    </row>
    <row r="575" spans="4:7" hidden="1" x14ac:dyDescent="0.35">
      <c r="D575" s="236" t="s">
        <v>209</v>
      </c>
      <c r="E575" s="242">
        <f>BDFE!$F$1261/1000</f>
        <v>0</v>
      </c>
      <c r="F575" s="242">
        <f>BDFE!$F$1196/1000</f>
        <v>0</v>
      </c>
      <c r="G575" s="242">
        <f t="shared" si="102"/>
        <v>0</v>
      </c>
    </row>
    <row r="576" spans="4:7" hidden="1" x14ac:dyDescent="0.35">
      <c r="D576" s="236" t="s">
        <v>208</v>
      </c>
      <c r="E576" s="242">
        <f>BDFE!$F$1265/1000</f>
        <v>0</v>
      </c>
      <c r="F576" s="242">
        <f>BDFE!$F$1200/1000</f>
        <v>0</v>
      </c>
      <c r="G576" s="242">
        <f t="shared" si="102"/>
        <v>0</v>
      </c>
    </row>
    <row r="577" spans="4:7" x14ac:dyDescent="0.35">
      <c r="D577" s="236" t="s">
        <v>207</v>
      </c>
      <c r="E577" s="242">
        <f>BDFE!$F$1267/1000</f>
        <v>0</v>
      </c>
      <c r="F577" s="242">
        <f>BDFE!$F$1202/1000</f>
        <v>0</v>
      </c>
      <c r="G577" s="242">
        <f t="shared" si="102"/>
        <v>0</v>
      </c>
    </row>
    <row r="578" spans="4:7" x14ac:dyDescent="0.35">
      <c r="D578" s="236" t="s">
        <v>258</v>
      </c>
      <c r="E578" s="242">
        <f>BDFE!$F$1262/1000</f>
        <v>0</v>
      </c>
      <c r="F578" s="242">
        <f>BDFE!$F$1197/1000</f>
        <v>0</v>
      </c>
      <c r="G578" s="242">
        <f t="shared" si="102"/>
        <v>0</v>
      </c>
    </row>
    <row r="579" spans="4:7" x14ac:dyDescent="0.35">
      <c r="D579" s="236" t="s">
        <v>273</v>
      </c>
      <c r="E579" s="242">
        <f>BDFE!$F$1269/1000</f>
        <v>0</v>
      </c>
      <c r="F579" s="242">
        <f>BDFE!$F$1204/1000</f>
        <v>0</v>
      </c>
      <c r="G579" s="242">
        <f t="shared" si="102"/>
        <v>0</v>
      </c>
    </row>
    <row r="580" spans="4:7" x14ac:dyDescent="0.35">
      <c r="D580" s="236" t="s">
        <v>274</v>
      </c>
      <c r="E580" s="242">
        <f>BDFE!$F$1270/1000</f>
        <v>0</v>
      </c>
      <c r="F580" s="242">
        <f>BDFE!$F$1205/1000</f>
        <v>0</v>
      </c>
      <c r="G580" s="242">
        <f t="shared" si="102"/>
        <v>0</v>
      </c>
    </row>
    <row r="581" spans="4:7" hidden="1" x14ac:dyDescent="0.35">
      <c r="D581" s="236" t="s">
        <v>275</v>
      </c>
      <c r="E581" s="242"/>
      <c r="F581" s="242"/>
      <c r="G581" s="242">
        <f t="shared" si="102"/>
        <v>0</v>
      </c>
    </row>
    <row r="582" spans="4:7" hidden="1" x14ac:dyDescent="0.35">
      <c r="D582" s="236" t="s">
        <v>259</v>
      </c>
      <c r="E582" s="242"/>
      <c r="F582" s="242"/>
      <c r="G582" s="242">
        <f t="shared" si="102"/>
        <v>0</v>
      </c>
    </row>
    <row r="583" spans="4:7" hidden="1" x14ac:dyDescent="0.35">
      <c r="D583" s="236" t="s">
        <v>260</v>
      </c>
      <c r="E583" s="242"/>
      <c r="F583" s="242"/>
      <c r="G583" s="242">
        <f t="shared" si="102"/>
        <v>0</v>
      </c>
    </row>
    <row r="584" spans="4:7" hidden="1" x14ac:dyDescent="0.35">
      <c r="D584" s="236" t="s">
        <v>300</v>
      </c>
      <c r="E584" s="242"/>
      <c r="F584" s="242"/>
      <c r="G584" s="242">
        <f t="shared" si="102"/>
        <v>0</v>
      </c>
    </row>
    <row r="585" spans="4:7" hidden="1" x14ac:dyDescent="0.35">
      <c r="D585" s="236" t="s">
        <v>262</v>
      </c>
      <c r="E585" s="267"/>
      <c r="F585" s="267"/>
      <c r="G585" s="267">
        <f t="shared" si="102"/>
        <v>0</v>
      </c>
    </row>
    <row r="586" spans="4:7" hidden="1" x14ac:dyDescent="0.35">
      <c r="D586" s="236" t="s">
        <v>301</v>
      </c>
      <c r="E586" s="267">
        <f>BDFE!$F$1272/1000</f>
        <v>0</v>
      </c>
      <c r="F586" s="267">
        <f>BDFE!$F$1207/1000</f>
        <v>0</v>
      </c>
      <c r="G586" s="267">
        <f t="shared" si="102"/>
        <v>0</v>
      </c>
    </row>
    <row r="587" spans="4:7" x14ac:dyDescent="0.35">
      <c r="D587" s="236" t="s">
        <v>302</v>
      </c>
      <c r="E587" s="245">
        <f>(BDFE!F1260+BDFE!F1263+BDFE!F1264+BDFE!F1266+BDFE!F1268+BDFE!F1271-BDFE!F1220)/1000</f>
        <v>0</v>
      </c>
      <c r="F587" s="242">
        <f>(BDFE!F1195+BDFE!F1198+BDFE!F1199+BDFE!F1201+BDFE!F1203+BDFE!F1206-BDFE!F1155)/1000</f>
        <v>0</v>
      </c>
      <c r="G587" s="242">
        <f t="shared" si="102"/>
        <v>0</v>
      </c>
    </row>
    <row r="588" spans="4:7" x14ac:dyDescent="0.35">
      <c r="D588" s="235" t="s">
        <v>263</v>
      </c>
      <c r="E588" s="239">
        <f>SUM(E573:E587)</f>
        <v>0</v>
      </c>
      <c r="F588" s="239">
        <f>SUM(F573:F587)</f>
        <v>0</v>
      </c>
      <c r="G588" s="239">
        <f>SUM(G573:G587)</f>
        <v>0</v>
      </c>
    </row>
    <row r="589" spans="4:7" x14ac:dyDescent="0.35">
      <c r="D589" s="236"/>
      <c r="E589" s="255"/>
      <c r="F589" s="255"/>
      <c r="G589" s="255"/>
    </row>
    <row r="590" spans="4:7" x14ac:dyDescent="0.35">
      <c r="D590" s="235" t="s">
        <v>264</v>
      </c>
      <c r="E590" s="268">
        <f>E547+E561+E570+E588</f>
        <v>0</v>
      </c>
      <c r="F590" s="268">
        <f>F547+F561+F570+F588</f>
        <v>0</v>
      </c>
      <c r="G590" s="268">
        <f>G547+G561+G570+G588</f>
        <v>0</v>
      </c>
    </row>
    <row r="591" spans="4:7" x14ac:dyDescent="0.35">
      <c r="D591" s="237" t="s">
        <v>276</v>
      </c>
      <c r="E591" s="239">
        <f>BDBG!$I$1084/1000</f>
        <v>0</v>
      </c>
      <c r="F591" s="239">
        <f>BDBG!$I$1030/1000</f>
        <v>0</v>
      </c>
      <c r="G591" s="239">
        <f>SUM(E591,F591)</f>
        <v>0</v>
      </c>
    </row>
    <row r="592" spans="4:7" x14ac:dyDescent="0.35">
      <c r="D592" s="237" t="s">
        <v>277</v>
      </c>
      <c r="E592" s="239">
        <f>SUM(E590:E591)</f>
        <v>0</v>
      </c>
      <c r="F592" s="239">
        <f t="shared" ref="F592" si="103">SUM(F590:F591)</f>
        <v>0</v>
      </c>
      <c r="G592" s="239">
        <f t="shared" ref="G592" si="104">SUM(G590:G591)</f>
        <v>0</v>
      </c>
    </row>
    <row r="599" spans="3:11" x14ac:dyDescent="0.35">
      <c r="C599" t="s">
        <v>304</v>
      </c>
    </row>
    <row r="600" spans="3:11" x14ac:dyDescent="0.35">
      <c r="D600" s="25"/>
      <c r="E600" s="269"/>
      <c r="F600" s="269"/>
      <c r="G600" s="269"/>
      <c r="H600" s="269"/>
      <c r="I600" s="269" t="s">
        <v>106</v>
      </c>
      <c r="J600" s="269"/>
      <c r="K600" s="270"/>
    </row>
    <row r="601" spans="3:11" x14ac:dyDescent="0.3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35">
      <c r="D602" s="4" t="s">
        <v>305</v>
      </c>
      <c r="E602" s="14">
        <f>$K$100</f>
        <v>0</v>
      </c>
      <c r="F602" s="14">
        <f>I196*TC_MES</f>
        <v>0</v>
      </c>
      <c r="G602" s="14">
        <f>J293*TC_MES</f>
        <v>0</v>
      </c>
      <c r="H602" s="14">
        <f>J390</f>
        <v>0</v>
      </c>
      <c r="I602" s="14">
        <f>G493</f>
        <v>0</v>
      </c>
      <c r="J602" s="14">
        <f>SUM(E602,F602,G602,H602,I602)</f>
        <v>0</v>
      </c>
    </row>
    <row r="603" spans="3:11" x14ac:dyDescent="0.35">
      <c r="D603" s="7"/>
      <c r="E603" s="30"/>
      <c r="F603" s="30"/>
      <c r="G603" s="30"/>
      <c r="H603" s="30"/>
      <c r="I603" s="30"/>
      <c r="J603" s="30"/>
    </row>
    <row r="604" spans="3:11" x14ac:dyDescent="0.35">
      <c r="D604" s="4" t="s">
        <v>271</v>
      </c>
      <c r="E604" s="30"/>
      <c r="F604" s="30"/>
      <c r="G604" s="30"/>
      <c r="H604" s="30"/>
      <c r="I604" s="30"/>
      <c r="J604" s="30"/>
    </row>
    <row r="605" spans="3:11" x14ac:dyDescent="0.35">
      <c r="D605" s="7" t="s">
        <v>306</v>
      </c>
      <c r="E605" s="8">
        <f t="shared" ref="E605:E612" si="105">K103</f>
        <v>0</v>
      </c>
      <c r="F605" s="8">
        <f t="shared" ref="F605:F612" si="106">I199*TC_MES</f>
        <v>0</v>
      </c>
      <c r="G605" s="8">
        <f t="shared" ref="G605:G612" si="107">J296*TC_MES</f>
        <v>0</v>
      </c>
      <c r="H605" s="8">
        <f t="shared" ref="H605:H612" si="108">J393</f>
        <v>0</v>
      </c>
      <c r="I605" s="8">
        <f>G496</f>
        <v>0</v>
      </c>
      <c r="J605" s="8">
        <f t="shared" ref="J605:J612" si="109">SUM(E605,F605,G605,H605,I605)</f>
        <v>0</v>
      </c>
    </row>
    <row r="606" spans="3:11" x14ac:dyDescent="0.35">
      <c r="D606" s="7" t="s">
        <v>307</v>
      </c>
      <c r="E606" s="11">
        <f t="shared" si="105"/>
        <v>0</v>
      </c>
      <c r="F606" s="11">
        <f t="shared" si="106"/>
        <v>0</v>
      </c>
      <c r="G606" s="11">
        <f t="shared" si="107"/>
        <v>0</v>
      </c>
      <c r="H606" s="11">
        <f t="shared" si="108"/>
        <v>0</v>
      </c>
      <c r="I606" s="11">
        <f>G497</f>
        <v>0</v>
      </c>
      <c r="J606" s="11">
        <f t="shared" si="109"/>
        <v>0</v>
      </c>
    </row>
    <row r="607" spans="3:11" x14ac:dyDescent="0.35">
      <c r="D607" s="7" t="s">
        <v>308</v>
      </c>
      <c r="E607" s="11">
        <f t="shared" si="105"/>
        <v>0</v>
      </c>
      <c r="F607" s="11">
        <f t="shared" si="106"/>
        <v>0</v>
      </c>
      <c r="G607" s="11">
        <f t="shared" si="107"/>
        <v>0</v>
      </c>
      <c r="H607" s="11">
        <f t="shared" si="108"/>
        <v>0</v>
      </c>
      <c r="I607" s="11">
        <f>G498</f>
        <v>0</v>
      </c>
      <c r="J607" s="11">
        <f t="shared" si="109"/>
        <v>0</v>
      </c>
    </row>
    <row r="608" spans="3:11" x14ac:dyDescent="0.35">
      <c r="D608" s="7" t="s">
        <v>309</v>
      </c>
      <c r="E608" s="11">
        <f t="shared" si="105"/>
        <v>0</v>
      </c>
      <c r="F608" s="11">
        <f t="shared" si="106"/>
        <v>0</v>
      </c>
      <c r="G608" s="11">
        <f t="shared" si="107"/>
        <v>0</v>
      </c>
      <c r="H608" s="11">
        <f t="shared" si="108"/>
        <v>0</v>
      </c>
      <c r="I608" s="11">
        <f>G499</f>
        <v>0</v>
      </c>
      <c r="J608" s="11">
        <f t="shared" si="109"/>
        <v>0</v>
      </c>
    </row>
    <row r="609" spans="4:10" x14ac:dyDescent="0.35">
      <c r="D609" s="7" t="s">
        <v>310</v>
      </c>
      <c r="E609" s="11">
        <f t="shared" si="105"/>
        <v>0</v>
      </c>
      <c r="F609" s="11">
        <f t="shared" si="106"/>
        <v>0</v>
      </c>
      <c r="G609" s="11">
        <f t="shared" si="107"/>
        <v>0</v>
      </c>
      <c r="H609" s="11">
        <f t="shared" si="108"/>
        <v>0</v>
      </c>
      <c r="I609" s="11">
        <f>G502</f>
        <v>0</v>
      </c>
      <c r="J609" s="11">
        <f t="shared" si="109"/>
        <v>0</v>
      </c>
    </row>
    <row r="610" spans="4:10" x14ac:dyDescent="0.35">
      <c r="D610" s="7" t="s">
        <v>311</v>
      </c>
      <c r="E610" s="11">
        <f t="shared" si="105"/>
        <v>0</v>
      </c>
      <c r="F610" s="11">
        <f t="shared" si="106"/>
        <v>0</v>
      </c>
      <c r="G610" s="11">
        <f t="shared" si="107"/>
        <v>0</v>
      </c>
      <c r="H610" s="11">
        <f t="shared" si="108"/>
        <v>0</v>
      </c>
      <c r="I610" s="11">
        <f>G503</f>
        <v>0</v>
      </c>
      <c r="J610" s="11">
        <f t="shared" si="109"/>
        <v>0</v>
      </c>
    </row>
    <row r="611" spans="4:10" x14ac:dyDescent="0.35">
      <c r="D611" s="7" t="s">
        <v>312</v>
      </c>
      <c r="E611" s="11">
        <f t="shared" si="105"/>
        <v>0</v>
      </c>
      <c r="F611" s="11">
        <f t="shared" si="106"/>
        <v>0</v>
      </c>
      <c r="G611" s="11">
        <f t="shared" si="107"/>
        <v>0</v>
      </c>
      <c r="H611" s="11">
        <f t="shared" si="108"/>
        <v>0</v>
      </c>
      <c r="I611" s="11">
        <f>G504</f>
        <v>0</v>
      </c>
      <c r="J611" s="11">
        <f t="shared" si="109"/>
        <v>0</v>
      </c>
    </row>
    <row r="612" spans="4:10" x14ac:dyDescent="0.35">
      <c r="D612" s="4" t="s">
        <v>271</v>
      </c>
      <c r="E612" s="14">
        <f t="shared" si="105"/>
        <v>0</v>
      </c>
      <c r="F612" s="14">
        <f t="shared" si="106"/>
        <v>0</v>
      </c>
      <c r="G612" s="14">
        <f t="shared" si="107"/>
        <v>0</v>
      </c>
      <c r="H612" s="259">
        <f t="shared" si="108"/>
        <v>0</v>
      </c>
      <c r="I612" s="14">
        <f>G507</f>
        <v>0</v>
      </c>
      <c r="J612" s="14">
        <f t="shared" si="109"/>
        <v>0</v>
      </c>
    </row>
    <row r="613" spans="4:10" x14ac:dyDescent="0.35">
      <c r="D613" s="7"/>
      <c r="E613" s="202"/>
      <c r="F613" s="202"/>
      <c r="G613" s="202"/>
      <c r="H613" s="202"/>
      <c r="I613" s="202"/>
      <c r="J613" s="202"/>
    </row>
    <row r="614" spans="4:10" x14ac:dyDescent="0.35">
      <c r="D614" s="4" t="s">
        <v>313</v>
      </c>
      <c r="E614" s="30"/>
      <c r="F614" s="30"/>
      <c r="G614" s="30"/>
      <c r="H614" s="30"/>
      <c r="I614" s="30"/>
      <c r="J614" s="30"/>
    </row>
    <row r="615" spans="4:10" x14ac:dyDescent="0.35">
      <c r="D615" s="7" t="s">
        <v>314</v>
      </c>
      <c r="E615" s="8">
        <f t="shared" ref="E615:E621" si="110">K113</f>
        <v>0</v>
      </c>
      <c r="F615" s="8">
        <f t="shared" ref="F615:F621" si="111">I209*TC_MES</f>
        <v>0</v>
      </c>
      <c r="G615" s="8">
        <f t="shared" ref="G615:G621" si="112">J306*TC_MES</f>
        <v>0</v>
      </c>
      <c r="H615" s="8">
        <f t="shared" ref="H615:H621" si="113">J403</f>
        <v>0</v>
      </c>
      <c r="I615" s="8">
        <f t="shared" ref="I615:I621" si="114">G510</f>
        <v>0</v>
      </c>
      <c r="J615" s="8">
        <f t="shared" ref="J615:J621" si="115">SUM(E615,F615,G615,H615,I615)</f>
        <v>0</v>
      </c>
    </row>
    <row r="616" spans="4:10" x14ac:dyDescent="0.35">
      <c r="D616" s="7" t="s">
        <v>315</v>
      </c>
      <c r="E616" s="11">
        <f t="shared" si="110"/>
        <v>0</v>
      </c>
      <c r="F616" s="11">
        <f t="shared" si="111"/>
        <v>0</v>
      </c>
      <c r="G616" s="11">
        <f t="shared" si="112"/>
        <v>0</v>
      </c>
      <c r="H616" s="11">
        <f t="shared" si="113"/>
        <v>0</v>
      </c>
      <c r="I616" s="11">
        <f t="shared" si="114"/>
        <v>0</v>
      </c>
      <c r="J616" s="11">
        <f t="shared" si="115"/>
        <v>0</v>
      </c>
    </row>
    <row r="617" spans="4:10" x14ac:dyDescent="0.35">
      <c r="D617" s="7" t="s">
        <v>316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35">
      <c r="D618" s="7" t="s">
        <v>317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35">
      <c r="D619" s="7" t="s">
        <v>272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35">
      <c r="D620" s="7" t="s">
        <v>318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</row>
    <row r="621" spans="4:10" x14ac:dyDescent="0.35">
      <c r="D621" s="4" t="s">
        <v>319</v>
      </c>
      <c r="E621" s="14">
        <f t="shared" si="110"/>
        <v>0</v>
      </c>
      <c r="F621" s="14">
        <f t="shared" si="111"/>
        <v>0</v>
      </c>
      <c r="G621" s="14">
        <f t="shared" si="112"/>
        <v>0</v>
      </c>
      <c r="H621" s="14">
        <f t="shared" si="113"/>
        <v>0</v>
      </c>
      <c r="I621" s="14">
        <f t="shared" si="114"/>
        <v>0</v>
      </c>
      <c r="J621" s="14">
        <f t="shared" si="115"/>
        <v>0</v>
      </c>
    </row>
    <row r="622" spans="4:10" x14ac:dyDescent="0.35">
      <c r="D622" s="4"/>
      <c r="E622" s="209"/>
      <c r="F622" s="209"/>
      <c r="G622" s="209"/>
      <c r="H622" s="209"/>
      <c r="I622" s="209"/>
      <c r="J622" s="209"/>
    </row>
    <row r="623" spans="4:10" x14ac:dyDescent="0.35">
      <c r="D623" s="4" t="s">
        <v>320</v>
      </c>
      <c r="E623" s="30"/>
      <c r="F623" s="30"/>
      <c r="G623" s="30"/>
      <c r="H623" s="30"/>
      <c r="I623" s="30"/>
      <c r="J623" s="30"/>
    </row>
    <row r="624" spans="4:10" x14ac:dyDescent="0.35">
      <c r="D624" s="7" t="s">
        <v>321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0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0</v>
      </c>
    </row>
    <row r="625" spans="4:10" x14ac:dyDescent="0.35">
      <c r="D625" s="7" t="s">
        <v>322</v>
      </c>
      <c r="E625" s="11">
        <f t="shared" si="116"/>
        <v>0</v>
      </c>
      <c r="F625" s="11">
        <f t="shared" si="117"/>
        <v>0</v>
      </c>
      <c r="G625" s="11">
        <f t="shared" si="118"/>
        <v>0</v>
      </c>
      <c r="H625" s="11">
        <f t="shared" si="119"/>
        <v>0</v>
      </c>
      <c r="I625" s="11">
        <f t="shared" si="120"/>
        <v>0</v>
      </c>
      <c r="J625" s="11">
        <f t="shared" si="121"/>
        <v>0</v>
      </c>
    </row>
    <row r="626" spans="4:10" x14ac:dyDescent="0.35">
      <c r="D626" s="7" t="s">
        <v>323</v>
      </c>
      <c r="E626" s="11">
        <f t="shared" si="116"/>
        <v>0</v>
      </c>
      <c r="F626" s="11">
        <f t="shared" si="117"/>
        <v>0</v>
      </c>
      <c r="G626" s="11">
        <f t="shared" si="118"/>
        <v>0</v>
      </c>
      <c r="H626" s="11">
        <f t="shared" si="119"/>
        <v>0</v>
      </c>
      <c r="I626" s="11">
        <f t="shared" si="120"/>
        <v>0</v>
      </c>
      <c r="J626" s="11">
        <f t="shared" si="121"/>
        <v>0</v>
      </c>
    </row>
    <row r="627" spans="4:10" x14ac:dyDescent="0.35">
      <c r="D627" s="7" t="s">
        <v>324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0</v>
      </c>
      <c r="I627" s="11">
        <f t="shared" si="120"/>
        <v>0</v>
      </c>
      <c r="J627" s="11">
        <f t="shared" si="121"/>
        <v>0</v>
      </c>
    </row>
    <row r="628" spans="4:10" x14ac:dyDescent="0.35">
      <c r="D628" s="7" t="s">
        <v>325</v>
      </c>
      <c r="E628" s="11">
        <f t="shared" si="116"/>
        <v>0</v>
      </c>
      <c r="F628" s="11">
        <f t="shared" si="117"/>
        <v>0</v>
      </c>
      <c r="G628" s="11">
        <f t="shared" si="118"/>
        <v>0</v>
      </c>
      <c r="H628" s="11">
        <f t="shared" si="119"/>
        <v>0</v>
      </c>
      <c r="I628" s="11">
        <f t="shared" si="120"/>
        <v>0</v>
      </c>
      <c r="J628" s="11">
        <f t="shared" si="121"/>
        <v>0</v>
      </c>
    </row>
    <row r="629" spans="4:10" x14ac:dyDescent="0.35">
      <c r="D629" s="7" t="s">
        <v>326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0</v>
      </c>
      <c r="I629" s="11">
        <f t="shared" si="120"/>
        <v>0</v>
      </c>
      <c r="J629" s="11">
        <f t="shared" si="121"/>
        <v>0</v>
      </c>
    </row>
    <row r="630" spans="4:10" x14ac:dyDescent="0.35">
      <c r="D630" s="7" t="s">
        <v>327</v>
      </c>
      <c r="E630" s="11">
        <f t="shared" si="116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0</v>
      </c>
    </row>
    <row r="631" spans="4:10" x14ac:dyDescent="0.35">
      <c r="D631" s="7" t="s">
        <v>328</v>
      </c>
      <c r="E631" s="11">
        <f t="shared" si="116"/>
        <v>0</v>
      </c>
      <c r="F631" s="11">
        <f t="shared" si="117"/>
        <v>0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0</v>
      </c>
    </row>
    <row r="632" spans="4:10" hidden="1" x14ac:dyDescent="0.35">
      <c r="D632" s="7" t="s">
        <v>329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35">
      <c r="D633" s="7" t="s">
        <v>330</v>
      </c>
      <c r="E633" s="11">
        <f t="shared" si="116"/>
        <v>0</v>
      </c>
      <c r="F633" s="11">
        <f t="shared" si="117"/>
        <v>0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0</v>
      </c>
    </row>
    <row r="634" spans="4:10" hidden="1" x14ac:dyDescent="0.35">
      <c r="D634" s="7" t="s">
        <v>331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35">
      <c r="D635" s="7" t="s">
        <v>332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35">
      <c r="D636" s="7" t="s">
        <v>294</v>
      </c>
      <c r="E636" s="11">
        <v>0</v>
      </c>
      <c r="F636" s="11">
        <v>0</v>
      </c>
      <c r="G636" s="11">
        <v>0</v>
      </c>
      <c r="H636" s="11">
        <f t="shared" si="119"/>
        <v>0</v>
      </c>
      <c r="I636" s="11">
        <f t="shared" si="120"/>
        <v>0</v>
      </c>
      <c r="J636" s="11">
        <f t="shared" si="121"/>
        <v>0</v>
      </c>
    </row>
    <row r="637" spans="4:10" hidden="1" x14ac:dyDescent="0.35">
      <c r="D637" s="7" t="s">
        <v>295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35">
      <c r="D638" s="7" t="s">
        <v>10</v>
      </c>
      <c r="E638" s="34">
        <f>K134</f>
        <v>0</v>
      </c>
      <c r="F638" s="34">
        <f>I230*TC_MES</f>
        <v>0</v>
      </c>
      <c r="G638" s="34">
        <f>J327*TC_MES</f>
        <v>0</v>
      </c>
      <c r="H638" s="34">
        <f t="shared" si="119"/>
        <v>0</v>
      </c>
      <c r="I638" s="34">
        <f>G533</f>
        <v>0</v>
      </c>
      <c r="J638" s="34">
        <f t="shared" si="121"/>
        <v>0</v>
      </c>
    </row>
    <row r="639" spans="4:10" x14ac:dyDescent="0.35">
      <c r="D639" s="4" t="s">
        <v>333</v>
      </c>
      <c r="E639" s="14">
        <f>K135</f>
        <v>0</v>
      </c>
      <c r="F639" s="20">
        <f>I231*TC_MES</f>
        <v>0</v>
      </c>
      <c r="G639" s="20">
        <f>J328*TC_MES</f>
        <v>0</v>
      </c>
      <c r="H639" s="20">
        <f t="shared" si="119"/>
        <v>0</v>
      </c>
      <c r="I639" s="20">
        <f>G534</f>
        <v>0</v>
      </c>
      <c r="J639" s="20">
        <f t="shared" si="121"/>
        <v>0</v>
      </c>
    </row>
    <row r="640" spans="4:10" x14ac:dyDescent="0.35">
      <c r="D640" s="4" t="s">
        <v>292</v>
      </c>
      <c r="E640" s="203"/>
      <c r="F640" s="271"/>
      <c r="G640" s="203"/>
      <c r="H640" s="20">
        <f t="shared" si="119"/>
        <v>0</v>
      </c>
      <c r="I640" s="203"/>
      <c r="J640" s="20">
        <f t="shared" si="121"/>
        <v>0</v>
      </c>
    </row>
    <row r="641" spans="4:10" x14ac:dyDescent="0.35">
      <c r="D641" s="25"/>
      <c r="E641" s="25"/>
      <c r="F641" s="25"/>
      <c r="G641" s="40"/>
      <c r="H641" s="25"/>
      <c r="I641" s="40"/>
      <c r="J641" s="25"/>
    </row>
    <row r="642" spans="4:10" x14ac:dyDescent="0.35">
      <c r="D642" s="4" t="s">
        <v>334</v>
      </c>
      <c r="E642" s="14">
        <f>K137</f>
        <v>0</v>
      </c>
      <c r="F642" s="14">
        <f>I233*TC_MES</f>
        <v>0</v>
      </c>
      <c r="G642" s="14">
        <f>J330*TC_MES</f>
        <v>0</v>
      </c>
      <c r="H642" s="14">
        <f>J430</f>
        <v>0</v>
      </c>
      <c r="I642" s="14">
        <f>G536</f>
        <v>0</v>
      </c>
      <c r="J642" s="14">
        <f>SUM(E642,F642,G642,H642,I642)</f>
        <v>0</v>
      </c>
    </row>
    <row r="643" spans="4:10" x14ac:dyDescent="0.35">
      <c r="D643" s="4" t="s">
        <v>276</v>
      </c>
      <c r="E643" s="20">
        <f>K138</f>
        <v>0</v>
      </c>
      <c r="F643" s="14">
        <f>I234*TC_MES</f>
        <v>0</v>
      </c>
      <c r="G643" s="14">
        <f>J331*TC_MES</f>
        <v>0</v>
      </c>
      <c r="H643" s="14">
        <f>J431</f>
        <v>0</v>
      </c>
      <c r="I643" s="14">
        <f>G537</f>
        <v>0</v>
      </c>
      <c r="J643" s="14">
        <f>SUM(E643,F643,G643,H643,I643)</f>
        <v>0</v>
      </c>
    </row>
    <row r="644" spans="4:10" x14ac:dyDescent="0.35">
      <c r="D644" s="4" t="s">
        <v>277</v>
      </c>
      <c r="E644" s="14">
        <f>K139</f>
        <v>0</v>
      </c>
      <c r="F644" s="14">
        <f>I235*TC_MES</f>
        <v>0</v>
      </c>
      <c r="G644" s="14">
        <f>J332*TC_MES</f>
        <v>0</v>
      </c>
      <c r="H644" s="14">
        <f>J432</f>
        <v>0</v>
      </c>
      <c r="I644" s="14">
        <f>G538</f>
        <v>0</v>
      </c>
      <c r="J644" s="14">
        <f>J642+J643</f>
        <v>0</v>
      </c>
    </row>
    <row r="645" spans="4:10" x14ac:dyDescent="0.35">
      <c r="I645" s="201"/>
    </row>
    <row r="646" spans="4:10" x14ac:dyDescent="0.35">
      <c r="I646" s="201"/>
    </row>
    <row r="647" spans="4:10" x14ac:dyDescent="0.35">
      <c r="I647" s="201"/>
    </row>
    <row r="650" spans="4:10" x14ac:dyDescent="0.35">
      <c r="D650" s="25"/>
      <c r="E650" s="269"/>
      <c r="F650" s="25"/>
      <c r="G650" s="25"/>
      <c r="H650" s="269" t="s">
        <v>278</v>
      </c>
      <c r="I650" s="25"/>
      <c r="J650" s="25"/>
    </row>
    <row r="651" spans="4:10" x14ac:dyDescent="0.3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35">
      <c r="D652" s="26" t="s">
        <v>248</v>
      </c>
      <c r="E652" s="14">
        <f>$K$148</f>
        <v>0</v>
      </c>
      <c r="F652" s="14">
        <f>I244*TC_MES</f>
        <v>0</v>
      </c>
      <c r="G652" s="14">
        <f>J341*TC_MES</f>
        <v>0</v>
      </c>
      <c r="H652" s="14">
        <f>J441</f>
        <v>0</v>
      </c>
      <c r="I652" s="14">
        <f>G547</f>
        <v>0</v>
      </c>
      <c r="J652" s="14">
        <f>SUM(E652:I652)</f>
        <v>0</v>
      </c>
    </row>
    <row r="653" spans="4:10" x14ac:dyDescent="0.35">
      <c r="D653" s="1"/>
      <c r="E653" s="30"/>
      <c r="F653" s="30"/>
      <c r="G653" s="30"/>
      <c r="H653" s="30"/>
      <c r="I653" s="30"/>
      <c r="J653" s="30"/>
    </row>
    <row r="654" spans="4:10" x14ac:dyDescent="0.35">
      <c r="D654" s="26" t="s">
        <v>271</v>
      </c>
      <c r="E654" s="30"/>
      <c r="F654" s="30"/>
      <c r="G654" s="30"/>
      <c r="H654" s="30"/>
      <c r="I654" s="30"/>
      <c r="J654" s="30"/>
    </row>
    <row r="655" spans="4:10" x14ac:dyDescent="0.35">
      <c r="D655" s="1" t="s">
        <v>197</v>
      </c>
      <c r="E655" s="8">
        <f t="shared" ref="E655:E662" si="122">K151</f>
        <v>0</v>
      </c>
      <c r="F655" s="8">
        <f t="shared" ref="F655:F662" si="123">I247*TC_MES</f>
        <v>0</v>
      </c>
      <c r="G655" s="8">
        <f t="shared" ref="G655:G662" si="124">J344*TC_MES</f>
        <v>0</v>
      </c>
      <c r="H655" s="194">
        <f t="shared" ref="H655:H662" si="125">J444</f>
        <v>0</v>
      </c>
      <c r="I655" s="8">
        <f>G550</f>
        <v>0</v>
      </c>
      <c r="J655" s="8">
        <f t="shared" ref="J655:J661" si="126">SUM(E655:I655)</f>
        <v>0</v>
      </c>
    </row>
    <row r="656" spans="4:10" x14ac:dyDescent="0.35">
      <c r="D656" s="1" t="s">
        <v>198</v>
      </c>
      <c r="E656" s="11">
        <f t="shared" si="122"/>
        <v>0</v>
      </c>
      <c r="F656" s="11">
        <f t="shared" si="123"/>
        <v>0</v>
      </c>
      <c r="G656" s="11">
        <f t="shared" si="124"/>
        <v>0</v>
      </c>
      <c r="H656" s="198">
        <f t="shared" si="125"/>
        <v>0</v>
      </c>
      <c r="I656" s="11">
        <f>G551</f>
        <v>0</v>
      </c>
      <c r="J656" s="11">
        <f t="shared" si="126"/>
        <v>0</v>
      </c>
    </row>
    <row r="657" spans="4:10" x14ac:dyDescent="0.35">
      <c r="D657" s="1" t="s">
        <v>199</v>
      </c>
      <c r="E657" s="11">
        <f t="shared" si="122"/>
        <v>0</v>
      </c>
      <c r="F657" s="11">
        <f t="shared" si="123"/>
        <v>0</v>
      </c>
      <c r="G657" s="11">
        <f t="shared" si="124"/>
        <v>0</v>
      </c>
      <c r="H657" s="198">
        <f t="shared" si="125"/>
        <v>0</v>
      </c>
      <c r="I657" s="11">
        <f>G552</f>
        <v>0</v>
      </c>
      <c r="J657" s="11">
        <f t="shared" si="126"/>
        <v>0</v>
      </c>
    </row>
    <row r="658" spans="4:10" x14ac:dyDescent="0.35">
      <c r="D658" s="1" t="s">
        <v>200</v>
      </c>
      <c r="E658" s="11">
        <f t="shared" si="122"/>
        <v>0</v>
      </c>
      <c r="F658" s="11">
        <f t="shared" si="123"/>
        <v>0</v>
      </c>
      <c r="G658" s="11">
        <f t="shared" si="124"/>
        <v>0</v>
      </c>
      <c r="H658" s="198">
        <f t="shared" si="125"/>
        <v>0</v>
      </c>
      <c r="I658" s="11">
        <f>G553</f>
        <v>0</v>
      </c>
      <c r="J658" s="11">
        <f t="shared" si="126"/>
        <v>0</v>
      </c>
    </row>
    <row r="659" spans="4:10" x14ac:dyDescent="0.35">
      <c r="D659" s="1" t="s">
        <v>223</v>
      </c>
      <c r="E659" s="11">
        <f t="shared" si="122"/>
        <v>0</v>
      </c>
      <c r="F659" s="11">
        <f t="shared" si="123"/>
        <v>0</v>
      </c>
      <c r="G659" s="11">
        <f t="shared" si="124"/>
        <v>0</v>
      </c>
      <c r="H659" s="198">
        <f t="shared" si="125"/>
        <v>0</v>
      </c>
      <c r="I659" s="11">
        <f>G556</f>
        <v>0</v>
      </c>
      <c r="J659" s="11">
        <f t="shared" si="126"/>
        <v>0</v>
      </c>
    </row>
    <row r="660" spans="4:10" x14ac:dyDescent="0.35">
      <c r="D660" s="1" t="s">
        <v>249</v>
      </c>
      <c r="E660" s="11">
        <f t="shared" si="122"/>
        <v>0</v>
      </c>
      <c r="F660" s="11">
        <f t="shared" si="123"/>
        <v>0</v>
      </c>
      <c r="G660" s="11">
        <f t="shared" si="124"/>
        <v>0</v>
      </c>
      <c r="H660" s="198">
        <f t="shared" si="125"/>
        <v>0</v>
      </c>
      <c r="I660" s="11">
        <f>G557</f>
        <v>0</v>
      </c>
      <c r="J660" s="11">
        <f t="shared" si="126"/>
        <v>0</v>
      </c>
    </row>
    <row r="661" spans="4:10" x14ac:dyDescent="0.35">
      <c r="D661" s="1" t="s">
        <v>250</v>
      </c>
      <c r="E661" s="11">
        <f t="shared" si="122"/>
        <v>0</v>
      </c>
      <c r="F661" s="11">
        <f t="shared" si="123"/>
        <v>0</v>
      </c>
      <c r="G661" s="11">
        <f t="shared" si="124"/>
        <v>0</v>
      </c>
      <c r="H661" s="198">
        <f t="shared" si="125"/>
        <v>0</v>
      </c>
      <c r="I661" s="11">
        <f>G558</f>
        <v>0</v>
      </c>
      <c r="J661" s="11">
        <f t="shared" si="126"/>
        <v>0</v>
      </c>
    </row>
    <row r="662" spans="4:10" x14ac:dyDescent="0.35">
      <c r="D662" s="26" t="s">
        <v>271</v>
      </c>
      <c r="E662" s="14">
        <f t="shared" si="122"/>
        <v>0</v>
      </c>
      <c r="F662" s="14">
        <f t="shared" si="123"/>
        <v>0</v>
      </c>
      <c r="G662" s="14">
        <f t="shared" si="124"/>
        <v>0</v>
      </c>
      <c r="H662" s="215">
        <f t="shared" si="125"/>
        <v>0</v>
      </c>
      <c r="I662" s="14">
        <f>G561</f>
        <v>0</v>
      </c>
      <c r="J662" s="14">
        <f>SUM(E662,F662,G662,H662,I662)</f>
        <v>0</v>
      </c>
    </row>
    <row r="663" spans="4:10" x14ac:dyDescent="0.35">
      <c r="D663" s="1"/>
      <c r="E663" s="202"/>
      <c r="F663" s="202"/>
      <c r="G663" s="202"/>
      <c r="H663" s="202"/>
      <c r="I663" s="202"/>
      <c r="J663" s="202"/>
    </row>
    <row r="664" spans="4:10" x14ac:dyDescent="0.35">
      <c r="D664" s="26" t="s">
        <v>251</v>
      </c>
      <c r="E664" s="30"/>
      <c r="F664" s="30"/>
      <c r="G664" s="30"/>
      <c r="H664" s="30"/>
      <c r="I664" s="30"/>
      <c r="J664" s="30"/>
    </row>
    <row r="665" spans="4:10" x14ac:dyDescent="0.35">
      <c r="D665" s="1" t="s">
        <v>252</v>
      </c>
      <c r="E665" s="8">
        <f t="shared" ref="E665:E671" si="127">K161</f>
        <v>0</v>
      </c>
      <c r="F665" s="8">
        <f t="shared" ref="F665:F671" si="128">I257*TC_MES</f>
        <v>0</v>
      </c>
      <c r="G665" s="8">
        <f t="shared" ref="G665:G671" si="129">J354*TC_MES</f>
        <v>0</v>
      </c>
      <c r="H665" s="194">
        <f t="shared" ref="H665:H671" si="130">J454</f>
        <v>0</v>
      </c>
      <c r="I665" s="8">
        <f t="shared" ref="I665:I671" si="131">G564</f>
        <v>0</v>
      </c>
      <c r="J665" s="8">
        <f t="shared" ref="J665:J670" si="132">SUM(E665:I665)</f>
        <v>0</v>
      </c>
    </row>
    <row r="666" spans="4:10" x14ac:dyDescent="0.35">
      <c r="D666" s="1" t="s">
        <v>253</v>
      </c>
      <c r="E666" s="11">
        <f t="shared" si="127"/>
        <v>0</v>
      </c>
      <c r="F666" s="11">
        <f t="shared" si="128"/>
        <v>0</v>
      </c>
      <c r="G666" s="11">
        <f t="shared" si="129"/>
        <v>0</v>
      </c>
      <c r="H666" s="198">
        <f t="shared" si="130"/>
        <v>0</v>
      </c>
      <c r="I666" s="11">
        <f t="shared" si="131"/>
        <v>0</v>
      </c>
      <c r="J666" s="11">
        <f t="shared" si="132"/>
        <v>0</v>
      </c>
    </row>
    <row r="667" spans="4:10" x14ac:dyDescent="0.35">
      <c r="D667" s="1" t="s">
        <v>238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8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35">
      <c r="D668" s="1" t="s">
        <v>254</v>
      </c>
      <c r="E668" s="11">
        <f t="shared" si="127"/>
        <v>0</v>
      </c>
      <c r="F668" s="11">
        <f t="shared" si="128"/>
        <v>0</v>
      </c>
      <c r="G668" s="11">
        <f t="shared" si="129"/>
        <v>0</v>
      </c>
      <c r="H668" s="198">
        <f t="shared" si="130"/>
        <v>0</v>
      </c>
      <c r="I668" s="11">
        <f t="shared" si="131"/>
        <v>0</v>
      </c>
      <c r="J668" s="11">
        <f t="shared" si="132"/>
        <v>0</v>
      </c>
    </row>
    <row r="669" spans="4:10" x14ac:dyDescent="0.35">
      <c r="D669" s="1" t="s">
        <v>272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8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35">
      <c r="D670" s="1" t="s">
        <v>255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8">
        <f t="shared" si="130"/>
        <v>0</v>
      </c>
      <c r="I670" s="11">
        <f t="shared" si="131"/>
        <v>0</v>
      </c>
      <c r="J670" s="11">
        <f t="shared" si="132"/>
        <v>0</v>
      </c>
    </row>
    <row r="671" spans="4:10" x14ac:dyDescent="0.35">
      <c r="D671" s="26" t="s">
        <v>256</v>
      </c>
      <c r="E671" s="14">
        <f t="shared" si="127"/>
        <v>0</v>
      </c>
      <c r="F671" s="14">
        <f t="shared" si="128"/>
        <v>0</v>
      </c>
      <c r="G671" s="14">
        <f t="shared" si="129"/>
        <v>0</v>
      </c>
      <c r="H671" s="215">
        <f t="shared" si="130"/>
        <v>0</v>
      </c>
      <c r="I671" s="14">
        <f t="shared" si="131"/>
        <v>0</v>
      </c>
      <c r="J671" s="14">
        <f>SUM(E671,F671,G671,H671,I671)</f>
        <v>0</v>
      </c>
    </row>
    <row r="672" spans="4:10" x14ac:dyDescent="0.35">
      <c r="D672" s="26"/>
      <c r="E672" s="202"/>
      <c r="F672" s="209"/>
      <c r="G672" s="209"/>
      <c r="H672" s="209"/>
      <c r="I672" s="209"/>
      <c r="J672" s="209"/>
    </row>
    <row r="673" spans="4:10" x14ac:dyDescent="0.35">
      <c r="D673" s="26" t="s">
        <v>257</v>
      </c>
      <c r="E673" s="197"/>
      <c r="F673" s="30"/>
      <c r="G673" s="30"/>
      <c r="H673" s="30"/>
      <c r="I673" s="30"/>
      <c r="J673" s="30"/>
    </row>
    <row r="674" spans="4:10" x14ac:dyDescent="0.35">
      <c r="D674" s="1" t="s">
        <v>205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0</v>
      </c>
      <c r="H674" s="194">
        <f t="shared" ref="H674:H690" si="135">J463</f>
        <v>0</v>
      </c>
      <c r="I674" s="8">
        <f t="shared" ref="I674:I683" si="136">$G574</f>
        <v>0</v>
      </c>
      <c r="J674" s="8">
        <f t="shared" ref="J674:J688" si="137">SUM(E674:I674)</f>
        <v>0</v>
      </c>
    </row>
    <row r="675" spans="4:10" x14ac:dyDescent="0.35">
      <c r="D675" s="1" t="s">
        <v>209</v>
      </c>
      <c r="E675" s="11">
        <f t="shared" ref="E675:E685" si="138">K171</f>
        <v>0</v>
      </c>
      <c r="F675" s="11">
        <f t="shared" si="133"/>
        <v>0</v>
      </c>
      <c r="G675" s="11">
        <f t="shared" si="134"/>
        <v>0</v>
      </c>
      <c r="H675" s="198">
        <f t="shared" si="135"/>
        <v>0</v>
      </c>
      <c r="I675" s="11">
        <f t="shared" si="136"/>
        <v>0</v>
      </c>
      <c r="J675" s="11">
        <f t="shared" si="137"/>
        <v>0</v>
      </c>
    </row>
    <row r="676" spans="4:10" x14ac:dyDescent="0.35">
      <c r="D676" s="1" t="s">
        <v>208</v>
      </c>
      <c r="E676" s="11">
        <f t="shared" si="138"/>
        <v>0</v>
      </c>
      <c r="F676" s="11">
        <f t="shared" si="133"/>
        <v>0</v>
      </c>
      <c r="G676" s="11">
        <f t="shared" si="134"/>
        <v>0</v>
      </c>
      <c r="H676" s="198">
        <f t="shared" si="135"/>
        <v>0</v>
      </c>
      <c r="I676" s="11">
        <f t="shared" si="136"/>
        <v>0</v>
      </c>
      <c r="J676" s="11">
        <f t="shared" si="137"/>
        <v>0</v>
      </c>
    </row>
    <row r="677" spans="4:10" x14ac:dyDescent="0.35">
      <c r="D677" s="1" t="s">
        <v>207</v>
      </c>
      <c r="E677" s="11">
        <f t="shared" si="138"/>
        <v>0</v>
      </c>
      <c r="F677" s="11">
        <f t="shared" si="133"/>
        <v>0</v>
      </c>
      <c r="G677" s="11">
        <f t="shared" si="134"/>
        <v>0</v>
      </c>
      <c r="H677" s="198">
        <f t="shared" si="135"/>
        <v>0</v>
      </c>
      <c r="I677" s="11">
        <f t="shared" si="136"/>
        <v>0</v>
      </c>
      <c r="J677" s="11">
        <f t="shared" si="137"/>
        <v>0</v>
      </c>
    </row>
    <row r="678" spans="4:10" x14ac:dyDescent="0.35">
      <c r="D678" s="1" t="s">
        <v>258</v>
      </c>
      <c r="E678" s="11">
        <f t="shared" si="138"/>
        <v>0</v>
      </c>
      <c r="F678" s="11">
        <f t="shared" si="133"/>
        <v>0</v>
      </c>
      <c r="G678" s="11">
        <f t="shared" si="134"/>
        <v>0</v>
      </c>
      <c r="H678" s="198">
        <f t="shared" si="135"/>
        <v>0</v>
      </c>
      <c r="I678" s="11">
        <f t="shared" si="136"/>
        <v>0</v>
      </c>
      <c r="J678" s="11">
        <f t="shared" si="137"/>
        <v>0</v>
      </c>
    </row>
    <row r="679" spans="4:10" x14ac:dyDescent="0.35">
      <c r="D679" s="1" t="s">
        <v>273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8">
        <f t="shared" si="135"/>
        <v>0</v>
      </c>
      <c r="I679" s="11">
        <f t="shared" si="136"/>
        <v>0</v>
      </c>
      <c r="J679" s="11">
        <f t="shared" si="137"/>
        <v>0</v>
      </c>
    </row>
    <row r="680" spans="4:10" x14ac:dyDescent="0.35">
      <c r="D680" s="1" t="s">
        <v>274</v>
      </c>
      <c r="E680" s="11">
        <f t="shared" si="138"/>
        <v>0</v>
      </c>
      <c r="F680" s="11">
        <f t="shared" si="133"/>
        <v>0</v>
      </c>
      <c r="G680" s="11">
        <f t="shared" si="134"/>
        <v>0</v>
      </c>
      <c r="H680" s="198">
        <f t="shared" si="135"/>
        <v>0</v>
      </c>
      <c r="I680" s="11">
        <f t="shared" si="136"/>
        <v>0</v>
      </c>
      <c r="J680" s="11">
        <f t="shared" si="137"/>
        <v>0</v>
      </c>
    </row>
    <row r="681" spans="4:10" x14ac:dyDescent="0.35">
      <c r="D681" s="1" t="s">
        <v>275</v>
      </c>
      <c r="E681" s="11">
        <f t="shared" si="138"/>
        <v>0</v>
      </c>
      <c r="F681" s="11">
        <f t="shared" si="133"/>
        <v>0</v>
      </c>
      <c r="G681" s="11">
        <f t="shared" si="134"/>
        <v>0</v>
      </c>
      <c r="H681" s="198">
        <f t="shared" si="135"/>
        <v>0</v>
      </c>
      <c r="I681" s="11">
        <f t="shared" si="136"/>
        <v>0</v>
      </c>
      <c r="J681" s="11">
        <f t="shared" si="137"/>
        <v>0</v>
      </c>
    </row>
    <row r="682" spans="4:10" hidden="1" x14ac:dyDescent="0.35">
      <c r="D682" s="1" t="s">
        <v>259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8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35">
      <c r="D683" s="1" t="s">
        <v>260</v>
      </c>
      <c r="E683" s="11">
        <f t="shared" si="138"/>
        <v>0</v>
      </c>
      <c r="F683" s="11">
        <f t="shared" si="133"/>
        <v>0</v>
      </c>
      <c r="G683" s="11">
        <f t="shared" si="134"/>
        <v>0</v>
      </c>
      <c r="H683" s="198">
        <f t="shared" si="135"/>
        <v>0</v>
      </c>
      <c r="I683" s="11">
        <f t="shared" si="136"/>
        <v>0</v>
      </c>
      <c r="J683" s="11">
        <f t="shared" si="137"/>
        <v>0</v>
      </c>
    </row>
    <row r="684" spans="4:10" hidden="1" x14ac:dyDescent="0.35">
      <c r="D684" s="1" t="s">
        <v>261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8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35">
      <c r="D685" s="1" t="s">
        <v>262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8">
        <f t="shared" si="135"/>
        <v>0</v>
      </c>
      <c r="I685" s="11">
        <f t="shared" si="139"/>
        <v>0</v>
      </c>
      <c r="J685" s="11">
        <f t="shared" si="137"/>
        <v>0</v>
      </c>
    </row>
    <row r="686" spans="4:10" x14ac:dyDescent="0.35">
      <c r="D686" s="1" t="s">
        <v>294</v>
      </c>
      <c r="E686" s="11">
        <v>0</v>
      </c>
      <c r="F686" s="11">
        <v>0</v>
      </c>
      <c r="G686" s="11">
        <v>0</v>
      </c>
      <c r="H686" s="198">
        <f t="shared" si="135"/>
        <v>0</v>
      </c>
      <c r="I686" s="11">
        <f>$G586</f>
        <v>0</v>
      </c>
      <c r="J686" s="11">
        <f t="shared" si="137"/>
        <v>0</v>
      </c>
    </row>
    <row r="687" spans="4:10" hidden="1" x14ac:dyDescent="0.35">
      <c r="D687" s="1" t="s">
        <v>295</v>
      </c>
      <c r="E687" s="11"/>
      <c r="F687" s="11"/>
      <c r="G687" s="11"/>
      <c r="H687" s="198">
        <f t="shared" si="135"/>
        <v>0</v>
      </c>
      <c r="I687" s="11"/>
      <c r="J687" s="11">
        <f t="shared" si="137"/>
        <v>0</v>
      </c>
    </row>
    <row r="688" spans="4:10" x14ac:dyDescent="0.35">
      <c r="D688" s="1" t="s">
        <v>10</v>
      </c>
      <c r="E688" s="11">
        <f t="shared" ref="E688:E689" si="140">K182</f>
        <v>0</v>
      </c>
      <c r="F688" s="34">
        <f>I278*TC_MES</f>
        <v>0</v>
      </c>
      <c r="G688" s="34">
        <f>J375*TC_MES</f>
        <v>0</v>
      </c>
      <c r="H688" s="198">
        <f t="shared" si="135"/>
        <v>0</v>
      </c>
      <c r="I688" s="34">
        <f>G587</f>
        <v>0</v>
      </c>
      <c r="J688" s="34">
        <f t="shared" si="137"/>
        <v>0</v>
      </c>
    </row>
    <row r="689" spans="4:10" x14ac:dyDescent="0.35">
      <c r="D689" s="26" t="s">
        <v>263</v>
      </c>
      <c r="E689" s="14">
        <f t="shared" si="140"/>
        <v>0</v>
      </c>
      <c r="F689" s="20">
        <f>I279*TC_MES</f>
        <v>0</v>
      </c>
      <c r="G689" s="20">
        <f>J376*TC_MES</f>
        <v>0</v>
      </c>
      <c r="H689" s="215">
        <f t="shared" si="135"/>
        <v>0</v>
      </c>
      <c r="I689" s="20">
        <f>G588</f>
        <v>0</v>
      </c>
      <c r="J689" s="20">
        <f>SUM(E689,F689,G689,H689,I689)</f>
        <v>0</v>
      </c>
    </row>
    <row r="690" spans="4:10" x14ac:dyDescent="0.35">
      <c r="D690" s="26" t="s">
        <v>292</v>
      </c>
      <c r="E690" s="20"/>
      <c r="F690" s="231"/>
      <c r="G690" s="14"/>
      <c r="H690" s="191">
        <f t="shared" si="135"/>
        <v>0</v>
      </c>
      <c r="I690" s="231"/>
      <c r="J690" s="20">
        <f>SUM(E690,F690,G690,H690,I690)</f>
        <v>0</v>
      </c>
    </row>
    <row r="691" spans="4:10" x14ac:dyDescent="0.35">
      <c r="D691" s="272"/>
      <c r="E691" s="25"/>
      <c r="F691" s="25"/>
      <c r="G691" s="40"/>
      <c r="H691" s="40"/>
      <c r="I691" s="25"/>
      <c r="J691" s="25"/>
    </row>
    <row r="692" spans="4:10" x14ac:dyDescent="0.35">
      <c r="D692" s="26" t="s">
        <v>264</v>
      </c>
      <c r="E692" s="14">
        <f t="shared" ref="E692:E694" si="141">K185</f>
        <v>0</v>
      </c>
      <c r="F692" s="14">
        <f>I281*TC_MES</f>
        <v>0</v>
      </c>
      <c r="G692" s="14">
        <f>J378*TC_MES</f>
        <v>0</v>
      </c>
      <c r="H692" s="14">
        <f>J481</f>
        <v>0</v>
      </c>
      <c r="I692" s="14">
        <f t="shared" ref="I692:I694" si="142">G590</f>
        <v>0</v>
      </c>
      <c r="J692" s="14">
        <f>SUM(E692,F692,G692,H692,I692)</f>
        <v>0</v>
      </c>
    </row>
    <row r="693" spans="4:10" x14ac:dyDescent="0.35">
      <c r="D693" s="26" t="s">
        <v>276</v>
      </c>
      <c r="E693" s="20">
        <f t="shared" si="141"/>
        <v>0</v>
      </c>
      <c r="F693" s="14">
        <f>I282*TC_MES</f>
        <v>0</v>
      </c>
      <c r="G693" s="14">
        <f>J379*TC_MES</f>
        <v>0</v>
      </c>
      <c r="H693" s="14">
        <f>J482</f>
        <v>0</v>
      </c>
      <c r="I693" s="14">
        <f t="shared" si="142"/>
        <v>0</v>
      </c>
      <c r="J693" s="14">
        <f>SUM(E693:I693)</f>
        <v>0</v>
      </c>
    </row>
    <row r="694" spans="4:10" x14ac:dyDescent="0.35">
      <c r="D694" s="26" t="s">
        <v>277</v>
      </c>
      <c r="E694" s="14">
        <f t="shared" si="141"/>
        <v>0</v>
      </c>
      <c r="F694" s="14">
        <f>I283*TC_MES</f>
        <v>0</v>
      </c>
      <c r="G694" s="14">
        <f>J380*TC_MES</f>
        <v>0</v>
      </c>
      <c r="H694" s="14">
        <f>J483</f>
        <v>0</v>
      </c>
      <c r="I694" s="14">
        <f t="shared" si="142"/>
        <v>0</v>
      </c>
      <c r="J694" s="14">
        <f>J692+J693</f>
        <v>0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zoomScale="80" zoomScaleNormal="80" workbookViewId="0">
      <selection activeCell="K8" sqref="K8"/>
    </sheetView>
  </sheetViews>
  <sheetFormatPr baseColWidth="10" defaultRowHeight="14.5" x14ac:dyDescent="0.35"/>
  <cols>
    <col min="2" max="2" width="30.90625" customWidth="1"/>
    <col min="3" max="3" width="13.81640625" hidden="1" customWidth="1"/>
    <col min="4" max="4" width="14.6328125" customWidth="1"/>
    <col min="5" max="5" width="13.90625" customWidth="1"/>
    <col min="6" max="6" width="12.54296875" customWidth="1"/>
    <col min="7" max="7" width="14" customWidth="1"/>
    <col min="8" max="8" width="12.54296875" customWidth="1"/>
    <col min="9" max="9" width="14.36328125" customWidth="1"/>
  </cols>
  <sheetData>
    <row r="2" spans="2:9" x14ac:dyDescent="0.35">
      <c r="C2" s="234" t="s">
        <v>25</v>
      </c>
      <c r="D2" s="234" t="s">
        <v>26</v>
      </c>
      <c r="E2" s="234" t="s">
        <v>27</v>
      </c>
      <c r="F2" s="234" t="s">
        <v>28</v>
      </c>
      <c r="G2" s="234" t="s">
        <v>29</v>
      </c>
      <c r="H2" s="234" t="s">
        <v>30</v>
      </c>
      <c r="I2" s="234" t="s">
        <v>31</v>
      </c>
    </row>
    <row r="3" spans="2:9" x14ac:dyDescent="0.35">
      <c r="B3" s="222" t="s">
        <v>194</v>
      </c>
      <c r="C3" s="223"/>
      <c r="D3" s="223">
        <f>(BDBG!C2+BDBG!C56+BDBG!C110+BDBG!C164+BDBG!C218+BDBG!C272)/1000</f>
        <v>0</v>
      </c>
      <c r="E3" s="223">
        <f>(BDBG!C1137+BDBG!C1191+BDBG!C1353+BDBG!C1461)/1000</f>
        <v>0</v>
      </c>
      <c r="F3" s="223">
        <f>(BDBG!C1245+BDBG!C1299+BDBG!C1407+BDBG!C1515+BDBG!C1569)/1000</f>
        <v>0</v>
      </c>
      <c r="G3" s="223">
        <f>(BDBG!C704+BDBG!C758+BDBG!C813+BDBG!C867+BDBG!C921+BDBG!C975)/1000</f>
        <v>0</v>
      </c>
      <c r="H3" s="223">
        <f>(BDBG!C1029+BDBG!C1083)/1000</f>
        <v>0</v>
      </c>
      <c r="I3" s="223"/>
    </row>
    <row r="4" spans="2:9" x14ac:dyDescent="0.35">
      <c r="B4" s="224" t="s">
        <v>195</v>
      </c>
      <c r="C4" s="225"/>
      <c r="D4" s="225">
        <f>(BDBG!C3+BDBG!C57+BDBG!C111+BDBG!C165+BDBG!C219+BDBG!C273)/1000</f>
        <v>0</v>
      </c>
      <c r="E4" s="225">
        <f>(BDBG!C1138+BDBG!C1192+BDBG!C1354+BDBG!C1462)*TC_MES/1000+BDBG!C1624*TC_MES/1000</f>
        <v>0</v>
      </c>
      <c r="F4" s="225">
        <f>(BDBG!C1246+BDBG!C1300+BDBG!C1408+BDBG!C1516+BDBG!C1570)*TC_MES/1000</f>
        <v>0</v>
      </c>
      <c r="G4" s="225">
        <f>(BDBG!C705+BDBG!C759+BDBG!C814+BDBG!C868+BDBG!C922)/1000</f>
        <v>0</v>
      </c>
      <c r="H4" s="225">
        <f>(BDBG!C1030+BDBG!C1084)/1000</f>
        <v>0</v>
      </c>
      <c r="I4" s="225">
        <f>SUM(C4,D4,E4,F4,G4,H4)</f>
        <v>0</v>
      </c>
    </row>
    <row r="5" spans="2:9" x14ac:dyDescent="0.35">
      <c r="B5" s="224" t="s">
        <v>196</v>
      </c>
      <c r="C5" s="225"/>
      <c r="D5" s="225">
        <f>(BDBG!C4+BDBG!C58+BDBG!C112+BDBG!C166+BDBG!C220+BDBG!C274)/1000</f>
        <v>0</v>
      </c>
      <c r="E5" s="225">
        <f>(BDBG!C1139+BDBG!C1193+BDBG!C1355+BDBG!C1463)*TC_MES/1000+BDBG!C1625*TC_MES/1000</f>
        <v>0</v>
      </c>
      <c r="F5" s="225">
        <f>(BDBG!C1247+BDBG!C1301+BDBG!C1409+BDBG!C1517+BDBG!C1571)*TC_MES/1000</f>
        <v>0</v>
      </c>
      <c r="G5" s="225">
        <f>(BDBG!C706+BDBG!C760+BDBG!C815+BDBG!C869+BDBG!C923)/1000</f>
        <v>0</v>
      </c>
      <c r="H5" s="225">
        <f>(BDBG!C1031+BDBG!C1085)/1000</f>
        <v>0</v>
      </c>
      <c r="I5" s="225">
        <f t="shared" ref="I5:I28" si="0">SUM(C5,D5,E5,F5,G5,H5)</f>
        <v>0</v>
      </c>
    </row>
    <row r="6" spans="2:9" x14ac:dyDescent="0.35">
      <c r="B6" s="224" t="s">
        <v>197</v>
      </c>
      <c r="C6" s="225"/>
      <c r="D6" s="225">
        <f>(BDBG!C5+BDBG!C59+BDBG!C113+BDBG!C167+BDBG!C221+BDBG!C275)/1000</f>
        <v>0</v>
      </c>
      <c r="E6" s="225">
        <f>(BDBG!C1140+BDBG!C1194+BDBG!C1356+BDBG!C1464)*TC_MES/1000+BDBG!C1626*TC_MES/1000</f>
        <v>0</v>
      </c>
      <c r="F6" s="225">
        <f>(BDBG!C1248+BDBG!C1302+BDBG!C1410+BDBG!C1518+BDBG!C1572)*TC_MES/1000</f>
        <v>0</v>
      </c>
      <c r="G6" s="225">
        <f>(BDBG!C707+BDBG!C761+BDBG!C816+BDBG!C870+BDBG!C924)/1000</f>
        <v>0</v>
      </c>
      <c r="H6" s="225">
        <f>(BDBG!C1032+BDBG!C1086)/1000</f>
        <v>0</v>
      </c>
      <c r="I6" s="225">
        <f t="shared" si="0"/>
        <v>0</v>
      </c>
    </row>
    <row r="7" spans="2:9" x14ac:dyDescent="0.35">
      <c r="B7" s="224" t="s">
        <v>198</v>
      </c>
      <c r="C7" s="225"/>
      <c r="D7" s="225">
        <f>(BDBG!C6+BDBG!C60+BDBG!C114+BDBG!C168+BDBG!C222+BDBG!C276)/1000</f>
        <v>0</v>
      </c>
      <c r="E7" s="225">
        <f>(BDBG!C1141+BDBG!C1195+BDBG!C1357+BDBG!C1465)*TC_MES/1000+BDBG!C1627*TC_MES/1000</f>
        <v>0</v>
      </c>
      <c r="F7" s="225">
        <f>(BDBG!C1249+BDBG!C1303+BDBG!C1411+BDBG!C1519+BDBG!C1573)*TC_MES/1000</f>
        <v>0</v>
      </c>
      <c r="G7" s="225">
        <f>(BDBG!C708+BDBG!C762+BDBG!C817+BDBG!C871+BDBG!C925)/1000</f>
        <v>0</v>
      </c>
      <c r="H7" s="225">
        <f>(BDBG!C1033+BDBG!C1087)/1000</f>
        <v>0</v>
      </c>
      <c r="I7" s="225">
        <f t="shared" si="0"/>
        <v>0</v>
      </c>
    </row>
    <row r="8" spans="2:9" x14ac:dyDescent="0.35">
      <c r="B8" s="224" t="s">
        <v>199</v>
      </c>
      <c r="C8" s="225"/>
      <c r="D8" s="225">
        <f>(BDBG!C7+BDBG!C61+BDBG!C115+BDBG!C169+BDBG!C223+BDBG!C277)/1000</f>
        <v>0</v>
      </c>
      <c r="E8" s="225">
        <f>(BDBG!C1142+BDBG!C1196+BDBG!C1358+BDBG!C1466)*TC_MES/1000+BDBG!C1628*TC_MES/1000</f>
        <v>0</v>
      </c>
      <c r="F8" s="225">
        <f>(BDBG!C1250+BDBG!C1304+BDBG!C1412+BDBG!C1520+BDBG!C1574)*TC_MES/1000</f>
        <v>0</v>
      </c>
      <c r="G8" s="225">
        <f>(BDBG!C709+BDBG!C763+BDBG!C818+BDBG!C872+BDBG!C926)/1000</f>
        <v>0</v>
      </c>
      <c r="H8" s="225">
        <f>(BDBG!C1034+BDBG!C1088)/1000</f>
        <v>0</v>
      </c>
      <c r="I8" s="225">
        <f t="shared" si="0"/>
        <v>0</v>
      </c>
    </row>
    <row r="9" spans="2:9" x14ac:dyDescent="0.35">
      <c r="B9" s="224" t="s">
        <v>200</v>
      </c>
      <c r="C9" s="225"/>
      <c r="D9" s="225">
        <f>(BDBG!C8+BDBG!C62+BDBG!C116+BDBG!C170+BDBG!C224+BDBG!C278)/1000</f>
        <v>0</v>
      </c>
      <c r="E9" s="225">
        <f>(BDBG!C1143+BDBG!C1197+BDBG!C1359+BDBG!C1467)*TC_MES/1000+BDBG!C1629*TC_MES/1000</f>
        <v>0</v>
      </c>
      <c r="F9" s="225">
        <f>(BDBG!C1251+BDBG!C1305+BDBG!C1413+BDBG!C1521+BDBG!C1575)*TC_MES/1000</f>
        <v>0</v>
      </c>
      <c r="G9" s="225">
        <f>(BDBG!C710+BDBG!C764+BDBG!C819+BDBG!C873+BDBG!C927)/1000</f>
        <v>0</v>
      </c>
      <c r="H9" s="225">
        <f>(BDBG!C1035+BDBG!C1089)/1000</f>
        <v>0</v>
      </c>
      <c r="I9" s="225">
        <f t="shared" si="0"/>
        <v>0</v>
      </c>
    </row>
    <row r="10" spans="2:9" x14ac:dyDescent="0.35">
      <c r="B10" s="224" t="s">
        <v>201</v>
      </c>
      <c r="C10" s="225"/>
      <c r="D10" s="225">
        <f>(BDBG!C9+BDBG!C63+BDBG!C117+BDBG!C171+BDBG!C225+BDBG!C279)/1000</f>
        <v>0</v>
      </c>
      <c r="E10" s="225">
        <f>(BDBG!C1144+BDBG!C1198+BDBG!C1360+BDBG!C1468)*TC_MES/1000+BDBG!C1630*TC_MES/1000</f>
        <v>0</v>
      </c>
      <c r="F10" s="225">
        <f>(BDBG!C1252+BDBG!C1306+BDBG!C1414+BDBG!C1522+BDBG!C1576)*TC_MES/1000</f>
        <v>0</v>
      </c>
      <c r="G10" s="225">
        <f>(BDBG!C711+BDBG!C765+BDBG!C820+BDBG!C874+BDBG!C928)/1000</f>
        <v>0</v>
      </c>
      <c r="H10" s="225">
        <f>(BDBG!C1036+BDBG!C1090)/1000</f>
        <v>0</v>
      </c>
      <c r="I10" s="225">
        <f t="shared" si="0"/>
        <v>0</v>
      </c>
    </row>
    <row r="11" spans="2:9" x14ac:dyDescent="0.35">
      <c r="B11" s="226" t="s">
        <v>202</v>
      </c>
      <c r="C11" s="227"/>
      <c r="D11" s="227">
        <f t="shared" ref="D11" si="1">SUM(D4,D5,D6,D7,D8,D9,D10)</f>
        <v>0</v>
      </c>
      <c r="E11" s="227">
        <f>SUM(E4,E5,E6,E7,E8,E9,E10)</f>
        <v>0</v>
      </c>
      <c r="F11" s="227">
        <f t="shared" ref="F11:H11" si="2">SUM(F4,F5,F6,F7,F8,F9,F10)</f>
        <v>0</v>
      </c>
      <c r="G11" s="227">
        <f t="shared" si="2"/>
        <v>0</v>
      </c>
      <c r="H11" s="227">
        <f t="shared" si="2"/>
        <v>0</v>
      </c>
      <c r="I11" s="227">
        <f>SUM(I4,I5,I6,I7,I8,I9,I10)</f>
        <v>0</v>
      </c>
    </row>
    <row r="12" spans="2:9" x14ac:dyDescent="0.35">
      <c r="B12" s="226" t="s">
        <v>203</v>
      </c>
      <c r="C12" s="225"/>
      <c r="D12" s="225"/>
      <c r="E12" s="225"/>
      <c r="F12" s="225"/>
      <c r="G12" s="225"/>
      <c r="H12" s="225"/>
      <c r="I12" s="225"/>
    </row>
    <row r="13" spans="2:9" x14ac:dyDescent="0.35">
      <c r="B13" s="224" t="s">
        <v>204</v>
      </c>
      <c r="C13" s="225"/>
      <c r="D13" s="225">
        <f>(BDBG!C12+BDBG!C66+BDBG!C120+BDBG!C174+BDBG!C228+BDBG!C282)/1000</f>
        <v>0</v>
      </c>
      <c r="E13" s="225">
        <f>(BDBG!C1147+BDBG!C1201+BDBG!C1363+BDBG!C1471)*TC_MES/1000+BDBG!C1633*TC_MES/1000</f>
        <v>0</v>
      </c>
      <c r="F13" s="225">
        <f>(BDBG!C1255+BDBG!C1309+BDBG!C1417+BDBG!C1525+BDBG!C1579)*TC_MES/1000</f>
        <v>0</v>
      </c>
      <c r="G13" s="225">
        <f>(BDBG!C714+BDBG!C768+BDBG!C823+BDBG!C877+BDBG!C931)/1000</f>
        <v>0</v>
      </c>
      <c r="H13" s="225">
        <f>(BDBG!C1039+BDBG!C1093)/1000</f>
        <v>0</v>
      </c>
      <c r="I13" s="225">
        <f t="shared" si="0"/>
        <v>0</v>
      </c>
    </row>
    <row r="14" spans="2:9" x14ac:dyDescent="0.35">
      <c r="B14" s="224" t="s">
        <v>205</v>
      </c>
      <c r="C14" s="225"/>
      <c r="D14" s="225">
        <f>(BDBG!C13+BDBG!C67+BDBG!C121+BDBG!C175+BDBG!C229+BDBG!C283)/1000</f>
        <v>0</v>
      </c>
      <c r="E14" s="225">
        <f>(BDBG!C1148+BDBG!C1202+BDBG!C1364+BDBG!C1472)*TC_MES/1000+BDBG!C1634*TC_MES/1000</f>
        <v>0</v>
      </c>
      <c r="F14" s="225">
        <f>(BDBG!C1256+BDBG!C1310+BDBG!C1418+BDBG!C1526+BDBG!C1580)*TC_MES/1000</f>
        <v>0</v>
      </c>
      <c r="G14" s="225">
        <f>(BDBG!C715+BDBG!C769+BDBG!C824+BDBG!C878+BDBG!C932)/1000</f>
        <v>0</v>
      </c>
      <c r="H14" s="225">
        <f>(BDBG!C1040+BDBG!C1094)/1000</f>
        <v>0</v>
      </c>
      <c r="I14" s="225">
        <f t="shared" si="0"/>
        <v>0</v>
      </c>
    </row>
    <row r="15" spans="2:9" x14ac:dyDescent="0.35">
      <c r="B15" s="224" t="s">
        <v>206</v>
      </c>
      <c r="C15" s="225"/>
      <c r="D15" s="225">
        <f>(BDBG!C14+BDBG!C68+BDBG!C122+BDBG!C176+BDBG!C230+BDBG!C284)/1000</f>
        <v>0</v>
      </c>
      <c r="E15" s="225">
        <f>(BDBG!C1149+BDBG!C1203+BDBG!C1365+BDBG!C1473)*TC_MES/1000+BDBG!C1635*TC_MES/1000</f>
        <v>0</v>
      </c>
      <c r="F15" s="225">
        <f>(BDBG!C1257+BDBG!C1311+BDBG!C1419+BDBG!C1527+BDBG!C1581)*TC_MES/1000</f>
        <v>0</v>
      </c>
      <c r="G15" s="225">
        <f>(BDBG!C716+BDBG!C770+BDBG!C825+BDBG!C879+BDBG!C933)/1000</f>
        <v>0</v>
      </c>
      <c r="H15" s="225">
        <f>(BDBG!C1041+BDBG!C1095)/1000</f>
        <v>0</v>
      </c>
      <c r="I15" s="225">
        <f t="shared" si="0"/>
        <v>0</v>
      </c>
    </row>
    <row r="16" spans="2:9" x14ac:dyDescent="0.35">
      <c r="B16" s="224" t="s">
        <v>207</v>
      </c>
      <c r="C16" s="225"/>
      <c r="D16" s="225">
        <f>(BDBG!C15+BDBG!C69+BDBG!C123+BDBG!C177+BDBG!C231+BDBG!C285)/1000</f>
        <v>0</v>
      </c>
      <c r="E16" s="225">
        <f>(BDBG!C1150+BDBG!C1204+BDBG!C1366+BDBG!C1474)*TC_MES/1000+BDBG!C1636*TC_MES/1000</f>
        <v>0</v>
      </c>
      <c r="F16" s="225">
        <f>(BDBG!C1258+BDBG!C1312+BDBG!C1420+BDBG!C1528+BDBG!C1582)*TC_MES/1000</f>
        <v>0</v>
      </c>
      <c r="G16" s="225">
        <f>(BDBG!C717+BDBG!C771+BDBG!C826+BDBG!C880+BDBG!C934)/1000</f>
        <v>0</v>
      </c>
      <c r="H16" s="225">
        <f>(BDBG!C1042+BDBG!C1096)/1000</f>
        <v>0</v>
      </c>
      <c r="I16" s="225">
        <f t="shared" si="0"/>
        <v>0</v>
      </c>
    </row>
    <row r="17" spans="2:12" x14ac:dyDescent="0.35">
      <c r="B17" s="224" t="s">
        <v>208</v>
      </c>
      <c r="C17" s="225"/>
      <c r="D17" s="225">
        <f>(BDBG!C16+BDBG!C70+BDBG!C124+BDBG!C178+BDBG!C232+BDBG!C286)/1000</f>
        <v>0</v>
      </c>
      <c r="E17" s="225">
        <f>(BDBG!C1151+BDBG!C1205+BDBG!C1367+BDBG!C1475)*TC_MES/1000+BDBG!C1637*TC_MES/1000</f>
        <v>0</v>
      </c>
      <c r="F17" s="225">
        <f>(BDBG!C1259+BDBG!C1313+BDBG!C1421+BDBG!C1529+BDBG!C1583)*TC_MES/1000</f>
        <v>0</v>
      </c>
      <c r="G17" s="225">
        <f>(BDBG!C718+BDBG!C772+BDBG!C827+BDBG!C881+BDBG!C935)/1000</f>
        <v>0</v>
      </c>
      <c r="H17" s="225">
        <f>(BDBG!C1043+BDBG!C1097)/1000</f>
        <v>0</v>
      </c>
      <c r="I17" s="225">
        <f t="shared" si="0"/>
        <v>0</v>
      </c>
    </row>
    <row r="18" spans="2:12" x14ac:dyDescent="0.35">
      <c r="B18" s="224" t="s">
        <v>209</v>
      </c>
      <c r="C18" s="225"/>
      <c r="D18" s="225">
        <f>(BDBG!C17+BDBG!C71+BDBG!C125+BDBG!C179+BDBG!C233+BDBG!C287)/1000</f>
        <v>0</v>
      </c>
      <c r="E18" s="225">
        <f>(BDBG!C1152+BDBG!C1206+BDBG!C1368+BDBG!C1476)*TC_MES/1000+BDBG!C1638*TC_MES/1000</f>
        <v>0</v>
      </c>
      <c r="F18" s="225">
        <f>(BDBG!C1260+BDBG!C1314+BDBG!C1422+BDBG!C1530+BDBG!C1584)*TC_MES/1000</f>
        <v>0</v>
      </c>
      <c r="G18" s="225">
        <f>(BDBG!C719+BDBG!C773+BDBG!C828+BDBG!C882+BDBG!C936)/1000</f>
        <v>0</v>
      </c>
      <c r="H18" s="225">
        <f>(BDBG!C1044+BDBG!C1098)/1000</f>
        <v>0</v>
      </c>
      <c r="I18" s="225">
        <f t="shared" si="0"/>
        <v>0</v>
      </c>
      <c r="K18" t="s">
        <v>247</v>
      </c>
    </row>
    <row r="19" spans="2:12" x14ac:dyDescent="0.35">
      <c r="B19" s="224" t="s">
        <v>210</v>
      </c>
      <c r="C19" s="225"/>
      <c r="D19" s="225">
        <f>(BDBG!C18+BDBG!C72+BDBG!C126+BDBG!C180+BDBG!C234+BDBG!C288)/1000</f>
        <v>0</v>
      </c>
      <c r="E19" s="225">
        <f>(BDBG!C1153+BDBG!C1207+BDBG!C1369+BDBG!C1477)*TC_MES/1000+BDBG!C1639*TC_MES/1000</f>
        <v>0</v>
      </c>
      <c r="F19" s="225">
        <f>(BDBG!C1261+BDBG!C1315+BDBG!C1423+BDBG!C1531+BDBG!C1585)*TC_MES/1000</f>
        <v>0</v>
      </c>
      <c r="G19" s="225">
        <f>(BDBG!C720+BDBG!C775+BDBG!C774+BDBG!C829+BDBG!C883+BDBG!C937)/1000</f>
        <v>0</v>
      </c>
      <c r="H19" s="225">
        <f>(BDBG!C1045+BDBG!C1099)/1000</f>
        <v>0</v>
      </c>
      <c r="I19" s="225">
        <f t="shared" si="0"/>
        <v>0</v>
      </c>
      <c r="K19">
        <f>BDBG!B774</f>
        <v>0</v>
      </c>
      <c r="L19">
        <f>BDBG!A774</f>
        <v>0</v>
      </c>
    </row>
    <row r="20" spans="2:12" x14ac:dyDescent="0.35">
      <c r="B20" s="224" t="s">
        <v>211</v>
      </c>
      <c r="C20" s="225"/>
      <c r="D20" s="225">
        <f>(BDBG!C19+BDBG!C73+BDBG!C127+BDBG!C181+BDBG!C235+BDBG!C289)/1000</f>
        <v>0</v>
      </c>
      <c r="E20" s="225">
        <f>(BDBG!C1154+BDBG!C1208+BDBG!C1370+BDBG!C1478)*TC_MES/1000+BDBG!C1640*TC_MES/1000</f>
        <v>0</v>
      </c>
      <c r="F20" s="225">
        <f>(BDBG!C1262+BDBG!C1316+BDBG!C1424+BDBG!C1532+BDBG!C1586)*TC_MES/1000</f>
        <v>0</v>
      </c>
      <c r="G20" s="225">
        <f>(BDBG!C721+BDBG!C776+BDBG!C830+BDBG!C884+BDBG!C938)/1000</f>
        <v>0</v>
      </c>
      <c r="H20" s="225">
        <f>(BDBG!C1046+BDBG!C1100)/1000</f>
        <v>0</v>
      </c>
      <c r="I20" s="225">
        <f t="shared" si="0"/>
        <v>0</v>
      </c>
    </row>
    <row r="21" spans="2:12" hidden="1" x14ac:dyDescent="0.35">
      <c r="B21" s="226" t="s">
        <v>212</v>
      </c>
      <c r="C21" s="227"/>
      <c r="D21" s="227">
        <f>(BDBG!C20+BDBG!C74+BDBG!C128+BDBG!C182+BDBG!C236+BDBG!C290)/1000</f>
        <v>0</v>
      </c>
      <c r="E21" s="227">
        <f>(BDBG!C1155+BDBG!C1209+BDBG!C1371+BDBG!C1479)*TC_MES/1000+BDBG!C1641*TC_MES/1000</f>
        <v>0</v>
      </c>
      <c r="F21" s="227">
        <f>(BDBG!C1263+BDBG!C1317+BDBG!C1425+BDBG!C1533+BDBG!C1587)*TC_MES/1000</f>
        <v>0</v>
      </c>
      <c r="G21" s="227">
        <f>(BDBG!C722+BDBG!C777+BDBG!C831+BDBG!C885+BDBG!C939+BDBG!C993)/1000</f>
        <v>0</v>
      </c>
      <c r="H21" s="227">
        <f>(BDBG!C1047+BDBG!C1101)/1000</f>
        <v>0</v>
      </c>
      <c r="I21" s="227">
        <f t="shared" si="0"/>
        <v>0</v>
      </c>
    </row>
    <row r="22" spans="2:12" hidden="1" x14ac:dyDescent="0.35">
      <c r="B22" s="226" t="s">
        <v>213</v>
      </c>
      <c r="C22" s="225"/>
      <c r="D22" s="225">
        <f>(BDBG!C21+BDBG!C75+BDBG!C129+BDBG!C183+BDBG!C237+BDBG!C291)/1000</f>
        <v>0</v>
      </c>
      <c r="E22" s="225">
        <f>(BDBG!C1156+BDBG!C1210+BDBG!C1372+BDBG!C1480)*TC_MES/1000</f>
        <v>0</v>
      </c>
      <c r="F22" s="225">
        <f>(BDBG!C1264+BDBG!C1318+BDBG!C1426+BDBG!C1534+BDBG!C1588)*TC_MES/1000</f>
        <v>0</v>
      </c>
      <c r="G22" s="225">
        <f>(BDBG!C723+BDBG!C778+BDBG!C832+BDBG!C886+BDBG!C940+BDBG!C994)/1000</f>
        <v>0</v>
      </c>
      <c r="H22" s="225">
        <f>(BDBG!C1048+BDBG!C1102)/1000</f>
        <v>0</v>
      </c>
      <c r="I22" s="225">
        <f t="shared" si="0"/>
        <v>0</v>
      </c>
    </row>
    <row r="23" spans="2:12" x14ac:dyDescent="0.35">
      <c r="B23" s="224" t="s">
        <v>214</v>
      </c>
      <c r="C23" s="225"/>
      <c r="D23" s="225">
        <f>(BDBG!C22+BDBG!C76+BDBG!C130+BDBG!C184+BDBG!C238+BDBG!C292)/1000</f>
        <v>0</v>
      </c>
      <c r="E23" s="225">
        <f>(BDBG!C1157+BDBG!C1211+BDBG!C1373+BDBG!C1481)*TC_MES/1000+BDBG!C1643*TC_MES/1000+(BDBG!C1158+BDBG!C1212+BDBG!C1374+BDBG!C1482)*TC_MES/1000+BDBG!C1644*TC_MES/1000</f>
        <v>0</v>
      </c>
      <c r="F23" s="225">
        <f>(BDBG!C1265+BDBG!C1319+BDBG!C1427+BDBG!C1535+BDBG!C1589)*TC_MES/1000+(BDBG!C1266+BDBG!C1320+BDBG!C1428+BDBG!C1536+BDBG!C1590)*TC_MES/1000</f>
        <v>0</v>
      </c>
      <c r="G23" s="225">
        <f>(BDBG!C724+BDBG!C779+BDBG!C833+BDBG!C887+BDBG!C941)/1000</f>
        <v>0</v>
      </c>
      <c r="H23" s="225">
        <f>(BDBG!C1049+BDBG!C1103)/1000</f>
        <v>0</v>
      </c>
      <c r="I23" s="225">
        <f t="shared" si="0"/>
        <v>0</v>
      </c>
    </row>
    <row r="24" spans="2:12" x14ac:dyDescent="0.35">
      <c r="B24" s="224" t="s">
        <v>215</v>
      </c>
      <c r="C24" s="225"/>
      <c r="D24" s="225">
        <f>(BDBG!C23+BDBG!C77+BDBG!C131+BDBG!C185+BDBG!C239+BDBG!C293)/1000</f>
        <v>0</v>
      </c>
      <c r="E24" s="225">
        <v>0</v>
      </c>
      <c r="F24" s="225">
        <v>0</v>
      </c>
      <c r="G24" s="225">
        <f>(BDBG!C725+BDBG!C780+BDBG!C834+BDBG!C888+BDBG!C942+BDBG!C996)/1000</f>
        <v>0</v>
      </c>
      <c r="H24" s="225">
        <f>(BDBG!C1050+BDBG!C1104)/1000</f>
        <v>0</v>
      </c>
      <c r="I24" s="225">
        <f t="shared" si="0"/>
        <v>0</v>
      </c>
    </row>
    <row r="25" spans="2:12" x14ac:dyDescent="0.35">
      <c r="B25" s="224" t="s">
        <v>216</v>
      </c>
      <c r="C25" s="225"/>
      <c r="D25" s="225">
        <f>(BDBG!C24+BDBG!C78+BDBG!C132+BDBG!C186+BDBG!C240+BDBG!C294)/1000</f>
        <v>0</v>
      </c>
      <c r="E25" s="225">
        <f>(BDBG!C1159+BDBG!C1213+BDBG!C1375+BDBG!C1483)*TC_MES/1000+BDBG!C1645*TC_MES/1000</f>
        <v>0</v>
      </c>
      <c r="F25" s="225">
        <f>(BDBG!C1267+BDBG!C1321+BDBG!C1429+BDBG!C1537+BDBG!C1591)*TC_MES/1000</f>
        <v>0</v>
      </c>
      <c r="G25" s="225">
        <f>(BDBG!C726+BDBG!C781+BDBG!C835+BDBG!C889+BDBG!C943)/1000</f>
        <v>0</v>
      </c>
      <c r="H25" s="225">
        <f>(BDBG!C1051+BDBG!C1105)/1000</f>
        <v>0</v>
      </c>
      <c r="I25" s="225">
        <f t="shared" si="0"/>
        <v>0</v>
      </c>
    </row>
    <row r="26" spans="2:12" x14ac:dyDescent="0.35">
      <c r="B26" s="226" t="s">
        <v>217</v>
      </c>
      <c r="C26" s="228"/>
      <c r="D26" s="228">
        <f>(BDBG!C25+BDBG!C79+BDBG!C133+BDBG!C187+BDBG!C241+BDBG!C295)/1000</f>
        <v>0</v>
      </c>
      <c r="E26" s="228">
        <f>(BDBG!C1160+BDBG!C1214+BDBG!C1376+BDBG!C1484)*TC_MES/1000+BDBG!C1646*TC_MES/1000</f>
        <v>0</v>
      </c>
      <c r="F26" s="228">
        <f>(BDBG!C1268+BDBG!C1322+BDBG!C1430+BDBG!C1538+BDBG!C1592)*TC_MES/1000</f>
        <v>0</v>
      </c>
      <c r="G26" s="228">
        <f>(BDBG!C727+BDBG!C782+BDBG!C836+BDBG!C890+BDBG!C944)/1000</f>
        <v>0</v>
      </c>
      <c r="H26" s="228">
        <f>(BDBG!C1052+BDBG!C1106)/1000</f>
        <v>0</v>
      </c>
      <c r="I26" s="228">
        <f t="shared" si="0"/>
        <v>0</v>
      </c>
    </row>
    <row r="27" spans="2:12" x14ac:dyDescent="0.35">
      <c r="B27" s="226" t="s">
        <v>218</v>
      </c>
      <c r="C27" s="225"/>
      <c r="D27" s="225"/>
      <c r="E27" s="225"/>
      <c r="F27" s="225"/>
      <c r="G27" s="225"/>
      <c r="H27" s="225"/>
      <c r="I27" s="225"/>
    </row>
    <row r="28" spans="2:12" x14ac:dyDescent="0.35">
      <c r="B28" s="224" t="s">
        <v>219</v>
      </c>
      <c r="C28" s="229"/>
      <c r="D28" s="229">
        <f>(BDBG!C27+BDBG!C81+BDBG!C135+BDBG!C189+BDBG!C243+BDBG!C297)/1000</f>
        <v>0</v>
      </c>
      <c r="E28" s="229">
        <f>(BDBG!C1162+BDBG!C1216+BDBG!C1378+BDBG!C1486)*TC_MES/1000+BDBG!C1648*TC_MES/1000</f>
        <v>0</v>
      </c>
      <c r="F28" s="229">
        <f>(BDBG!C1270+BDBG!C1324+BDBG!C1432+BDBG!C1540+BDBG!C1594)*TC_MES/1000</f>
        <v>0</v>
      </c>
      <c r="G28" s="229">
        <f>(BDBG!C729+BDBG!C784+BDBG!C838+BDBG!C892+BDBG!C946)/1000</f>
        <v>0</v>
      </c>
      <c r="H28" s="229">
        <f>(BDBG!C1054+BDBG!C1108)/1000</f>
        <v>0</v>
      </c>
      <c r="I28" s="229">
        <f t="shared" si="0"/>
        <v>0</v>
      </c>
    </row>
    <row r="29" spans="2:12" x14ac:dyDescent="0.35">
      <c r="B29" s="230" t="s">
        <v>220</v>
      </c>
      <c r="C29" s="227"/>
      <c r="D29" s="227">
        <f t="shared" ref="D29:H29" si="3">SUM(D13,D14,D15,D16,D17,D18,D19,D20,D23,D24,D25,D28)</f>
        <v>0</v>
      </c>
      <c r="E29" s="227">
        <f t="shared" si="3"/>
        <v>0</v>
      </c>
      <c r="F29" s="227">
        <f t="shared" si="3"/>
        <v>0</v>
      </c>
      <c r="G29" s="227">
        <f t="shared" si="3"/>
        <v>0</v>
      </c>
      <c r="H29" s="227">
        <f t="shared" si="3"/>
        <v>0</v>
      </c>
      <c r="I29" s="227">
        <f>SUM(I13,I14,I15,I16,I17,I18,I19,I20,I23,I24,I25,I28)</f>
        <v>0</v>
      </c>
    </row>
    <row r="30" spans="2:12" x14ac:dyDescent="0.35">
      <c r="B30" s="231" t="s">
        <v>221</v>
      </c>
      <c r="C30" s="232"/>
      <c r="D30" s="232">
        <f t="shared" ref="D30:I30" si="4">D11+D29</f>
        <v>0</v>
      </c>
      <c r="E30" s="232">
        <f t="shared" si="4"/>
        <v>0</v>
      </c>
      <c r="F30" s="232">
        <f t="shared" si="4"/>
        <v>0</v>
      </c>
      <c r="G30" s="232">
        <f t="shared" si="4"/>
        <v>0</v>
      </c>
      <c r="H30" s="232">
        <f t="shared" si="4"/>
        <v>0</v>
      </c>
      <c r="I30" s="232">
        <f t="shared" si="4"/>
        <v>0</v>
      </c>
    </row>
    <row r="31" spans="2:12" ht="9.5" customHeight="1" x14ac:dyDescent="0.35">
      <c r="B31" s="26"/>
      <c r="C31" s="233"/>
      <c r="D31" s="233"/>
      <c r="E31" s="233"/>
      <c r="F31" s="233"/>
      <c r="G31" s="233"/>
      <c r="H31" s="233"/>
      <c r="I31" s="233"/>
    </row>
    <row r="32" spans="2:12" x14ac:dyDescent="0.35">
      <c r="B32" s="26"/>
      <c r="C32" s="234" t="s">
        <v>25</v>
      </c>
      <c r="D32" s="234" t="s">
        <v>26</v>
      </c>
      <c r="E32" s="234" t="s">
        <v>27</v>
      </c>
      <c r="F32" s="234" t="s">
        <v>28</v>
      </c>
      <c r="G32" s="234" t="s">
        <v>29</v>
      </c>
      <c r="H32" s="234" t="s">
        <v>30</v>
      </c>
      <c r="I32" s="234" t="s">
        <v>31</v>
      </c>
    </row>
    <row r="33" spans="2:9" x14ac:dyDescent="0.35">
      <c r="B33" s="222" t="s">
        <v>222</v>
      </c>
      <c r="C33" s="223"/>
      <c r="D33" s="223"/>
      <c r="E33" s="223"/>
      <c r="F33" s="223"/>
      <c r="G33" s="223"/>
      <c r="H33" s="223"/>
      <c r="I33" s="223"/>
    </row>
    <row r="34" spans="2:9" x14ac:dyDescent="0.35">
      <c r="B34" s="224" t="s">
        <v>223</v>
      </c>
      <c r="C34" s="225"/>
      <c r="D34" s="225">
        <f>(BDBG!C31+BDBG!C85+BDBG!C139+BDBG!C193+BDBG!C247+BDBG!C301)/1000</f>
        <v>0</v>
      </c>
      <c r="E34" s="225">
        <f>(BDBG!C1166+BDBG!C1220+BDBG!C1382+BDBG!C1490)*TC_MES/1000+BDBG!C1652*TC_MES/1000</f>
        <v>0</v>
      </c>
      <c r="F34" s="225">
        <f>(BDBG!C1274+BDBG!C1328+BDBG!C1436+BDBG!C1544+BDBG!C1598)*TC_MES/1000</f>
        <v>0</v>
      </c>
      <c r="G34" s="225">
        <f>(BDBG!C733+BDBG!C788+BDBG!C842+BDBG!C896+BDBG!C950)/1000</f>
        <v>0</v>
      </c>
      <c r="H34" s="225">
        <f>(BDBG!C1058+BDBG!C1112)/1000</f>
        <v>0</v>
      </c>
      <c r="I34" s="225">
        <f t="shared" ref="I34:I57" si="5">SUM(C34,D34,E34,F34,G34,H34)</f>
        <v>0</v>
      </c>
    </row>
    <row r="35" spans="2:9" x14ac:dyDescent="0.35">
      <c r="B35" s="224" t="s">
        <v>224</v>
      </c>
      <c r="C35" s="225"/>
      <c r="D35" s="225">
        <f>(BDBG!C32+BDBG!C86+BDBG!C140+BDBG!C194+BDBG!C248+BDBG!C302)/1000</f>
        <v>0</v>
      </c>
      <c r="E35" s="225">
        <f>(BDBG!C1167+BDBG!C1221+BDBG!C1383+BDBG!C1491)*TC_MES/1000+BDBG!C1653*TC_MES/1000</f>
        <v>0</v>
      </c>
      <c r="F35" s="225">
        <f>(BDBG!C1275+BDBG!C1329+BDBG!C1437+BDBG!C1545+BDBG!C1599)*TC_MES/1000</f>
        <v>0</v>
      </c>
      <c r="G35" s="225">
        <f>(BDBG!C734+BDBG!C789+BDBG!C843+BDBG!C897+BDBG!C951)/1000</f>
        <v>0</v>
      </c>
      <c r="H35" s="225">
        <f>(BDBG!C1059+BDBG!C1113)/1000</f>
        <v>0</v>
      </c>
      <c r="I35" s="225">
        <f t="shared" si="5"/>
        <v>0</v>
      </c>
    </row>
    <row r="36" spans="2:9" x14ac:dyDescent="0.35">
      <c r="B36" s="224" t="s">
        <v>225</v>
      </c>
      <c r="C36" s="225"/>
      <c r="D36" s="225">
        <f>(BDBG!C33+BDBG!C87+BDBG!C141+BDBG!C195+BDBG!C249+BDBG!C303)/1000</f>
        <v>0</v>
      </c>
      <c r="E36" s="225">
        <f>(BDBG!C1168+BDBG!C1222+BDBG!C1384+BDBG!C1492)*TC_MES/1000+BDBG!C1654*TC_MES/1000</f>
        <v>0</v>
      </c>
      <c r="F36" s="225">
        <f>(BDBG!C1276+BDBG!C1330+BDBG!C1438+BDBG!C1546+BDBG!C1600)*TC_MES/1000</f>
        <v>0</v>
      </c>
      <c r="G36" s="225">
        <f>(BDBG!C735+BDBG!C790+BDBG!C844+BDBG!C898+BDBG!C952)/1000</f>
        <v>0</v>
      </c>
      <c r="H36" s="225">
        <f>(BDBG!C1060+BDBG!C1114)/1000</f>
        <v>0</v>
      </c>
      <c r="I36" s="225">
        <f t="shared" si="5"/>
        <v>0</v>
      </c>
    </row>
    <row r="37" spans="2:9" x14ac:dyDescent="0.35">
      <c r="B37" s="224" t="s">
        <v>226</v>
      </c>
      <c r="C37" s="225"/>
      <c r="D37" s="225">
        <f>(BDBG!C34+BDBG!C88+BDBG!C142+BDBG!C196+BDBG!C250+BDBG!C304)/1000</f>
        <v>0</v>
      </c>
      <c r="E37" s="225">
        <f>(BDBG!C1169+BDBG!C1223+BDBG!C1385+BDBG!C1493)*TC_MES/1000+BDBG!C1655*TC_MES/1000</f>
        <v>0</v>
      </c>
      <c r="F37" s="225">
        <f>(BDBG!C1277+BDBG!C1331+BDBG!C1439+BDBG!C1547+BDBG!C1601)*TC_MES/1000</f>
        <v>0</v>
      </c>
      <c r="G37" s="225">
        <f>(BDBG!C736+BDBG!C791+BDBG!C845+BDBG!C899+BDBG!C953)/1000</f>
        <v>0</v>
      </c>
      <c r="H37" s="225">
        <f>(BDBG!C1061+BDBG!C1115)/1000</f>
        <v>0</v>
      </c>
      <c r="I37" s="225">
        <f t="shared" si="5"/>
        <v>0</v>
      </c>
    </row>
    <row r="38" spans="2:9" x14ac:dyDescent="0.35">
      <c r="B38" s="224" t="s">
        <v>227</v>
      </c>
      <c r="C38" s="225"/>
      <c r="D38" s="225">
        <f>(BDBG!C35+BDBG!C89+BDBG!C143+BDBG!C197+BDBG!C251+BDBG!C305)/1000</f>
        <v>0</v>
      </c>
      <c r="E38" s="225">
        <f>(BDBG!C1170+BDBG!C1224+BDBG!C1386+BDBG!C1494)*TC_MES/1000+BDBG!C1656*TC_MES/1000</f>
        <v>0</v>
      </c>
      <c r="F38" s="225">
        <f>(BDBG!C1278+BDBG!C1332+BDBG!C1440+BDBG!C1548+BDBG!C1602)*TC_MES/1000</f>
        <v>0</v>
      </c>
      <c r="G38" s="225">
        <f>(BDBG!C737+BDBG!C792+BDBG!C846+BDBG!C900+BDBG!C954)/1000</f>
        <v>0</v>
      </c>
      <c r="H38" s="225">
        <f>(BDBG!C1062+BDBG!C1116)/1000</f>
        <v>0</v>
      </c>
      <c r="I38" s="225">
        <f t="shared" si="5"/>
        <v>0</v>
      </c>
    </row>
    <row r="39" spans="2:9" x14ac:dyDescent="0.35">
      <c r="B39" s="226" t="s">
        <v>228</v>
      </c>
      <c r="C39" s="227"/>
      <c r="D39" s="227">
        <f t="shared" ref="D39:I39" si="6">SUM(D34,D35,D36,D37,D38)</f>
        <v>0</v>
      </c>
      <c r="E39" s="227">
        <f t="shared" si="6"/>
        <v>0</v>
      </c>
      <c r="F39" s="227">
        <f t="shared" si="6"/>
        <v>0</v>
      </c>
      <c r="G39" s="227">
        <f t="shared" si="6"/>
        <v>0</v>
      </c>
      <c r="H39" s="227">
        <f t="shared" si="6"/>
        <v>0</v>
      </c>
      <c r="I39" s="227">
        <f t="shared" si="6"/>
        <v>0</v>
      </c>
    </row>
    <row r="40" spans="2:9" x14ac:dyDescent="0.35">
      <c r="B40" s="226" t="s">
        <v>229</v>
      </c>
      <c r="C40" s="225"/>
      <c r="D40" s="225">
        <f>(BDBG!C37+BDBG!C91+BDBG!C145+BDBG!C199+BDBG!C253+BDBG!C307)/1000</f>
        <v>0</v>
      </c>
      <c r="E40" s="225">
        <f>(BDBG!C1172+BDBG!C1226+BDBG!C1388+BDBG!C1496)*TC_MES/1000</f>
        <v>0</v>
      </c>
      <c r="F40" s="225">
        <f>(BDBG!C1280+BDBG!C1334+BDBG!C1442+BDBG!C1550+BDBG!C1604)*TC_MES/1000</f>
        <v>0</v>
      </c>
      <c r="G40" s="225">
        <f>(BDBG!C739+BDBG!C794+BDBG!C848+BDBG!C902+BDBG!C956)/1000</f>
        <v>0</v>
      </c>
      <c r="H40" s="225">
        <f>(BDBG!C1064+BDBG!C1118)/1000</f>
        <v>0</v>
      </c>
      <c r="I40" s="225">
        <f t="shared" si="5"/>
        <v>0</v>
      </c>
    </row>
    <row r="41" spans="2:9" x14ac:dyDescent="0.35">
      <c r="B41" s="224" t="s">
        <v>230</v>
      </c>
      <c r="C41" s="225"/>
      <c r="D41" s="225">
        <f>(BDBG!C38+BDBG!C92+BDBG!C146+BDBG!C200+BDBG!C254+BDBG!C308)/1000</f>
        <v>0</v>
      </c>
      <c r="E41" s="225"/>
      <c r="F41" s="225">
        <f>(BDBG!C1281+BDBG!C1335+BDBG!C1443+BDBG!C1551+BDBG!C1605)*TC_MES/1000</f>
        <v>0</v>
      </c>
      <c r="G41" s="225">
        <f>(BDBG!C740+BDBG!C795+BDBG!C849+BDBG!C903+BDBG!C957)/1000</f>
        <v>0</v>
      </c>
      <c r="H41" s="225">
        <f>(BDBG!C1065+BDBG!C1119)/1000</f>
        <v>0</v>
      </c>
      <c r="I41" s="225">
        <f t="shared" si="5"/>
        <v>0</v>
      </c>
    </row>
    <row r="42" spans="2:9" x14ac:dyDescent="0.35">
      <c r="B42" s="224" t="s">
        <v>231</v>
      </c>
      <c r="C42" s="225"/>
      <c r="D42" s="225">
        <f>(BDBG!C39+BDBG!C93+BDBG!C147+BDBG!C201+BDBG!C255+BDBG!C309)/1000</f>
        <v>0</v>
      </c>
      <c r="E42" s="225">
        <f>(BDBG!C1174+BDBG!C1228+BDBG!C1390+BDBG!C1498)*TC_MES/1000+BDBG!C1660*TC_MES/1000</f>
        <v>0</v>
      </c>
      <c r="F42" s="225">
        <f>(BDBG!C1282+BDBG!C1336+BDBG!C1444+BDBG!C1552+BDBG!C1606)*TC_MES/1000</f>
        <v>0</v>
      </c>
      <c r="G42" s="225">
        <f>(BDBG!C741+BDBG!C796+BDBG!C850+BDBG!C904+BDBG!C958)/1000</f>
        <v>0</v>
      </c>
      <c r="H42" s="225">
        <f>(BDBG!C1066+BDBG!C1120)/1000</f>
        <v>0</v>
      </c>
      <c r="I42" s="225">
        <f t="shared" si="5"/>
        <v>0</v>
      </c>
    </row>
    <row r="43" spans="2:9" x14ac:dyDescent="0.35">
      <c r="B43" s="224" t="s">
        <v>232</v>
      </c>
      <c r="C43" s="225"/>
      <c r="D43" s="225">
        <f>(BDBG!C40+BDBG!C94+BDBG!C148+BDBG!C202+BDBG!C256+BDBG!C310)/1000</f>
        <v>0</v>
      </c>
      <c r="E43" s="225">
        <f>(BDBG!C1175+ BDBG!C1173+BDBG!C1229+ BDBG!C1227+BDBG!C1391+ BDBG!C1389+BDBG!C1499+ BDBG!C1497)*TC_MES/1000+(BDBG!C1659+BDBG!C1661)*TC_MES/1000</f>
        <v>0</v>
      </c>
      <c r="F43" s="225">
        <f>(BDBG!C1283+BDBG!C1281+BDBG!C1337+BDBG!C1335+BDBG!C1445+BDBG!C1443+BDBG!C1553+BDBG!C1551+BDBG!C1607+BDBG!C1605)*TC_MES/1000</f>
        <v>0</v>
      </c>
      <c r="G43" s="225">
        <f>(BDBG!C742+BDBG!C797+BDBG!C851+BDBG!C905+BDBG!C959)/1000</f>
        <v>0</v>
      </c>
      <c r="H43" s="225">
        <f>(BDBG!C1067+BDBG!C1121)/1000</f>
        <v>0</v>
      </c>
      <c r="I43" s="225">
        <f t="shared" si="5"/>
        <v>0</v>
      </c>
    </row>
    <row r="44" spans="2:9" hidden="1" x14ac:dyDescent="0.35">
      <c r="B44" s="226" t="s">
        <v>233</v>
      </c>
      <c r="C44" s="227"/>
      <c r="D44" s="227">
        <f>(BDBG!C41+BDBG!C95+BDBG!C149+BDBG!C203+BDBG!C257+BDBG!C311)/1000</f>
        <v>0</v>
      </c>
      <c r="E44" s="227">
        <f>(BDBG!C1176+BDBG!C1230+BDBG!C1392+BDBG!C1500)*TC_MES/1000+BDBG!C1662*TC_MES/1000</f>
        <v>0</v>
      </c>
      <c r="F44" s="227">
        <f>(BDBG!C1284+BDBG!C1338+BDBG!C1446+BDBG!C1554+BDBG!C1608)*TC_MES/1000</f>
        <v>0</v>
      </c>
      <c r="G44" s="227">
        <f>BDBG!C743+BDBG!C798+BDBG!C852+BDBG!C906+BDBG!C960+BDBG!C1014</f>
        <v>0</v>
      </c>
      <c r="H44" s="227">
        <f>(BDBG!C1068+BDBG!C1122)/1000</f>
        <v>0</v>
      </c>
      <c r="I44" s="227">
        <f t="shared" si="5"/>
        <v>0</v>
      </c>
    </row>
    <row r="45" spans="2:9" hidden="1" x14ac:dyDescent="0.35">
      <c r="B45" s="226" t="s">
        <v>234</v>
      </c>
      <c r="C45" s="225"/>
      <c r="D45" s="225">
        <f>(BDBG!C42+BDBG!C96+BDBG!C150+BDBG!C204+BDBG!C258+BDBG!C312)/1000</f>
        <v>0</v>
      </c>
      <c r="E45" s="225">
        <f>(BDBG!C1177+BDBG!C1231+BDBG!C1393+BDBG!C1501)*TC_MES/1000+BDBG!C1663*TC_MES/1000</f>
        <v>0</v>
      </c>
      <c r="F45" s="225">
        <f>(BDBG!C1285+BDBG!C1339+BDBG!C1447+BDBG!C1555+BDBG!C1609)*TC_MES/1000</f>
        <v>0</v>
      </c>
      <c r="G45" s="225">
        <f>BDBG!C744+BDBG!C799+BDBG!C853+BDBG!C907+BDBG!C961+BDBG!C1015</f>
        <v>0</v>
      </c>
      <c r="H45" s="225">
        <f>(BDBG!C1069+BDBG!C1123)/1000</f>
        <v>0</v>
      </c>
      <c r="I45" s="225">
        <f t="shared" si="5"/>
        <v>0</v>
      </c>
    </row>
    <row r="46" spans="2:9" x14ac:dyDescent="0.35">
      <c r="B46" s="224" t="s">
        <v>235</v>
      </c>
      <c r="C46" s="225"/>
      <c r="D46" s="225">
        <f>(BDBG!C43+BDBG!C97+BDBG!C151+BDBG!C205+BDBG!C259+BDBG!C313)/1000</f>
        <v>0</v>
      </c>
      <c r="E46" s="225">
        <f>(BDBG!C1178+BDBG!C1232+BDBG!C1394+BDBG!C1502)*TC_MES/1000+BDBG!C1664*TC_MES/1000</f>
        <v>0</v>
      </c>
      <c r="F46" s="225">
        <f>(BDBG!C1286+BDBG!C1340+BDBG!C1448+BDBG!C1556+BDBG!C1610)*TC_MES/1000</f>
        <v>0</v>
      </c>
      <c r="G46" s="225">
        <f>(BDBG!C745+BDBG!C800+BDBG!C854+BDBG!C908+BDBG!C962)/1000</f>
        <v>0</v>
      </c>
      <c r="H46" s="225">
        <f>(BDBG!C1070+BDBG!C1124)/1000</f>
        <v>0</v>
      </c>
      <c r="I46" s="225">
        <f t="shared" si="5"/>
        <v>0</v>
      </c>
    </row>
    <row r="47" spans="2:9" x14ac:dyDescent="0.35">
      <c r="B47" s="226" t="s">
        <v>236</v>
      </c>
      <c r="C47" s="227"/>
      <c r="D47" s="227">
        <f t="shared" ref="D47:I47" si="7">SUM(D41,D42,D43,D46)</f>
        <v>0</v>
      </c>
      <c r="E47" s="227">
        <f t="shared" si="7"/>
        <v>0</v>
      </c>
      <c r="F47" s="227">
        <f t="shared" si="7"/>
        <v>0</v>
      </c>
      <c r="G47" s="227">
        <f t="shared" si="7"/>
        <v>0</v>
      </c>
      <c r="H47" s="227">
        <f t="shared" si="7"/>
        <v>0</v>
      </c>
      <c r="I47" s="227">
        <f t="shared" si="7"/>
        <v>0</v>
      </c>
    </row>
    <row r="48" spans="2:9" x14ac:dyDescent="0.35">
      <c r="B48" s="226" t="s">
        <v>237</v>
      </c>
      <c r="C48" s="225"/>
      <c r="D48" s="225"/>
      <c r="E48" s="225"/>
      <c r="F48" s="225"/>
      <c r="G48" s="225"/>
      <c r="H48" s="225"/>
      <c r="I48" s="225"/>
    </row>
    <row r="49" spans="2:9" x14ac:dyDescent="0.35">
      <c r="B49" s="224" t="s">
        <v>238</v>
      </c>
      <c r="C49" s="225"/>
      <c r="D49" s="225">
        <f>(BDBG!C46+BDBG!C100+BDBG!C154+BDBG!C208+BDBG!C262+BDBG!C316)/1000</f>
        <v>0</v>
      </c>
      <c r="E49" s="225">
        <f>(BDBG!C1181+BDBG!C1235+BDBG!C1397+BDBG!C1505)*TC_MES/1000+BDBG!C1667*TC_MES/1000</f>
        <v>0</v>
      </c>
      <c r="F49" s="225">
        <f>(BDBG!C1289+BDBG!C1343+BDBG!C1451+BDBG!C1559+BDBG!C1613)*TC_MES/1000</f>
        <v>0</v>
      </c>
      <c r="G49" s="225">
        <f>(BDBG!C748+BDBG!C803+BDBG!C857+BDBG!C911+BDBG!C965)/1000</f>
        <v>0</v>
      </c>
      <c r="H49" s="225">
        <f>(BDBG!C1073+BDBG!C1127)/1000</f>
        <v>0</v>
      </c>
      <c r="I49" s="225">
        <f t="shared" si="5"/>
        <v>0</v>
      </c>
    </row>
    <row r="50" spans="2:9" x14ac:dyDescent="0.35">
      <c r="B50" s="224" t="s">
        <v>239</v>
      </c>
      <c r="C50" s="225"/>
      <c r="D50" s="225">
        <f>(BDBG!C47+BDBG!C101+BDBG!C155+BDBG!C209+BDBG!C263+BDBG!C317)/1000</f>
        <v>0</v>
      </c>
      <c r="E50" s="225">
        <f>(BDBG!C1182+BDBG!C1236+BDBG!C1398+BDBG!C1506)*TC_MES/1000+BDBG!C1668*TC_MES/1000</f>
        <v>0</v>
      </c>
      <c r="F50" s="225">
        <f>(BDBG!C1290+BDBG!C1344+BDBG!C1452+BDBG!C1560+BDBG!C1614)*TC_MES/1000</f>
        <v>0</v>
      </c>
      <c r="G50" s="225">
        <f>(BDBG!C749+BDBG!C804+BDBG!C858+BDBG!C912+BDBG!C966)/1000</f>
        <v>0</v>
      </c>
      <c r="H50" s="225">
        <f>(BDBG!C1074+BDBG!C1128)/1000</f>
        <v>0</v>
      </c>
      <c r="I50" s="225">
        <f t="shared" si="5"/>
        <v>0</v>
      </c>
    </row>
    <row r="51" spans="2:9" x14ac:dyDescent="0.35">
      <c r="B51" s="224" t="s">
        <v>240</v>
      </c>
      <c r="C51" s="225"/>
      <c r="D51" s="225">
        <f>(BDBG!C48+BDBG!C102+BDBG!C156+BDBG!C210+BDBG!C264+BDBG!C318)/1000</f>
        <v>0</v>
      </c>
      <c r="E51" s="225">
        <f>(BDBG!C1183+BDBG!C1237+BDBG!C1399+BDBG!C1507)*TC_MES/1000+BDBG!C1669*TC_MES/1000</f>
        <v>0</v>
      </c>
      <c r="F51" s="225">
        <f>(BDBG!C1291+BDBG!C1345+BDBG!C1453+BDBG!C1561+BDBG!C1615)*TC_MES/1000</f>
        <v>0</v>
      </c>
      <c r="G51" s="225">
        <f>(BDBG!C750+BDBG!C805+BDBG!C859+BDBG!C913+BDBG!C967)/1000</f>
        <v>0</v>
      </c>
      <c r="H51" s="225">
        <f>(BDBG!C1075+BDBG!C1129)/1000</f>
        <v>0</v>
      </c>
      <c r="I51" s="225">
        <f t="shared" si="5"/>
        <v>0</v>
      </c>
    </row>
    <row r="52" spans="2:9" x14ac:dyDescent="0.35">
      <c r="B52" s="224" t="s">
        <v>241</v>
      </c>
      <c r="C52" s="225"/>
      <c r="D52" s="225">
        <f>(BDBG!C49+BDBG!C103+BDBG!C157+BDBG!C211+BDBG!C265+BDBG!C319)/1000</f>
        <v>0</v>
      </c>
      <c r="E52" s="225">
        <f>(BDBG!C1184+BDBG!C1238+BDBG!C1400+BDBG!C1508)*TC_MES/1000+BDBG!C1670*TC_MES/1000</f>
        <v>0</v>
      </c>
      <c r="F52" s="225">
        <f>(BDBG!C1292+BDBG!C1346+BDBG!C1454+BDBG!C1562+BDBG!C1616)*TC_MES/1000</f>
        <v>0</v>
      </c>
      <c r="G52" s="225">
        <f>(BDBG!C751+BDBG!C806+BDBG!C860+BDBG!C914+BDBG!C968)/1000</f>
        <v>0</v>
      </c>
      <c r="H52" s="225">
        <f>(BDBG!C1076+BDBG!C1130)/1000</f>
        <v>0</v>
      </c>
      <c r="I52" s="225">
        <f t="shared" si="5"/>
        <v>0</v>
      </c>
    </row>
    <row r="53" spans="2:9" x14ac:dyDescent="0.35">
      <c r="B53" s="224" t="s">
        <v>242</v>
      </c>
      <c r="C53" s="225"/>
      <c r="D53" s="225">
        <f>(BDBG!C50+BDBG!C104+BDBG!C158+BDBG!C212+BDBG!C266+BDBG!C320)/1000</f>
        <v>0</v>
      </c>
      <c r="E53" s="225">
        <f>(BDBG!C1185+BDBG!C1239+BDBG!C1401+BDBG!C1509)*TC_MES/1000+BDBG!C1671*TC_MES/1000</f>
        <v>0</v>
      </c>
      <c r="F53" s="225">
        <f>(BDBG!C1293+BDBG!C1347+BDBG!C1455+BDBG!C1563+BDBG!C1617)*TC_MES/1000</f>
        <v>0</v>
      </c>
      <c r="G53" s="225">
        <f>(BDBG!C752+BDBG!C807+BDBG!C861+BDBG!C915+BDBG!C969)/1000</f>
        <v>0</v>
      </c>
      <c r="H53" s="225">
        <f>(BDBG!C1077+BDBG!C1131)/1000</f>
        <v>0</v>
      </c>
      <c r="I53" s="225">
        <f t="shared" si="5"/>
        <v>0</v>
      </c>
    </row>
    <row r="54" spans="2:9" x14ac:dyDescent="0.35">
      <c r="B54" s="224" t="s">
        <v>243</v>
      </c>
      <c r="C54" s="225"/>
      <c r="D54" s="225">
        <f>(BDBG!C51+BDBG!C105+BDBG!C159+BDBG!C213+BDBG!C267+BDBG!C321)/1000</f>
        <v>0</v>
      </c>
      <c r="E54" s="225">
        <f>(BDBG!C1186+BDBG!C1240+BDBG!C1402+BDBG!C1510)*TC_MES/1000+BDBG!C1672*TC_MES/1000</f>
        <v>0</v>
      </c>
      <c r="F54" s="225">
        <f>(BDBG!C1294+BDBG!C1348+BDBG!C1456+BDBG!C1564+BDBG!C1618)*TC_MES/1000</f>
        <v>0</v>
      </c>
      <c r="G54" s="225">
        <f>(BDBG!C753+BDBG!C808+BDBG!C862+BDBG!C916+BDBG!C970)/1000</f>
        <v>0</v>
      </c>
      <c r="H54" s="225">
        <f>(BDBG!C1078+BDBG!C1132)/1000</f>
        <v>0</v>
      </c>
      <c r="I54" s="225">
        <f t="shared" si="5"/>
        <v>0</v>
      </c>
    </row>
    <row r="55" spans="2:9" x14ac:dyDescent="0.35">
      <c r="B55" s="230" t="s">
        <v>244</v>
      </c>
      <c r="C55" s="232"/>
      <c r="D55" s="232">
        <f t="shared" ref="D55:I55" si="8">SUM(D49,D50,D51,D52,D53,D54)</f>
        <v>0</v>
      </c>
      <c r="E55" s="232">
        <f t="shared" si="8"/>
        <v>0</v>
      </c>
      <c r="F55" s="232">
        <f t="shared" si="8"/>
        <v>0</v>
      </c>
      <c r="G55" s="232">
        <f t="shared" si="8"/>
        <v>0</v>
      </c>
      <c r="H55" s="232">
        <f t="shared" si="8"/>
        <v>0</v>
      </c>
      <c r="I55" s="232">
        <f t="shared" si="8"/>
        <v>0</v>
      </c>
    </row>
    <row r="56" spans="2:9" x14ac:dyDescent="0.35">
      <c r="B56" s="26" t="s">
        <v>245</v>
      </c>
      <c r="C56" s="233"/>
      <c r="D56" s="233">
        <f t="shared" ref="D56:I56" si="9">D39+D47+D55</f>
        <v>0</v>
      </c>
      <c r="E56" s="233">
        <f t="shared" si="9"/>
        <v>0</v>
      </c>
      <c r="F56" s="233">
        <f t="shared" si="9"/>
        <v>0</v>
      </c>
      <c r="G56" s="233">
        <f t="shared" si="9"/>
        <v>0</v>
      </c>
      <c r="H56" s="233">
        <f t="shared" si="9"/>
        <v>0</v>
      </c>
      <c r="I56" s="233">
        <f t="shared" si="9"/>
        <v>0</v>
      </c>
    </row>
    <row r="57" spans="2:9" x14ac:dyDescent="0.35">
      <c r="B57" s="1" t="s">
        <v>246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S4"/>
  <sheetViews>
    <sheetView topLeftCell="A4" workbookViewId="0">
      <selection activeCell="H20" sqref="H20:H22"/>
    </sheetView>
  </sheetViews>
  <sheetFormatPr baseColWidth="10" defaultColWidth="8.7265625" defaultRowHeight="14.5" x14ac:dyDescent="0.35"/>
  <cols>
    <col min="1" max="1" width="16.81640625" style="295" bestFit="1" customWidth="1"/>
    <col min="2" max="16384" width="8.7265625" style="295"/>
  </cols>
  <sheetData>
    <row r="4" spans="45:45" x14ac:dyDescent="0.35">
      <c r="AS4" s="295" t="e">
        <f>BDER_sig!D</f>
        <v>#NAME?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688"/>
  <sheetViews>
    <sheetView zoomScale="80" zoomScaleNormal="80" workbookViewId="0">
      <selection activeCell="M3" sqref="M3"/>
    </sheetView>
  </sheetViews>
  <sheetFormatPr baseColWidth="10" defaultColWidth="8.7265625" defaultRowHeight="14.5" x14ac:dyDescent="0.35"/>
  <cols>
    <col min="1" max="1" width="17" style="178" bestFit="1" customWidth="1"/>
    <col min="2" max="2" width="32.453125" style="178" bestFit="1" customWidth="1"/>
    <col min="3" max="16384" width="8.7265625" style="178"/>
  </cols>
  <sheetData>
    <row r="1" spans="1:20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ht="14.5" customHeight="1" x14ac:dyDescent="0.35">
      <c r="A2"/>
      <c r="B2"/>
      <c r="C2"/>
      <c r="D2"/>
      <c r="E2"/>
      <c r="F2"/>
      <c r="G2"/>
      <c r="H2"/>
      <c r="I2"/>
      <c r="J2"/>
      <c r="K2"/>
      <c r="L2"/>
      <c r="M2" s="145">
        <v>43831</v>
      </c>
      <c r="N2"/>
      <c r="O2"/>
      <c r="P2"/>
      <c r="Q2"/>
      <c r="R2"/>
      <c r="S2"/>
      <c r="T2"/>
    </row>
    <row r="3" spans="1:20" ht="14.5" customHeight="1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ht="14.5" customHeight="1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ht="14.5" customHeight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ht="14.5" customHeight="1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ht="14.5" customHeight="1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14.5" customHeight="1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14.5" customHeight="1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14.5" customHeight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14.5" customHeight="1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14.5" customHeight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14.5" customHeight="1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4.5" customHeigh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4.5" customHeight="1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4.5" customHeight="1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4.5" customHeight="1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4.5" customHeight="1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4.5" customHeight="1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4.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4.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4.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4.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4.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4.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4.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4.5" customHeigh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4.5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4.5" customHeigh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4.5" customHeigh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4.5" customHeigh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4.5" customHeigh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4.5" customHeigh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14.5" customHeigh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14.5" customHeigh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4.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4.5" customHeigh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4.5" customHeight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4.5" customHeight="1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14.5" customHeight="1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14.5" customHeight="1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14.5" customHeight="1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14.5" customHeight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14.5" customHeight="1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14.5" customHeight="1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14.5" customHeight="1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14.5" customHeight="1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14.5" customHeight="1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14.5" customHeight="1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14.5" customHeight="1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14.5" customHeight="1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14.5" customHeigh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14.5" customHeigh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14.5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14.5" customHeigh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14.5" customHeigh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14.5" customHeigh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14.5" customHeigh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14.5" customHeigh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14.5" customHeigh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14.5" customHeigh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14.5" customHeigh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14.5" customHeigh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14.5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14.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14.5" customHeigh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14.5" customHeigh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14.5" customHeigh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14.5" customHeigh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14.5" customHeigh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14.5" customHeigh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14.5" customHeigh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14.5" customHeigh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14.5" customHeigh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14.5" customHeigh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14.5" customHeigh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14.5" customHeigh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14.5" customHeigh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14.5" customHeigh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14.5" customHeigh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14.5" customHeigh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14.5" customHeigh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14.5" customHeigh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14.5" customHeigh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14.5" customHeigh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14.5" customHeigh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14.5" customHeigh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14.5" customHeigh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14.5" customHeigh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14.5" customHeigh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14.5" customHeigh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14.5" customHeigh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14.5" customHeigh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14.5" customHeigh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14.5" customHeigh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14.5" customHeigh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14.5" customHeigh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s="205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 t="s">
        <v>123</v>
      </c>
      <c r="O133" t="s">
        <v>124</v>
      </c>
      <c r="P133" t="s">
        <v>125</v>
      </c>
      <c r="Q133" t="s">
        <v>126</v>
      </c>
      <c r="R133" t="s">
        <v>127</v>
      </c>
      <c r="S133" t="s">
        <v>128</v>
      </c>
      <c r="T133" t="s">
        <v>121</v>
      </c>
    </row>
    <row r="134" spans="1:20" ht="14.5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>
        <v>-26245049.280000001</v>
      </c>
      <c r="O134">
        <v>-2717465.49</v>
      </c>
      <c r="P134">
        <v>-38419676.700000003</v>
      </c>
      <c r="Q134">
        <v>3470000</v>
      </c>
      <c r="R134">
        <v>6868592.9199999999</v>
      </c>
      <c r="S134">
        <v>0</v>
      </c>
      <c r="T134" t="s">
        <v>122</v>
      </c>
    </row>
    <row r="135" spans="1:20" ht="14.5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122</v>
      </c>
    </row>
    <row r="136" spans="1:20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>
        <v>-26245049.280000001</v>
      </c>
      <c r="O136">
        <v>-2717465.49</v>
      </c>
      <c r="P136">
        <v>-38419676.700000003</v>
      </c>
      <c r="Q136">
        <v>3470000</v>
      </c>
      <c r="R136">
        <v>6868592.9199999999</v>
      </c>
      <c r="S136">
        <v>0</v>
      </c>
      <c r="T136" t="s">
        <v>122</v>
      </c>
    </row>
    <row r="137" spans="1:20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>
        <v>-24462090.870000001</v>
      </c>
      <c r="O137">
        <v>-2408250.62</v>
      </c>
      <c r="P137">
        <v>-33166874.579999998</v>
      </c>
      <c r="Q137">
        <v>2794076</v>
      </c>
      <c r="R137">
        <v>5617520.7000000002</v>
      </c>
      <c r="S137">
        <v>0</v>
      </c>
      <c r="T137" t="s">
        <v>122</v>
      </c>
    </row>
    <row r="138" spans="1:20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>
        <v>-1782958.41</v>
      </c>
      <c r="O138">
        <v>-309214.87</v>
      </c>
      <c r="P138">
        <v>-5252802.12</v>
      </c>
      <c r="Q138">
        <v>675924</v>
      </c>
      <c r="R138">
        <v>1251072.22</v>
      </c>
      <c r="S138">
        <v>0</v>
      </c>
      <c r="T138" t="s">
        <v>122</v>
      </c>
    </row>
    <row r="139" spans="1:20" ht="14.5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>
        <v>-497019.93</v>
      </c>
      <c r="O139">
        <v>-483406.2</v>
      </c>
      <c r="P139">
        <v>-3818541.32</v>
      </c>
      <c r="Q139">
        <v>182924</v>
      </c>
      <c r="R139">
        <v>554175.35</v>
      </c>
      <c r="S139">
        <v>0</v>
      </c>
      <c r="T139" t="s">
        <v>122</v>
      </c>
    </row>
    <row r="140" spans="1:20" ht="14.5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>
        <v>567525.41</v>
      </c>
      <c r="O140">
        <v>-228871.05</v>
      </c>
      <c r="P140">
        <v>-2487198.41</v>
      </c>
      <c r="Q140">
        <v>549536</v>
      </c>
      <c r="R140">
        <v>807696.67</v>
      </c>
      <c r="S140">
        <v>0</v>
      </c>
      <c r="T140" t="s">
        <v>122</v>
      </c>
    </row>
    <row r="141" spans="1:20" ht="14.5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>
        <v>-61200.4</v>
      </c>
      <c r="O141">
        <v>-5948</v>
      </c>
      <c r="P141">
        <v>-53532.4</v>
      </c>
      <c r="Q141">
        <v>40702</v>
      </c>
      <c r="R141">
        <v>38200</v>
      </c>
      <c r="S141">
        <v>0</v>
      </c>
      <c r="T141" t="s">
        <v>122</v>
      </c>
    </row>
    <row r="142" spans="1:20" ht="14.5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>
        <v>9305.08</v>
      </c>
      <c r="O142">
        <v>-718225.25</v>
      </c>
      <c r="P142">
        <v>-6359272.1299999999</v>
      </c>
      <c r="Q142">
        <v>773162</v>
      </c>
      <c r="R142">
        <v>1400072.02</v>
      </c>
      <c r="S142">
        <v>0</v>
      </c>
      <c r="T142" t="s">
        <v>122</v>
      </c>
    </row>
    <row r="143" spans="1:20" ht="14.5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>
        <v>-1792263.49</v>
      </c>
      <c r="O143">
        <v>409010.38</v>
      </c>
      <c r="P143">
        <v>1106470.01</v>
      </c>
      <c r="Q143">
        <v>-97238</v>
      </c>
      <c r="R143">
        <v>-148999.79999999999</v>
      </c>
      <c r="S143">
        <v>0</v>
      </c>
      <c r="T143" t="s">
        <v>122</v>
      </c>
    </row>
    <row r="144" spans="1:20" ht="14.5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122</v>
      </c>
    </row>
    <row r="145" spans="1:20" ht="14.5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>
        <v>-91637.93</v>
      </c>
      <c r="O145">
        <v>0</v>
      </c>
      <c r="P145">
        <v>-91637.93</v>
      </c>
      <c r="Q145">
        <v>0</v>
      </c>
      <c r="R145">
        <v>0</v>
      </c>
      <c r="S145">
        <v>0</v>
      </c>
      <c r="T145" t="s">
        <v>122</v>
      </c>
    </row>
    <row r="146" spans="1:20" ht="14.5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>
        <v>-15654</v>
      </c>
      <c r="O146">
        <v>0</v>
      </c>
      <c r="P146">
        <v>0</v>
      </c>
      <c r="Q146">
        <v>4920</v>
      </c>
      <c r="R146">
        <v>0</v>
      </c>
      <c r="S146">
        <v>0</v>
      </c>
      <c r="T146" t="s">
        <v>122</v>
      </c>
    </row>
    <row r="147" spans="1:20" ht="14.5" customHeight="1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>
        <v>-142753.81</v>
      </c>
      <c r="O147">
        <v>-25.18</v>
      </c>
      <c r="P147">
        <v>-325.61</v>
      </c>
      <c r="Q147">
        <v>22842</v>
      </c>
      <c r="R147">
        <v>92.22</v>
      </c>
      <c r="S147">
        <v>0</v>
      </c>
      <c r="T147" t="s">
        <v>122</v>
      </c>
    </row>
    <row r="148" spans="1:20" ht="14.5" customHeight="1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122</v>
      </c>
    </row>
    <row r="149" spans="1:20" ht="14.5" customHeight="1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>
        <v>35461.879999999997</v>
      </c>
      <c r="O149">
        <v>25.18</v>
      </c>
      <c r="P149">
        <v>-91312.320000000007</v>
      </c>
      <c r="Q149">
        <v>-17922</v>
      </c>
      <c r="R149">
        <v>-92.22</v>
      </c>
      <c r="S149">
        <v>0</v>
      </c>
      <c r="T149" t="s">
        <v>122</v>
      </c>
    </row>
    <row r="150" spans="1:20" ht="14.5" customHeight="1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>
        <v>-1827725.37</v>
      </c>
      <c r="O150">
        <v>408985.2</v>
      </c>
      <c r="P150">
        <v>1197782.33</v>
      </c>
      <c r="Q150">
        <v>-79316</v>
      </c>
      <c r="R150">
        <v>-148907.57999999999</v>
      </c>
      <c r="S150">
        <v>0</v>
      </c>
      <c r="T150" t="s">
        <v>122</v>
      </c>
    </row>
    <row r="151" spans="1:20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122</v>
      </c>
    </row>
    <row r="152" spans="1:20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122</v>
      </c>
    </row>
    <row r="153" spans="1:20" ht="14.5" customHeight="1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>
        <v>-1827725.37</v>
      </c>
      <c r="O153">
        <v>408985.2</v>
      </c>
      <c r="P153">
        <v>1197782.33</v>
      </c>
      <c r="Q153">
        <v>-79316</v>
      </c>
      <c r="R153">
        <v>-148907.57999999999</v>
      </c>
      <c r="S153">
        <v>0</v>
      </c>
      <c r="T153" t="s">
        <v>122</v>
      </c>
    </row>
    <row r="154" spans="1:20" ht="14.5" customHeight="1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>
        <v>-1853463.89</v>
      </c>
      <c r="O154">
        <v>403062.38</v>
      </c>
      <c r="P154">
        <v>1052937.6100000001</v>
      </c>
      <c r="Q154">
        <v>-56536</v>
      </c>
      <c r="R154">
        <v>-110799.8</v>
      </c>
      <c r="S154">
        <v>0</v>
      </c>
      <c r="T154" t="s">
        <v>122</v>
      </c>
    </row>
    <row r="155" spans="1:20" s="205" customFormat="1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 t="s">
        <v>123</v>
      </c>
      <c r="O155" t="s">
        <v>124</v>
      </c>
      <c r="P155" t="s">
        <v>125</v>
      </c>
      <c r="Q155" t="s">
        <v>126</v>
      </c>
      <c r="R155" t="s">
        <v>127</v>
      </c>
      <c r="S155" t="s">
        <v>128</v>
      </c>
      <c r="T155" t="s">
        <v>121</v>
      </c>
    </row>
    <row r="156" spans="1:20" ht="14.5" customHeight="1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>
        <v>-28267367.079999998</v>
      </c>
      <c r="O156">
        <v>76644.91</v>
      </c>
      <c r="P156">
        <v>27250577.050000001</v>
      </c>
      <c r="Q156">
        <v>20575945</v>
      </c>
      <c r="R156">
        <v>21703560.539999999</v>
      </c>
      <c r="S156">
        <v>0</v>
      </c>
      <c r="T156" t="s">
        <v>122</v>
      </c>
    </row>
    <row r="157" spans="1:20" ht="14.5" customHeight="1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>
        <v>-143635.66</v>
      </c>
      <c r="O157">
        <v>5563.98</v>
      </c>
      <c r="P157">
        <v>-44641.58</v>
      </c>
      <c r="Q157">
        <v>0</v>
      </c>
      <c r="R157">
        <v>-20376.45</v>
      </c>
      <c r="S157">
        <v>0</v>
      </c>
      <c r="T157" t="s">
        <v>122</v>
      </c>
    </row>
    <row r="158" spans="1:20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>
        <v>-28411002.739999998</v>
      </c>
      <c r="O158">
        <v>82208.89</v>
      </c>
      <c r="P158">
        <v>27205935.469999999</v>
      </c>
      <c r="Q158">
        <v>20575945</v>
      </c>
      <c r="R158">
        <v>21683184.09</v>
      </c>
      <c r="S158">
        <v>0</v>
      </c>
      <c r="T158" t="s">
        <v>122</v>
      </c>
    </row>
    <row r="159" spans="1:20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>
        <v>-22471150.75</v>
      </c>
      <c r="O159">
        <v>-34406.639999999999</v>
      </c>
      <c r="P159">
        <v>24222690.190000001</v>
      </c>
      <c r="Q159">
        <v>17161642</v>
      </c>
      <c r="R159">
        <v>18719577.100000001</v>
      </c>
      <c r="S159">
        <v>0</v>
      </c>
      <c r="T159" t="s">
        <v>122</v>
      </c>
    </row>
    <row r="160" spans="1:20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>
        <v>-5939851.9900000002</v>
      </c>
      <c r="O160">
        <v>116615.53</v>
      </c>
      <c r="P160">
        <v>2983245.28</v>
      </c>
      <c r="Q160">
        <v>3414303</v>
      </c>
      <c r="R160">
        <v>2963606.99</v>
      </c>
      <c r="S160">
        <v>0</v>
      </c>
      <c r="T160" t="s">
        <v>122</v>
      </c>
    </row>
    <row r="161" spans="1:20" ht="14.5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>
        <v>410351.56</v>
      </c>
      <c r="O161">
        <v>250543.89</v>
      </c>
      <c r="P161">
        <v>3562871.13</v>
      </c>
      <c r="Q161">
        <v>1419591</v>
      </c>
      <c r="R161">
        <v>1264452.3</v>
      </c>
      <c r="S161">
        <v>0</v>
      </c>
      <c r="T161" t="s">
        <v>122</v>
      </c>
    </row>
    <row r="162" spans="1:20" ht="14.5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>
        <v>-223905.26</v>
      </c>
      <c r="O162">
        <v>271760.96000000002</v>
      </c>
      <c r="P162">
        <v>-116608.85</v>
      </c>
      <c r="Q162">
        <v>1631925</v>
      </c>
      <c r="R162">
        <v>1652925.6</v>
      </c>
      <c r="S162">
        <v>0</v>
      </c>
      <c r="T162" t="s">
        <v>122</v>
      </c>
    </row>
    <row r="163" spans="1:20" ht="14.5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>
        <v>-180284.2</v>
      </c>
      <c r="O163">
        <v>-30988.12</v>
      </c>
      <c r="P163">
        <v>-91344.62</v>
      </c>
      <c r="Q163">
        <v>128525</v>
      </c>
      <c r="R163">
        <v>110750.98</v>
      </c>
      <c r="S163">
        <v>0</v>
      </c>
      <c r="T163" t="s">
        <v>122</v>
      </c>
    </row>
    <row r="164" spans="1:20" ht="14.5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>
        <v>6162.1</v>
      </c>
      <c r="O164">
        <v>491316.73</v>
      </c>
      <c r="P164">
        <v>3354917.66</v>
      </c>
      <c r="Q164">
        <v>3180041</v>
      </c>
      <c r="R164">
        <v>3028128.88</v>
      </c>
      <c r="S164">
        <v>0</v>
      </c>
      <c r="T164" t="s">
        <v>122</v>
      </c>
    </row>
    <row r="165" spans="1:20" ht="14.5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>
        <v>-5946014.0899999999</v>
      </c>
      <c r="O165">
        <v>-374701.2</v>
      </c>
      <c r="P165">
        <v>-371672.38</v>
      </c>
      <c r="Q165">
        <v>234262</v>
      </c>
      <c r="R165">
        <v>-64521.89</v>
      </c>
      <c r="S165">
        <v>0</v>
      </c>
      <c r="T165" t="s">
        <v>122</v>
      </c>
    </row>
    <row r="166" spans="1:20" ht="14.5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122</v>
      </c>
    </row>
    <row r="167" spans="1:20" ht="14.5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122</v>
      </c>
    </row>
    <row r="168" spans="1:20" ht="14.5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>
        <v>-57915.61</v>
      </c>
      <c r="O168">
        <v>3846.14</v>
      </c>
      <c r="P168">
        <v>-97734.86</v>
      </c>
      <c r="Q168">
        <v>35141</v>
      </c>
      <c r="R168">
        <v>41753.67</v>
      </c>
      <c r="S168">
        <v>0</v>
      </c>
      <c r="T168" t="s">
        <v>122</v>
      </c>
    </row>
    <row r="169" spans="1:20" ht="14.5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>
        <v>-744537.86</v>
      </c>
      <c r="O169">
        <v>-11051.65</v>
      </c>
      <c r="P169">
        <v>-2823463.74</v>
      </c>
      <c r="Q169">
        <v>3081</v>
      </c>
      <c r="R169">
        <v>6148.63</v>
      </c>
      <c r="S169">
        <v>0</v>
      </c>
      <c r="T169" t="s">
        <v>122</v>
      </c>
    </row>
    <row r="170" spans="1:20" ht="14.5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122</v>
      </c>
    </row>
    <row r="171" spans="1:20" ht="14.5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>
        <v>686622.25</v>
      </c>
      <c r="O171">
        <v>14897.79</v>
      </c>
      <c r="P171">
        <v>2725728.88</v>
      </c>
      <c r="Q171">
        <v>32060</v>
      </c>
      <c r="R171">
        <v>35605.040000000001</v>
      </c>
      <c r="S171">
        <v>0</v>
      </c>
      <c r="T171" t="s">
        <v>122</v>
      </c>
    </row>
    <row r="172" spans="1:20" ht="14.5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>
        <v>-6632636.3399999999</v>
      </c>
      <c r="O172">
        <v>-389598.99</v>
      </c>
      <c r="P172">
        <v>-3097401.26</v>
      </c>
      <c r="Q172">
        <v>202202</v>
      </c>
      <c r="R172">
        <v>-100126.93</v>
      </c>
      <c r="S172">
        <v>0</v>
      </c>
      <c r="T172" t="s">
        <v>122</v>
      </c>
    </row>
    <row r="173" spans="1:20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>
        <v>105607</v>
      </c>
      <c r="O173">
        <v>-28815</v>
      </c>
      <c r="P173">
        <v>406458</v>
      </c>
      <c r="Q173">
        <v>56000</v>
      </c>
      <c r="R173">
        <v>75794</v>
      </c>
      <c r="S173">
        <v>0</v>
      </c>
      <c r="T173" t="s">
        <v>122</v>
      </c>
    </row>
    <row r="174" spans="1:20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122</v>
      </c>
    </row>
    <row r="175" spans="1:20" ht="14.5" customHeight="1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>
        <v>-6738243.3399999999</v>
      </c>
      <c r="O175">
        <v>-360783.99</v>
      </c>
      <c r="P175">
        <v>-3503859.26</v>
      </c>
      <c r="Q175">
        <v>146202</v>
      </c>
      <c r="R175">
        <v>-175920.93</v>
      </c>
      <c r="S175">
        <v>0</v>
      </c>
      <c r="T175" t="s">
        <v>122</v>
      </c>
    </row>
    <row r="176" spans="1:20" ht="14.5" customHeight="1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>
        <v>-6126298.29</v>
      </c>
      <c r="O176">
        <v>-405689.32</v>
      </c>
      <c r="P176">
        <v>-463017</v>
      </c>
      <c r="Q176">
        <v>362787</v>
      </c>
      <c r="R176">
        <v>46229.09</v>
      </c>
      <c r="S176">
        <v>0</v>
      </c>
      <c r="T176" t="s">
        <v>122</v>
      </c>
    </row>
    <row r="177" spans="1:20" s="205" customFormat="1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 t="s">
        <v>129</v>
      </c>
      <c r="O177" t="s">
        <v>130</v>
      </c>
      <c r="P177" t="s">
        <v>131</v>
      </c>
      <c r="Q177" t="s">
        <v>126</v>
      </c>
      <c r="R177" t="s">
        <v>127</v>
      </c>
      <c r="S177" t="s">
        <v>128</v>
      </c>
      <c r="T177" t="s">
        <v>121</v>
      </c>
    </row>
    <row r="178" spans="1:20" ht="14.5" customHeight="1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>
        <v>42589.03</v>
      </c>
      <c r="O178">
        <v>810508.3</v>
      </c>
      <c r="P178">
        <v>2164097.42</v>
      </c>
      <c r="Q178">
        <v>1697000</v>
      </c>
      <c r="R178">
        <v>1931223.97</v>
      </c>
      <c r="S178">
        <v>0</v>
      </c>
      <c r="T178" t="s">
        <v>122</v>
      </c>
    </row>
    <row r="179" spans="1:20" ht="14.5" customHeight="1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122</v>
      </c>
    </row>
    <row r="180" spans="1:20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>
        <v>42589.03</v>
      </c>
      <c r="O180">
        <v>810508.3</v>
      </c>
      <c r="P180">
        <v>2164097.42</v>
      </c>
      <c r="Q180">
        <v>1697000</v>
      </c>
      <c r="R180">
        <v>1931223.97</v>
      </c>
      <c r="S180">
        <v>0</v>
      </c>
      <c r="T180" t="s">
        <v>122</v>
      </c>
    </row>
    <row r="181" spans="1:20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>
        <v>-78476.78</v>
      </c>
      <c r="O181">
        <v>710763.03</v>
      </c>
      <c r="P181">
        <v>1686470.43</v>
      </c>
      <c r="Q181">
        <v>1436500</v>
      </c>
      <c r="R181">
        <v>1618185.29</v>
      </c>
      <c r="S181">
        <v>0</v>
      </c>
      <c r="T181" t="s">
        <v>122</v>
      </c>
    </row>
    <row r="182" spans="1:20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>
        <v>121065.81</v>
      </c>
      <c r="O182">
        <v>99745.27</v>
      </c>
      <c r="P182">
        <v>477626.99</v>
      </c>
      <c r="Q182">
        <v>260500</v>
      </c>
      <c r="R182">
        <v>313038.68</v>
      </c>
      <c r="S182">
        <v>0</v>
      </c>
      <c r="T182" t="s">
        <v>122</v>
      </c>
    </row>
    <row r="183" spans="1:20" ht="14.5" customHeight="1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>
        <v>-16776.07</v>
      </c>
      <c r="O183">
        <v>18500.73</v>
      </c>
      <c r="P183">
        <v>18673.84</v>
      </c>
      <c r="Q183">
        <v>65340</v>
      </c>
      <c r="R183">
        <v>43645.72</v>
      </c>
      <c r="S183">
        <v>0</v>
      </c>
      <c r="T183" t="s">
        <v>122</v>
      </c>
    </row>
    <row r="184" spans="1:20" ht="14.5" customHeight="1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>
        <v>-13853.74</v>
      </c>
      <c r="O184">
        <v>25824.48</v>
      </c>
      <c r="P184">
        <v>41887.040000000001</v>
      </c>
      <c r="Q184">
        <v>100825</v>
      </c>
      <c r="R184">
        <v>150668.07</v>
      </c>
      <c r="S184">
        <v>0</v>
      </c>
      <c r="T184" t="s">
        <v>122</v>
      </c>
    </row>
    <row r="185" spans="1:20" ht="14.5" customHeight="1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>
        <v>-29457</v>
      </c>
      <c r="O185">
        <v>-2222</v>
      </c>
      <c r="P185">
        <v>1358</v>
      </c>
      <c r="Q185">
        <v>5399</v>
      </c>
      <c r="R185">
        <v>2222</v>
      </c>
      <c r="S185">
        <v>0</v>
      </c>
      <c r="T185" t="s">
        <v>122</v>
      </c>
    </row>
    <row r="186" spans="1:20" ht="14.5" customHeight="1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>
        <v>-60086.81</v>
      </c>
      <c r="O186">
        <v>42103.21</v>
      </c>
      <c r="P186">
        <v>61918.879999999997</v>
      </c>
      <c r="Q186">
        <v>171564</v>
      </c>
      <c r="R186">
        <v>196535.79</v>
      </c>
      <c r="S186">
        <v>0</v>
      </c>
      <c r="T186" t="s">
        <v>122</v>
      </c>
    </row>
    <row r="187" spans="1:20" ht="14.5" customHeight="1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>
        <v>181152.62</v>
      </c>
      <c r="O187">
        <v>57642.06</v>
      </c>
      <c r="P187">
        <v>415708.11</v>
      </c>
      <c r="Q187">
        <v>88936</v>
      </c>
      <c r="R187">
        <v>116502.89</v>
      </c>
      <c r="S187">
        <v>0</v>
      </c>
      <c r="T187" t="s">
        <v>122</v>
      </c>
    </row>
    <row r="188" spans="1:20" ht="14.5" customHeight="1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122</v>
      </c>
    </row>
    <row r="189" spans="1:20" ht="14.5" customHeight="1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122</v>
      </c>
    </row>
    <row r="190" spans="1:20" ht="14.5" customHeight="1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>
        <v>-3704</v>
      </c>
      <c r="O190">
        <v>0</v>
      </c>
      <c r="P190">
        <v>-230</v>
      </c>
      <c r="Q190">
        <v>0</v>
      </c>
      <c r="R190">
        <v>0</v>
      </c>
      <c r="S190">
        <v>0</v>
      </c>
      <c r="T190" t="s">
        <v>122</v>
      </c>
    </row>
    <row r="191" spans="1:20" ht="14.5" customHeight="1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>
        <v>-27558</v>
      </c>
      <c r="O191">
        <v>0</v>
      </c>
      <c r="P191">
        <v>0</v>
      </c>
      <c r="Q191">
        <v>1656</v>
      </c>
      <c r="R191">
        <v>0</v>
      </c>
      <c r="S191">
        <v>0</v>
      </c>
      <c r="T191" t="s">
        <v>122</v>
      </c>
    </row>
    <row r="192" spans="1:20" ht="14.5" customHeight="1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122</v>
      </c>
    </row>
    <row r="193" spans="1:20" ht="14.5" customHeight="1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>
        <v>23854</v>
      </c>
      <c r="O193">
        <v>0</v>
      </c>
      <c r="P193">
        <v>-230</v>
      </c>
      <c r="Q193">
        <v>-1656</v>
      </c>
      <c r="R193">
        <v>0</v>
      </c>
      <c r="S193">
        <v>0</v>
      </c>
      <c r="T193" t="s">
        <v>122</v>
      </c>
    </row>
    <row r="194" spans="1:20" ht="14.5" customHeight="1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>
        <v>157298.62</v>
      </c>
      <c r="O194">
        <v>57642.06</v>
      </c>
      <c r="P194">
        <v>415938.11</v>
      </c>
      <c r="Q194">
        <v>90592</v>
      </c>
      <c r="R194">
        <v>116502.89</v>
      </c>
      <c r="S194">
        <v>0</v>
      </c>
      <c r="T194" t="s">
        <v>122</v>
      </c>
    </row>
    <row r="195" spans="1:20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>
        <v>-39609</v>
      </c>
      <c r="O195">
        <v>-12203</v>
      </c>
      <c r="P195">
        <v>-74436.11</v>
      </c>
      <c r="Q195">
        <v>24581</v>
      </c>
      <c r="R195">
        <v>8028</v>
      </c>
      <c r="S195">
        <v>0</v>
      </c>
      <c r="T195" t="s">
        <v>122</v>
      </c>
    </row>
    <row r="196" spans="1:20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>
        <v>4000</v>
      </c>
      <c r="O196">
        <v>-8083</v>
      </c>
      <c r="P196">
        <v>-58535</v>
      </c>
      <c r="Q196">
        <v>0</v>
      </c>
      <c r="R196">
        <v>0</v>
      </c>
      <c r="S196">
        <v>0</v>
      </c>
      <c r="T196" t="s">
        <v>122</v>
      </c>
    </row>
    <row r="197" spans="1:20" ht="14.5" customHeight="1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>
        <v>192907.62</v>
      </c>
      <c r="O197">
        <v>77928.06</v>
      </c>
      <c r="P197">
        <v>548909.22</v>
      </c>
      <c r="Q197">
        <v>66011</v>
      </c>
      <c r="R197">
        <v>108474.89</v>
      </c>
      <c r="S197">
        <v>0</v>
      </c>
      <c r="T197" t="s">
        <v>122</v>
      </c>
    </row>
    <row r="198" spans="1:20" ht="14.5" customHeight="1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>
        <v>151695.62</v>
      </c>
      <c r="O198">
        <v>55420.06</v>
      </c>
      <c r="P198">
        <v>417066.11</v>
      </c>
      <c r="Q198">
        <v>94335</v>
      </c>
      <c r="R198">
        <v>118724.89</v>
      </c>
      <c r="S198">
        <v>0</v>
      </c>
      <c r="T198" t="s">
        <v>122</v>
      </c>
    </row>
    <row r="199" spans="1:20" s="205" customFormat="1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 t="s">
        <v>123</v>
      </c>
      <c r="O199" t="s">
        <v>124</v>
      </c>
      <c r="P199" t="s">
        <v>125</v>
      </c>
      <c r="Q199" t="s">
        <v>126</v>
      </c>
      <c r="R199" t="s">
        <v>127</v>
      </c>
      <c r="S199" t="s">
        <v>128</v>
      </c>
      <c r="T199" t="s">
        <v>121</v>
      </c>
    </row>
    <row r="200" spans="1:20" ht="14.5" customHeight="1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>
        <v>23303172.059999999</v>
      </c>
      <c r="O200">
        <v>8874759.3499999996</v>
      </c>
      <c r="P200">
        <v>20506894.82</v>
      </c>
      <c r="Q200">
        <v>5927316</v>
      </c>
      <c r="R200">
        <v>5823634.21</v>
      </c>
      <c r="S200">
        <v>0</v>
      </c>
      <c r="T200" t="s">
        <v>122</v>
      </c>
    </row>
    <row r="201" spans="1:20" ht="14.5" customHeight="1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122</v>
      </c>
    </row>
    <row r="202" spans="1:20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>
        <v>23303172.059999999</v>
      </c>
      <c r="O202">
        <v>8874759.3499999996</v>
      </c>
      <c r="P202">
        <v>20506894.82</v>
      </c>
      <c r="Q202">
        <v>5927316</v>
      </c>
      <c r="R202">
        <v>5823634.21</v>
      </c>
      <c r="S202">
        <v>0</v>
      </c>
      <c r="T202" t="s">
        <v>122</v>
      </c>
    </row>
    <row r="203" spans="1:20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>
        <v>23101291.77</v>
      </c>
      <c r="O203">
        <v>8540795.7599999998</v>
      </c>
      <c r="P203">
        <v>19511154.960000001</v>
      </c>
      <c r="Q203">
        <v>4780967</v>
      </c>
      <c r="R203">
        <v>4776647.58</v>
      </c>
      <c r="S203">
        <v>0</v>
      </c>
      <c r="T203" t="s">
        <v>122</v>
      </c>
    </row>
    <row r="204" spans="1:20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>
        <v>201880.29</v>
      </c>
      <c r="O204">
        <v>333963.59000000003</v>
      </c>
      <c r="P204">
        <v>995739.86</v>
      </c>
      <c r="Q204">
        <v>1146349</v>
      </c>
      <c r="R204">
        <v>1046986.63</v>
      </c>
      <c r="S204">
        <v>0</v>
      </c>
      <c r="T204" t="s">
        <v>122</v>
      </c>
    </row>
    <row r="205" spans="1:20" ht="14.5" customHeight="1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>
        <v>4025601.16</v>
      </c>
      <c r="O205">
        <v>251986.94</v>
      </c>
      <c r="P205">
        <v>4154267.63</v>
      </c>
      <c r="Q205">
        <v>443332</v>
      </c>
      <c r="R205">
        <v>550939.30000000005</v>
      </c>
      <c r="S205">
        <v>0</v>
      </c>
      <c r="T205" t="s">
        <v>122</v>
      </c>
    </row>
    <row r="206" spans="1:20" ht="14.5" customHeight="1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>
        <v>1578335.32</v>
      </c>
      <c r="O206">
        <v>164006.57</v>
      </c>
      <c r="P206">
        <v>1556843.42</v>
      </c>
      <c r="Q206">
        <v>574263</v>
      </c>
      <c r="R206">
        <v>754833.86</v>
      </c>
      <c r="S206">
        <v>0</v>
      </c>
      <c r="T206" t="s">
        <v>122</v>
      </c>
    </row>
    <row r="207" spans="1:20" ht="14.5" customHeight="1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>
        <v>110906.19</v>
      </c>
      <c r="O207">
        <v>2826.76</v>
      </c>
      <c r="P207">
        <v>20557.669999999998</v>
      </c>
      <c r="Q207">
        <v>144153</v>
      </c>
      <c r="R207">
        <v>17230.59</v>
      </c>
      <c r="S207">
        <v>0</v>
      </c>
      <c r="T207" t="s">
        <v>122</v>
      </c>
    </row>
    <row r="208" spans="1:20" ht="14.5" customHeight="1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>
        <v>5714842.6699999999</v>
      </c>
      <c r="O208">
        <v>418820.27</v>
      </c>
      <c r="P208">
        <v>5731668.7199999997</v>
      </c>
      <c r="Q208">
        <v>1161748</v>
      </c>
      <c r="R208">
        <v>1323003.75</v>
      </c>
      <c r="S208">
        <v>0</v>
      </c>
      <c r="T208" t="s">
        <v>122</v>
      </c>
    </row>
    <row r="209" spans="1:20" ht="14.5" customHeight="1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>
        <v>-5512962.3799999999</v>
      </c>
      <c r="O209">
        <v>-84856.68</v>
      </c>
      <c r="P209">
        <v>-4735928.8600000003</v>
      </c>
      <c r="Q209">
        <v>-15399</v>
      </c>
      <c r="R209">
        <v>-276017.12</v>
      </c>
      <c r="S209">
        <v>0</v>
      </c>
      <c r="T209" t="s">
        <v>122</v>
      </c>
    </row>
    <row r="210" spans="1:20" ht="14.5" customHeight="1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122</v>
      </c>
    </row>
    <row r="211" spans="1:20" ht="14.5" customHeight="1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122</v>
      </c>
    </row>
    <row r="212" spans="1:20" ht="14.5" customHeight="1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>
        <v>14289.19</v>
      </c>
      <c r="O212">
        <v>5316.25</v>
      </c>
      <c r="P212">
        <v>-15483.44</v>
      </c>
      <c r="Q212">
        <v>0</v>
      </c>
      <c r="R212">
        <v>13428.16</v>
      </c>
      <c r="S212">
        <v>0</v>
      </c>
      <c r="T212" t="s">
        <v>122</v>
      </c>
    </row>
    <row r="213" spans="1:20" ht="14.5" customHeight="1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>
        <v>-13070.92</v>
      </c>
      <c r="O213">
        <v>1.79</v>
      </c>
      <c r="P213">
        <v>64.36</v>
      </c>
      <c r="Q213">
        <v>5638</v>
      </c>
      <c r="R213">
        <v>6.55</v>
      </c>
      <c r="S213">
        <v>0</v>
      </c>
      <c r="T213" t="s">
        <v>122</v>
      </c>
    </row>
    <row r="214" spans="1:20" ht="14.5" customHeight="1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122</v>
      </c>
    </row>
    <row r="215" spans="1:20" ht="14.5" customHeight="1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>
        <v>27360.11</v>
      </c>
      <c r="O215">
        <v>5314.46</v>
      </c>
      <c r="P215">
        <v>-15547.8</v>
      </c>
      <c r="Q215">
        <v>-5638</v>
      </c>
      <c r="R215">
        <v>13421.61</v>
      </c>
      <c r="S215">
        <v>0</v>
      </c>
      <c r="T215" t="s">
        <v>122</v>
      </c>
    </row>
    <row r="216" spans="1:20" ht="14.5" customHeight="1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>
        <v>-5540322.4900000002</v>
      </c>
      <c r="O216">
        <v>-90171.14</v>
      </c>
      <c r="P216">
        <v>-4720381.0599999996</v>
      </c>
      <c r="Q216">
        <v>-9761</v>
      </c>
      <c r="R216">
        <v>-289438.73</v>
      </c>
      <c r="S216">
        <v>0</v>
      </c>
      <c r="T216" t="s">
        <v>122</v>
      </c>
    </row>
    <row r="217" spans="1:20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122</v>
      </c>
    </row>
    <row r="218" spans="1:20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122</v>
      </c>
    </row>
    <row r="219" spans="1:20" ht="14.5" customHeight="1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>
        <v>-5540322.4900000002</v>
      </c>
      <c r="O219">
        <v>-90171.14</v>
      </c>
      <c r="P219">
        <v>-4720381.0599999996</v>
      </c>
      <c r="Q219">
        <v>-9761</v>
      </c>
      <c r="R219">
        <v>-289438.73</v>
      </c>
      <c r="S219">
        <v>0</v>
      </c>
      <c r="T219" t="s">
        <v>122</v>
      </c>
    </row>
    <row r="220" spans="1:20" ht="14.5" customHeight="1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>
        <v>-5402056.1900000004</v>
      </c>
      <c r="O220">
        <v>-82029.919999999998</v>
      </c>
      <c r="P220">
        <v>-4715371.1900000004</v>
      </c>
      <c r="Q220">
        <v>128754</v>
      </c>
      <c r="R220">
        <v>-258786.53</v>
      </c>
      <c r="S220">
        <v>0</v>
      </c>
      <c r="T220" t="s">
        <v>122</v>
      </c>
    </row>
    <row r="221" spans="1:20" s="179" customFormat="1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 t="s">
        <v>132</v>
      </c>
      <c r="O221" t="s">
        <v>133</v>
      </c>
      <c r="P221" t="s">
        <v>134</v>
      </c>
      <c r="Q221" t="s">
        <v>121</v>
      </c>
      <c r="R221"/>
      <c r="S221"/>
      <c r="T221"/>
    </row>
    <row r="222" spans="1:20" ht="14.5" customHeight="1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>
        <v>10765000</v>
      </c>
      <c r="O222">
        <v>205000</v>
      </c>
      <c r="P222">
        <v>12520000</v>
      </c>
      <c r="Q222" t="s">
        <v>122</v>
      </c>
      <c r="R222"/>
      <c r="S222"/>
      <c r="T222"/>
    </row>
    <row r="223" spans="1:20" ht="14.5" customHeight="1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>
        <v>0</v>
      </c>
      <c r="O223">
        <v>0</v>
      </c>
      <c r="P223">
        <v>0</v>
      </c>
      <c r="Q223" t="s">
        <v>122</v>
      </c>
      <c r="R223"/>
      <c r="S223"/>
      <c r="T223"/>
    </row>
    <row r="224" spans="1:20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>
        <v>10765000</v>
      </c>
      <c r="O224">
        <v>205000</v>
      </c>
      <c r="P224">
        <v>12520000</v>
      </c>
      <c r="Q224" t="s">
        <v>122</v>
      </c>
      <c r="R224"/>
      <c r="S224"/>
      <c r="T224"/>
    </row>
    <row r="225" spans="1:20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>
        <v>0</v>
      </c>
      <c r="O225">
        <v>0</v>
      </c>
      <c r="P225">
        <v>0</v>
      </c>
      <c r="Q225" t="s">
        <v>122</v>
      </c>
      <c r="R225"/>
      <c r="S225"/>
      <c r="T225"/>
    </row>
    <row r="226" spans="1:20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>
        <v>10765000</v>
      </c>
      <c r="O226">
        <v>205000</v>
      </c>
      <c r="P226">
        <v>12520000</v>
      </c>
      <c r="Q226" t="s">
        <v>122</v>
      </c>
      <c r="R226"/>
      <c r="S226"/>
      <c r="T226"/>
    </row>
    <row r="227" spans="1:20" ht="14.5" customHeight="1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>
        <v>0</v>
      </c>
      <c r="O227">
        <v>0</v>
      </c>
      <c r="P227">
        <v>0</v>
      </c>
      <c r="Q227" t="s">
        <v>122</v>
      </c>
      <c r="R227"/>
      <c r="S227"/>
      <c r="T227"/>
    </row>
    <row r="228" spans="1:20" ht="14.5" customHeight="1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>
        <v>-657507.15</v>
      </c>
      <c r="O228">
        <v>127456.15</v>
      </c>
      <c r="P228">
        <v>1093731.1499999999</v>
      </c>
      <c r="Q228" t="s">
        <v>122</v>
      </c>
      <c r="R228"/>
      <c r="S228"/>
      <c r="T228"/>
    </row>
    <row r="229" spans="1:20" ht="14.5" customHeight="1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>
        <v>0</v>
      </c>
      <c r="O229">
        <v>0</v>
      </c>
      <c r="P229">
        <v>0</v>
      </c>
      <c r="Q229" t="s">
        <v>122</v>
      </c>
      <c r="R229"/>
      <c r="S229"/>
      <c r="T229"/>
    </row>
    <row r="230" spans="1:20" ht="14.5" customHeight="1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>
        <v>-657507.15</v>
      </c>
      <c r="O230">
        <v>127456.15</v>
      </c>
      <c r="P230">
        <v>1093731.1499999999</v>
      </c>
      <c r="Q230" t="s">
        <v>122</v>
      </c>
      <c r="R230"/>
      <c r="S230"/>
      <c r="T230"/>
    </row>
    <row r="231" spans="1:20" ht="14.5" customHeight="1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>
        <v>11422507.15</v>
      </c>
      <c r="O231">
        <v>77543.850000000006</v>
      </c>
      <c r="P231">
        <v>11426268.85</v>
      </c>
      <c r="Q231" t="s">
        <v>122</v>
      </c>
      <c r="R231"/>
      <c r="S231"/>
      <c r="T231"/>
    </row>
    <row r="232" spans="1:20" ht="14.5" customHeight="1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>
        <v>6657114.2999999998</v>
      </c>
      <c r="O232">
        <v>-1919395.63</v>
      </c>
      <c r="P232">
        <v>-365763.27</v>
      </c>
      <c r="Q232" t="s">
        <v>122</v>
      </c>
      <c r="R232"/>
      <c r="S232"/>
      <c r="T232"/>
    </row>
    <row r="233" spans="1:20" ht="14.5" customHeight="1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>
        <v>0</v>
      </c>
      <c r="O233">
        <v>0</v>
      </c>
      <c r="P233">
        <v>0</v>
      </c>
      <c r="Q233" t="s">
        <v>122</v>
      </c>
      <c r="R233"/>
      <c r="S233"/>
      <c r="T233"/>
    </row>
    <row r="234" spans="1:20" ht="14.5" customHeight="1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>
        <v>-59684.58</v>
      </c>
      <c r="O234">
        <v>427066.85</v>
      </c>
      <c r="P234">
        <v>4293995.92</v>
      </c>
      <c r="Q234" t="s">
        <v>122</v>
      </c>
      <c r="R234"/>
      <c r="S234"/>
      <c r="T234"/>
    </row>
    <row r="235" spans="1:20" ht="14.5" customHeight="1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>
        <v>-10.71</v>
      </c>
      <c r="O235">
        <v>3.74</v>
      </c>
      <c r="P235">
        <v>68.8</v>
      </c>
      <c r="Q235" t="s">
        <v>122</v>
      </c>
      <c r="R235"/>
      <c r="S235"/>
      <c r="T235"/>
    </row>
    <row r="236" spans="1:20" ht="14.5" customHeight="1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>
        <v>0</v>
      </c>
      <c r="O236">
        <v>0</v>
      </c>
      <c r="P236">
        <v>0</v>
      </c>
      <c r="Q236" t="s">
        <v>122</v>
      </c>
      <c r="R236"/>
      <c r="S236"/>
      <c r="T236"/>
    </row>
    <row r="237" spans="1:20" ht="14.5" customHeight="1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>
        <v>6597440.4299999997</v>
      </c>
      <c r="O237">
        <v>-1492332.52</v>
      </c>
      <c r="P237">
        <v>3928163.85</v>
      </c>
      <c r="Q237" t="s">
        <v>122</v>
      </c>
      <c r="R237"/>
      <c r="S237"/>
      <c r="T237"/>
    </row>
    <row r="238" spans="1:20" ht="14.5" customHeight="1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>
        <v>4825066.72</v>
      </c>
      <c r="O238">
        <v>1569876.37</v>
      </c>
      <c r="P238">
        <v>7498105</v>
      </c>
      <c r="Q238" t="s">
        <v>122</v>
      </c>
      <c r="R238"/>
      <c r="S238"/>
      <c r="T238"/>
    </row>
    <row r="239" spans="1:20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>
        <v>10244.219999999999</v>
      </c>
      <c r="O239">
        <v>21898.62</v>
      </c>
      <c r="P239">
        <v>219831.65</v>
      </c>
      <c r="Q239" t="s">
        <v>122</v>
      </c>
      <c r="R239"/>
      <c r="S239"/>
      <c r="T239"/>
    </row>
    <row r="240" spans="1:20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>
        <v>0</v>
      </c>
      <c r="O240">
        <v>0</v>
      </c>
      <c r="P240">
        <v>0</v>
      </c>
      <c r="Q240" t="s">
        <v>122</v>
      </c>
      <c r="R240"/>
      <c r="S240"/>
      <c r="T240"/>
    </row>
    <row r="241" spans="1:20" ht="14.5" customHeight="1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>
        <v>4814822.5</v>
      </c>
      <c r="O241">
        <v>1547977.75</v>
      </c>
      <c r="P241">
        <v>7278273.3499999996</v>
      </c>
      <c r="Q241" t="s">
        <v>122</v>
      </c>
      <c r="R241"/>
      <c r="S241"/>
      <c r="T241"/>
    </row>
    <row r="242" spans="1:20" ht="14.5" customHeight="1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>
        <v>11422507.15</v>
      </c>
      <c r="O242">
        <v>77543.850000000006</v>
      </c>
      <c r="P242">
        <v>11426268.85</v>
      </c>
      <c r="Q242" t="s">
        <v>122</v>
      </c>
      <c r="R242"/>
      <c r="S242"/>
      <c r="T242"/>
    </row>
    <row r="243" spans="1:20" s="179" customFormat="1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 t="s">
        <v>132</v>
      </c>
      <c r="O243" t="s">
        <v>133</v>
      </c>
      <c r="P243" t="s">
        <v>134</v>
      </c>
      <c r="Q243" t="s">
        <v>121</v>
      </c>
      <c r="R243"/>
      <c r="S243"/>
      <c r="T243"/>
    </row>
    <row r="244" spans="1:20" ht="14.5" customHeight="1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>
        <v>1020049.41</v>
      </c>
      <c r="O244">
        <v>3431847.02</v>
      </c>
      <c r="P244">
        <v>30766623.949999999</v>
      </c>
      <c r="Q244" t="s">
        <v>122</v>
      </c>
      <c r="R244"/>
      <c r="S244"/>
      <c r="T244"/>
    </row>
    <row r="245" spans="1:20" ht="14.5" customHeight="1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>
        <v>0</v>
      </c>
      <c r="O245">
        <v>0</v>
      </c>
      <c r="P245">
        <v>0</v>
      </c>
      <c r="Q245" t="s">
        <v>122</v>
      </c>
      <c r="R245"/>
      <c r="S245"/>
      <c r="T245"/>
    </row>
    <row r="246" spans="1:20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>
        <v>1020049.41</v>
      </c>
      <c r="O246">
        <v>3431847.02</v>
      </c>
      <c r="P246">
        <v>30766623.949999999</v>
      </c>
      <c r="Q246" t="s">
        <v>122</v>
      </c>
      <c r="R246"/>
      <c r="S246"/>
      <c r="T246"/>
    </row>
    <row r="247" spans="1:20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>
        <v>0</v>
      </c>
      <c r="O247">
        <v>0</v>
      </c>
      <c r="P247">
        <v>0</v>
      </c>
      <c r="Q247" t="s">
        <v>122</v>
      </c>
      <c r="R247"/>
      <c r="S247"/>
      <c r="T247"/>
    </row>
    <row r="248" spans="1:20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>
        <v>1020049.41</v>
      </c>
      <c r="O248">
        <v>3431847.02</v>
      </c>
      <c r="P248">
        <v>30766623.949999999</v>
      </c>
      <c r="Q248" t="s">
        <v>122</v>
      </c>
      <c r="R248"/>
      <c r="S248"/>
      <c r="T248"/>
    </row>
    <row r="249" spans="1:20" ht="14.5" customHeight="1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>
        <v>0</v>
      </c>
      <c r="O249">
        <v>0</v>
      </c>
      <c r="P249">
        <v>0</v>
      </c>
      <c r="Q249" t="s">
        <v>122</v>
      </c>
      <c r="R249"/>
      <c r="S249"/>
      <c r="T249"/>
    </row>
    <row r="250" spans="1:20" ht="14.5" customHeight="1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>
        <v>442692.57</v>
      </c>
      <c r="O250">
        <v>3020633.56</v>
      </c>
      <c r="P250">
        <v>26901867.629999999</v>
      </c>
      <c r="Q250" t="s">
        <v>122</v>
      </c>
      <c r="R250"/>
      <c r="S250"/>
      <c r="T250"/>
    </row>
    <row r="251" spans="1:20" ht="14.5" customHeight="1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>
        <v>-61322.82</v>
      </c>
      <c r="O251">
        <v>19594.25</v>
      </c>
      <c r="P251">
        <v>136722.17000000001</v>
      </c>
      <c r="Q251" t="s">
        <v>122</v>
      </c>
      <c r="R251"/>
      <c r="S251"/>
      <c r="T251"/>
    </row>
    <row r="252" spans="1:20" ht="14.5" customHeight="1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>
        <v>381369.75</v>
      </c>
      <c r="O252">
        <v>3040227.81</v>
      </c>
      <c r="P252">
        <v>27038589.800000001</v>
      </c>
      <c r="Q252" t="s">
        <v>122</v>
      </c>
      <c r="R252"/>
      <c r="S252"/>
      <c r="T252"/>
    </row>
    <row r="253" spans="1:20" ht="14.5" customHeight="1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>
        <v>638679.66</v>
      </c>
      <c r="O253">
        <v>391619.21</v>
      </c>
      <c r="P253">
        <v>3728034.15</v>
      </c>
      <c r="Q253" t="s">
        <v>122</v>
      </c>
      <c r="R253"/>
      <c r="S253"/>
      <c r="T253"/>
    </row>
    <row r="254" spans="1:20" ht="14.5" customHeigh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>
        <v>0</v>
      </c>
      <c r="O254">
        <v>0</v>
      </c>
      <c r="P254">
        <v>0</v>
      </c>
      <c r="Q254" t="s">
        <v>122</v>
      </c>
      <c r="R254"/>
      <c r="S254"/>
      <c r="T254"/>
    </row>
    <row r="255" spans="1:20" ht="14.5" customHeight="1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>
        <v>0</v>
      </c>
      <c r="O255">
        <v>0</v>
      </c>
      <c r="P255">
        <v>0</v>
      </c>
      <c r="Q255" t="s">
        <v>122</v>
      </c>
      <c r="R255"/>
      <c r="S255"/>
      <c r="T255"/>
    </row>
    <row r="256" spans="1:20" ht="14.5" customHeight="1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>
        <v>-180712.53</v>
      </c>
      <c r="O256">
        <v>3146.81</v>
      </c>
      <c r="P256">
        <v>28428.66</v>
      </c>
      <c r="Q256" t="s">
        <v>122</v>
      </c>
      <c r="R256"/>
      <c r="S256"/>
      <c r="T256"/>
    </row>
    <row r="257" spans="1:20" ht="14.5" customHeight="1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>
        <v>0</v>
      </c>
      <c r="O257">
        <v>0</v>
      </c>
      <c r="P257">
        <v>0</v>
      </c>
      <c r="Q257" t="s">
        <v>122</v>
      </c>
      <c r="R257"/>
      <c r="S257"/>
      <c r="T257"/>
    </row>
    <row r="258" spans="1:20" ht="14.5" customHeight="1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>
        <v>0</v>
      </c>
      <c r="O258">
        <v>0</v>
      </c>
      <c r="P258">
        <v>0</v>
      </c>
      <c r="Q258" t="s">
        <v>122</v>
      </c>
      <c r="R258"/>
      <c r="S258"/>
      <c r="T258"/>
    </row>
    <row r="259" spans="1:20" ht="14.5" customHeight="1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>
        <v>-180712.53</v>
      </c>
      <c r="O259">
        <v>3146.81</v>
      </c>
      <c r="P259">
        <v>28428.66</v>
      </c>
      <c r="Q259" t="s">
        <v>122</v>
      </c>
      <c r="R259"/>
      <c r="S259"/>
      <c r="T259"/>
    </row>
    <row r="260" spans="1:20" ht="14.5" customHeight="1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>
        <v>819392.19</v>
      </c>
      <c r="O260">
        <v>388472.4</v>
      </c>
      <c r="P260">
        <v>3699605.49</v>
      </c>
      <c r="Q260" t="s">
        <v>122</v>
      </c>
      <c r="R260"/>
      <c r="S260"/>
      <c r="T260"/>
    </row>
    <row r="261" spans="1:20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>
        <v>0</v>
      </c>
      <c r="O261">
        <v>0</v>
      </c>
      <c r="P261">
        <v>0</v>
      </c>
      <c r="Q261" t="s">
        <v>122</v>
      </c>
      <c r="R261"/>
      <c r="S261"/>
      <c r="T261"/>
    </row>
    <row r="262" spans="1:20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>
        <v>0</v>
      </c>
      <c r="O262">
        <v>0</v>
      </c>
      <c r="P262">
        <v>0</v>
      </c>
      <c r="Q262" t="s">
        <v>122</v>
      </c>
      <c r="R262"/>
      <c r="S262"/>
      <c r="T262"/>
    </row>
    <row r="263" spans="1:20" ht="14.5" customHeight="1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>
        <v>819392.19</v>
      </c>
      <c r="O263">
        <v>388472.4</v>
      </c>
      <c r="P263">
        <v>3699605.49</v>
      </c>
      <c r="Q263" t="s">
        <v>122</v>
      </c>
      <c r="R263"/>
      <c r="S263"/>
      <c r="T263"/>
    </row>
    <row r="264" spans="1:20" ht="14.5" customHeight="1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>
        <v>577356.84</v>
      </c>
      <c r="O264">
        <v>411213.46</v>
      </c>
      <c r="P264">
        <v>3864756.32</v>
      </c>
      <c r="Q264" t="s">
        <v>122</v>
      </c>
      <c r="R264"/>
      <c r="S264"/>
      <c r="T264"/>
    </row>
    <row r="265" spans="1:20" s="179" customFormat="1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 t="s">
        <v>132</v>
      </c>
      <c r="O265" t="s">
        <v>133</v>
      </c>
      <c r="P265" t="s">
        <v>134</v>
      </c>
      <c r="Q265" t="s">
        <v>121</v>
      </c>
      <c r="R265"/>
      <c r="S265"/>
      <c r="T265"/>
    </row>
    <row r="266" spans="1:20" ht="14.5" customHeight="1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>
        <v>0.89</v>
      </c>
      <c r="O266">
        <v>0</v>
      </c>
      <c r="P266">
        <v>0.89</v>
      </c>
      <c r="Q266" t="s">
        <v>122</v>
      </c>
      <c r="R266"/>
      <c r="S266"/>
      <c r="T266"/>
    </row>
    <row r="267" spans="1:20" ht="14.5" customHeight="1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>
        <v>0</v>
      </c>
      <c r="O267">
        <v>0</v>
      </c>
      <c r="P267">
        <v>0</v>
      </c>
      <c r="Q267" t="s">
        <v>122</v>
      </c>
      <c r="R267"/>
      <c r="S267"/>
      <c r="T267"/>
    </row>
    <row r="268" spans="1:20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>
        <v>0.89</v>
      </c>
      <c r="O268">
        <v>0</v>
      </c>
      <c r="P268">
        <v>0.89</v>
      </c>
      <c r="Q268" t="s">
        <v>122</v>
      </c>
      <c r="R268"/>
      <c r="S268"/>
      <c r="T268"/>
    </row>
    <row r="269" spans="1:20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>
        <v>0</v>
      </c>
      <c r="O269">
        <v>0</v>
      </c>
      <c r="P269">
        <v>0</v>
      </c>
      <c r="Q269" t="s">
        <v>122</v>
      </c>
      <c r="R269"/>
      <c r="S269"/>
      <c r="T269"/>
    </row>
    <row r="270" spans="1:20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>
        <v>0.89</v>
      </c>
      <c r="O270">
        <v>0</v>
      </c>
      <c r="P270">
        <v>0.89</v>
      </c>
      <c r="Q270" t="s">
        <v>122</v>
      </c>
      <c r="R270"/>
      <c r="S270"/>
      <c r="T270"/>
    </row>
    <row r="271" spans="1:20" ht="14.5" customHeight="1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>
        <v>0</v>
      </c>
      <c r="O271">
        <v>0</v>
      </c>
      <c r="P271">
        <v>0</v>
      </c>
      <c r="Q271" t="s">
        <v>122</v>
      </c>
      <c r="R271"/>
      <c r="S271"/>
      <c r="T271"/>
    </row>
    <row r="272" spans="1:20" ht="14.5" customHeight="1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>
        <v>-4771.8500000000004</v>
      </c>
      <c r="O272">
        <v>4026.98</v>
      </c>
      <c r="P272">
        <v>24806.98</v>
      </c>
      <c r="Q272" t="s">
        <v>122</v>
      </c>
      <c r="R272"/>
      <c r="S272"/>
      <c r="T272"/>
    </row>
    <row r="273" spans="1:20" ht="14.5" customHeight="1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>
        <v>0</v>
      </c>
      <c r="O273">
        <v>0</v>
      </c>
      <c r="P273">
        <v>0</v>
      </c>
      <c r="Q273" t="s">
        <v>122</v>
      </c>
      <c r="R273"/>
      <c r="S273"/>
      <c r="T273"/>
    </row>
    <row r="274" spans="1:20" ht="14.5" customHeight="1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>
        <v>-4771.8500000000004</v>
      </c>
      <c r="O274">
        <v>4026.98</v>
      </c>
      <c r="P274">
        <v>24806.98</v>
      </c>
      <c r="Q274" t="s">
        <v>122</v>
      </c>
      <c r="R274"/>
      <c r="S274"/>
      <c r="T274"/>
    </row>
    <row r="275" spans="1:20" ht="14.5" customHeight="1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>
        <v>4772.74</v>
      </c>
      <c r="O275">
        <v>-4026.98</v>
      </c>
      <c r="P275">
        <v>-24806.09</v>
      </c>
      <c r="Q275" t="s">
        <v>122</v>
      </c>
      <c r="R275"/>
      <c r="S275"/>
      <c r="T275"/>
    </row>
    <row r="276" spans="1:20" ht="14.5" customHeight="1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>
        <v>1588798.59</v>
      </c>
      <c r="O276">
        <v>-533355.86</v>
      </c>
      <c r="P276">
        <v>-5680.04</v>
      </c>
      <c r="Q276" t="s">
        <v>122</v>
      </c>
      <c r="R276"/>
      <c r="S276"/>
      <c r="T276"/>
    </row>
    <row r="277" spans="1:20" ht="14.5" customHeight="1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>
        <v>0</v>
      </c>
      <c r="O277">
        <v>0</v>
      </c>
      <c r="P277">
        <v>0</v>
      </c>
      <c r="Q277" t="s">
        <v>122</v>
      </c>
      <c r="R277"/>
      <c r="S277"/>
      <c r="T277"/>
    </row>
    <row r="278" spans="1:20" ht="14.5" customHeight="1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>
        <v>106820.8</v>
      </c>
      <c r="O278">
        <v>121477.42</v>
      </c>
      <c r="P278">
        <v>1412019.24</v>
      </c>
      <c r="Q278" t="s">
        <v>122</v>
      </c>
      <c r="R278"/>
      <c r="S278"/>
      <c r="T278"/>
    </row>
    <row r="279" spans="1:20" ht="14.5" customHeight="1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>
        <v>0</v>
      </c>
      <c r="O279">
        <v>0</v>
      </c>
      <c r="P279">
        <v>0</v>
      </c>
      <c r="Q279" t="s">
        <v>122</v>
      </c>
      <c r="R279"/>
      <c r="S279"/>
      <c r="T279"/>
    </row>
    <row r="280" spans="1:20" ht="14.5" customHeight="1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>
        <v>0</v>
      </c>
      <c r="O280">
        <v>0</v>
      </c>
      <c r="P280">
        <v>0</v>
      </c>
      <c r="Q280" t="s">
        <v>122</v>
      </c>
      <c r="R280"/>
      <c r="S280"/>
      <c r="T280"/>
    </row>
    <row r="281" spans="1:20" ht="14.5" customHeight="1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>
        <v>1695619.39</v>
      </c>
      <c r="O281">
        <v>-411878.44</v>
      </c>
      <c r="P281">
        <v>1406339.2</v>
      </c>
      <c r="Q281" t="s">
        <v>122</v>
      </c>
      <c r="R281"/>
      <c r="S281"/>
      <c r="T281"/>
    </row>
    <row r="282" spans="1:20" ht="14.5" customHeight="1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>
        <v>-1690846.65</v>
      </c>
      <c r="O282">
        <v>407851.46</v>
      </c>
      <c r="P282">
        <v>-1431145.29</v>
      </c>
      <c r="Q282" t="s">
        <v>122</v>
      </c>
      <c r="R282"/>
      <c r="S282"/>
      <c r="T282"/>
    </row>
    <row r="283" spans="1:20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>
        <v>5503.89</v>
      </c>
      <c r="O283">
        <v>6259.09</v>
      </c>
      <c r="P283">
        <v>72753.86</v>
      </c>
      <c r="Q283" t="s">
        <v>122</v>
      </c>
      <c r="R283"/>
      <c r="S283"/>
      <c r="T283"/>
    </row>
    <row r="284" spans="1:20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>
        <v>0</v>
      </c>
      <c r="O284">
        <v>0</v>
      </c>
      <c r="P284">
        <v>0</v>
      </c>
      <c r="Q284" t="s">
        <v>122</v>
      </c>
      <c r="R284"/>
      <c r="S284"/>
      <c r="T284"/>
    </row>
    <row r="285" spans="1:20" ht="14.5" customHeight="1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>
        <v>-1696350.54</v>
      </c>
      <c r="O285">
        <v>401592.37</v>
      </c>
      <c r="P285">
        <v>-1503899.15</v>
      </c>
      <c r="Q285" t="s">
        <v>122</v>
      </c>
      <c r="R285"/>
      <c r="S285"/>
      <c r="T285"/>
    </row>
    <row r="286" spans="1:20" ht="14.5" customHeight="1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>
        <v>4772.74</v>
      </c>
      <c r="O286">
        <v>-4026.98</v>
      </c>
      <c r="P286">
        <v>-24806.09</v>
      </c>
      <c r="Q286" t="s">
        <v>122</v>
      </c>
      <c r="R286"/>
      <c r="S286"/>
      <c r="T286"/>
    </row>
    <row r="287" spans="1:20" s="180" customFormat="1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 t="s">
        <v>132</v>
      </c>
      <c r="O287" t="s">
        <v>133</v>
      </c>
      <c r="P287" t="s">
        <v>134</v>
      </c>
      <c r="Q287" t="s">
        <v>126</v>
      </c>
      <c r="R287" t="s">
        <v>121</v>
      </c>
      <c r="S287"/>
      <c r="T287"/>
    </row>
    <row r="288" spans="1:20" ht="14.5" customHeight="1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>
        <v>89524737.519999996</v>
      </c>
      <c r="O288">
        <v>10767787.43</v>
      </c>
      <c r="P288">
        <v>66950564.609999999</v>
      </c>
      <c r="Q288">
        <v>22925625</v>
      </c>
      <c r="R288" t="s">
        <v>122</v>
      </c>
      <c r="S288"/>
      <c r="T288"/>
    </row>
    <row r="289" spans="1:20" ht="14.5" customHeight="1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>
        <v>205109.18</v>
      </c>
      <c r="O289">
        <v>104528.79</v>
      </c>
      <c r="P289">
        <v>1074883.5900000001</v>
      </c>
      <c r="Q289">
        <v>0</v>
      </c>
      <c r="R289" t="s">
        <v>122</v>
      </c>
      <c r="S289"/>
      <c r="T289"/>
    </row>
    <row r="290" spans="1:20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>
        <v>89319628.340000004</v>
      </c>
      <c r="O290">
        <v>10663258.640000001</v>
      </c>
      <c r="P290">
        <v>65875681.020000003</v>
      </c>
      <c r="Q290">
        <v>22925625</v>
      </c>
      <c r="R290" t="s">
        <v>122</v>
      </c>
      <c r="S290"/>
      <c r="T290"/>
    </row>
    <row r="291" spans="1:20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>
        <v>78806557.079999998</v>
      </c>
      <c r="O291">
        <v>10326130.35</v>
      </c>
      <c r="P291">
        <v>66314862.210000001</v>
      </c>
      <c r="Q291">
        <v>14972847</v>
      </c>
      <c r="R291" t="s">
        <v>122</v>
      </c>
      <c r="S291"/>
      <c r="T291"/>
    </row>
    <row r="292" spans="1:20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>
        <v>10513071.26</v>
      </c>
      <c r="O292">
        <v>337128.29</v>
      </c>
      <c r="P292">
        <v>-439181.19</v>
      </c>
      <c r="Q292">
        <v>7952778</v>
      </c>
      <c r="R292" t="s">
        <v>122</v>
      </c>
      <c r="S292"/>
      <c r="T292"/>
    </row>
    <row r="293" spans="1:20" ht="14.5" customHeight="1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>
        <v>3600492.59</v>
      </c>
      <c r="O293">
        <v>108310.86</v>
      </c>
      <c r="P293">
        <v>1134399.79</v>
      </c>
      <c r="Q293">
        <v>3280660</v>
      </c>
      <c r="R293" t="s">
        <v>122</v>
      </c>
      <c r="S293"/>
      <c r="T293"/>
    </row>
    <row r="294" spans="1:20" ht="14.5" customHeight="1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>
        <v>-81491.61</v>
      </c>
      <c r="O294">
        <v>-219809.44</v>
      </c>
      <c r="P294">
        <v>-1093089.6299999999</v>
      </c>
      <c r="Q294">
        <v>2796308</v>
      </c>
      <c r="R294" t="s">
        <v>122</v>
      </c>
      <c r="S294"/>
      <c r="T294"/>
    </row>
    <row r="295" spans="1:20" ht="14.5" customHeight="1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>
        <v>364863.7</v>
      </c>
      <c r="O295">
        <v>75101.84</v>
      </c>
      <c r="P295">
        <v>555295.84</v>
      </c>
      <c r="Q295">
        <v>273544</v>
      </c>
      <c r="R295" t="s">
        <v>122</v>
      </c>
      <c r="S295"/>
      <c r="T295"/>
    </row>
    <row r="296" spans="1:20" ht="14.5" customHeight="1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>
        <v>3883864.68</v>
      </c>
      <c r="O296">
        <v>-36396.74</v>
      </c>
      <c r="P296">
        <v>596606</v>
      </c>
      <c r="Q296">
        <v>6350512</v>
      </c>
      <c r="R296" t="s">
        <v>122</v>
      </c>
      <c r="S296"/>
      <c r="T296"/>
    </row>
    <row r="297" spans="1:20" ht="14.5" customHeight="1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>
        <v>6629206.5800000001</v>
      </c>
      <c r="O297">
        <v>373525.03</v>
      </c>
      <c r="P297">
        <v>-1035787.19</v>
      </c>
      <c r="Q297">
        <v>1602266</v>
      </c>
      <c r="R297" t="s">
        <v>122</v>
      </c>
      <c r="S297"/>
      <c r="T297"/>
    </row>
    <row r="298" spans="1:20" ht="14.5" customHeight="1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>
        <v>-5236.22</v>
      </c>
      <c r="O298">
        <v>960.61</v>
      </c>
      <c r="P298">
        <v>4007.82</v>
      </c>
      <c r="Q298">
        <v>0</v>
      </c>
      <c r="R298" t="s">
        <v>122</v>
      </c>
      <c r="S298"/>
      <c r="T298"/>
    </row>
    <row r="299" spans="1:20" ht="14.5" customHeight="1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>
        <v>-1055307.9099999999</v>
      </c>
      <c r="O299">
        <v>-1121049.1299999999</v>
      </c>
      <c r="P299">
        <v>-4199142.25</v>
      </c>
      <c r="Q299">
        <v>0</v>
      </c>
      <c r="R299" t="s">
        <v>122</v>
      </c>
      <c r="S299"/>
      <c r="T299"/>
    </row>
    <row r="300" spans="1:20" ht="14.5" customHeight="1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>
        <v>-256512.74</v>
      </c>
      <c r="O300">
        <v>23843.79</v>
      </c>
      <c r="P300">
        <v>-205933.02</v>
      </c>
      <c r="Q300">
        <v>110327</v>
      </c>
      <c r="R300" t="s">
        <v>122</v>
      </c>
      <c r="S300"/>
      <c r="T300"/>
    </row>
    <row r="301" spans="1:20" ht="14.5" customHeight="1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>
        <v>0.06</v>
      </c>
      <c r="O301">
        <v>-109500.88</v>
      </c>
      <c r="P301">
        <v>-573545.77</v>
      </c>
      <c r="Q301">
        <v>119273</v>
      </c>
      <c r="R301" t="s">
        <v>122</v>
      </c>
      <c r="S301"/>
      <c r="T301"/>
    </row>
    <row r="302" spans="1:20" ht="14.5" customHeight="1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>
        <v>0</v>
      </c>
      <c r="O302">
        <v>0</v>
      </c>
      <c r="P302">
        <v>0</v>
      </c>
      <c r="Q302">
        <v>0</v>
      </c>
      <c r="R302" t="s">
        <v>122</v>
      </c>
      <c r="S302"/>
      <c r="T302"/>
    </row>
    <row r="303" spans="1:20" ht="14.5" customHeight="1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>
        <v>-1317056.93</v>
      </c>
      <c r="O303">
        <v>-986743.85</v>
      </c>
      <c r="P303">
        <v>-3827521.68</v>
      </c>
      <c r="Q303">
        <v>-8946</v>
      </c>
      <c r="R303" t="s">
        <v>122</v>
      </c>
      <c r="S303"/>
      <c r="T303"/>
    </row>
    <row r="304" spans="1:20" ht="14.5" customHeight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>
        <v>7946263.5099999998</v>
      </c>
      <c r="O304">
        <v>1360268.88</v>
      </c>
      <c r="P304">
        <v>2791734.49</v>
      </c>
      <c r="Q304">
        <v>1611212</v>
      </c>
      <c r="R304" t="s">
        <v>122</v>
      </c>
      <c r="S304"/>
      <c r="T304"/>
    </row>
    <row r="305" spans="1:20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>
        <v>884127.17</v>
      </c>
      <c r="O305">
        <v>59500</v>
      </c>
      <c r="P305">
        <v>884125.75</v>
      </c>
      <c r="Q305">
        <v>399930</v>
      </c>
      <c r="R305" t="s">
        <v>122</v>
      </c>
      <c r="S305"/>
      <c r="T305"/>
    </row>
    <row r="306" spans="1:20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>
        <v>0</v>
      </c>
      <c r="O306">
        <v>0</v>
      </c>
      <c r="P306">
        <v>0</v>
      </c>
      <c r="Q306">
        <v>0</v>
      </c>
      <c r="R306" t="s">
        <v>122</v>
      </c>
      <c r="S306"/>
      <c r="T306"/>
    </row>
    <row r="307" spans="1:20" ht="14.5" customHeight="1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>
        <v>7062136.3399999999</v>
      </c>
      <c r="O307">
        <v>1300768.8799999999</v>
      </c>
      <c r="P307">
        <v>1907608.74</v>
      </c>
      <c r="Q307">
        <v>1211282</v>
      </c>
      <c r="R307" t="s">
        <v>122</v>
      </c>
      <c r="S307"/>
      <c r="T307"/>
    </row>
    <row r="308" spans="1:20" ht="14.5" customHeight="1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>
        <v>6994070.2800000003</v>
      </c>
      <c r="O308">
        <v>448626.87</v>
      </c>
      <c r="P308">
        <v>-480491.35</v>
      </c>
      <c r="Q308">
        <v>1875810</v>
      </c>
      <c r="R308" t="s">
        <v>122</v>
      </c>
      <c r="S308"/>
      <c r="T308"/>
    </row>
    <row r="309" spans="1:20" s="180" customFormat="1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 t="s">
        <v>132</v>
      </c>
      <c r="O309" t="s">
        <v>133</v>
      </c>
      <c r="P309" t="s">
        <v>134</v>
      </c>
      <c r="Q309" t="s">
        <v>126</v>
      </c>
      <c r="R309" t="s">
        <v>121</v>
      </c>
      <c r="S309"/>
      <c r="T309"/>
    </row>
    <row r="310" spans="1:20" ht="14.5" customHeight="1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>
        <v>-11540479.800000001</v>
      </c>
      <c r="O310">
        <v>-12911311.449999999</v>
      </c>
      <c r="P310">
        <v>-83706862.510000005</v>
      </c>
      <c r="Q310">
        <v>32784700</v>
      </c>
      <c r="R310" t="s">
        <v>122</v>
      </c>
      <c r="S310"/>
      <c r="T310"/>
    </row>
    <row r="311" spans="1:20" ht="14.5" customHeight="1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>
        <v>-1221299.47</v>
      </c>
      <c r="O311">
        <v>-346888.99</v>
      </c>
      <c r="P311">
        <v>-3600387.34</v>
      </c>
      <c r="Q311">
        <v>0</v>
      </c>
      <c r="R311" t="s">
        <v>122</v>
      </c>
      <c r="S311"/>
      <c r="T311"/>
    </row>
    <row r="312" spans="1:20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>
        <v>-12761779.27</v>
      </c>
      <c r="O312">
        <v>-13258200.439999999</v>
      </c>
      <c r="P312">
        <v>-87307249.849999994</v>
      </c>
      <c r="Q312">
        <v>32784700</v>
      </c>
      <c r="R312" t="s">
        <v>122</v>
      </c>
      <c r="S312"/>
      <c r="T312"/>
    </row>
    <row r="313" spans="1:20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>
        <v>-19625437.460000001</v>
      </c>
      <c r="O313">
        <v>-11405130.43</v>
      </c>
      <c r="P313">
        <v>-71152059.489999995</v>
      </c>
      <c r="Q313">
        <v>22598726</v>
      </c>
      <c r="R313" t="s">
        <v>122</v>
      </c>
      <c r="S313"/>
      <c r="T313"/>
    </row>
    <row r="314" spans="1:20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>
        <v>6863658.1900000004</v>
      </c>
      <c r="O314">
        <v>-1853070.01</v>
      </c>
      <c r="P314">
        <v>-16155190.359999999</v>
      </c>
      <c r="Q314">
        <v>10185974</v>
      </c>
      <c r="R314" t="s">
        <v>122</v>
      </c>
      <c r="S314"/>
      <c r="T314"/>
    </row>
    <row r="315" spans="1:20" ht="14.5" customHeight="1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>
        <v>-22904437.07</v>
      </c>
      <c r="O315">
        <v>1364025.12</v>
      </c>
      <c r="P315">
        <v>35512094.710000001</v>
      </c>
      <c r="Q315">
        <v>5130342</v>
      </c>
      <c r="R315" t="s">
        <v>122</v>
      </c>
      <c r="S315"/>
      <c r="T315"/>
    </row>
    <row r="316" spans="1:20" ht="14.5" customHeight="1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>
        <v>667671.54</v>
      </c>
      <c r="O316">
        <v>104438.37</v>
      </c>
      <c r="P316">
        <v>508965.2</v>
      </c>
      <c r="Q316">
        <v>1670383</v>
      </c>
      <c r="R316" t="s">
        <v>122</v>
      </c>
      <c r="S316"/>
      <c r="T316"/>
    </row>
    <row r="317" spans="1:20" ht="14.5" customHeight="1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>
        <v>534907.1</v>
      </c>
      <c r="O317">
        <v>100799.56</v>
      </c>
      <c r="P317">
        <v>684290.64</v>
      </c>
      <c r="Q317">
        <v>512809</v>
      </c>
      <c r="R317" t="s">
        <v>122</v>
      </c>
      <c r="S317"/>
      <c r="T317"/>
    </row>
    <row r="318" spans="1:20" ht="14.5" customHeight="1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>
        <v>-21701858.43</v>
      </c>
      <c r="O318">
        <v>1569263.05</v>
      </c>
      <c r="P318">
        <v>36705350.549999997</v>
      </c>
      <c r="Q318">
        <v>7313534</v>
      </c>
      <c r="R318" t="s">
        <v>122</v>
      </c>
      <c r="S318"/>
      <c r="T318"/>
    </row>
    <row r="319" spans="1:20" ht="14.5" customHeight="1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>
        <v>28565516.620000001</v>
      </c>
      <c r="O319">
        <v>-3422333.06</v>
      </c>
      <c r="P319">
        <v>-52860540.909999996</v>
      </c>
      <c r="Q319">
        <v>2872440</v>
      </c>
      <c r="R319" t="s">
        <v>122</v>
      </c>
      <c r="S319"/>
      <c r="T319"/>
    </row>
    <row r="320" spans="1:20" ht="14.5" customHeight="1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>
        <v>282511.5</v>
      </c>
      <c r="O320">
        <v>282511.5</v>
      </c>
      <c r="P320">
        <v>282511.5</v>
      </c>
      <c r="Q320">
        <v>0</v>
      </c>
      <c r="R320" t="s">
        <v>122</v>
      </c>
      <c r="S320"/>
      <c r="T320"/>
    </row>
    <row r="321" spans="1:20" ht="14.5" customHeight="1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>
        <v>41868827.880000003</v>
      </c>
      <c r="O321">
        <v>-241542.28</v>
      </c>
      <c r="P321">
        <v>-43360556.560000002</v>
      </c>
      <c r="Q321">
        <v>0</v>
      </c>
      <c r="R321" t="s">
        <v>122</v>
      </c>
      <c r="S321"/>
      <c r="T321"/>
    </row>
    <row r="322" spans="1:20" ht="14.5" customHeight="1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>
        <v>26675.279999999999</v>
      </c>
      <c r="O322">
        <v>-121465.44</v>
      </c>
      <c r="P322">
        <v>-67257.91</v>
      </c>
      <c r="Q322">
        <v>139644</v>
      </c>
      <c r="R322" t="s">
        <v>122</v>
      </c>
      <c r="S322"/>
      <c r="T322"/>
    </row>
    <row r="323" spans="1:20" ht="14.5" customHeight="1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>
        <v>275.68</v>
      </c>
      <c r="O323">
        <v>-80217.570000000007</v>
      </c>
      <c r="P323">
        <v>-368234.18</v>
      </c>
      <c r="Q323">
        <v>90937</v>
      </c>
      <c r="R323" t="s">
        <v>122</v>
      </c>
      <c r="S323"/>
      <c r="T323"/>
    </row>
    <row r="324" spans="1:20" ht="14.5" customHeight="1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>
        <v>0</v>
      </c>
      <c r="O324">
        <v>0</v>
      </c>
      <c r="P324">
        <v>0</v>
      </c>
      <c r="Q324">
        <v>0</v>
      </c>
      <c r="R324" t="s">
        <v>122</v>
      </c>
      <c r="S324"/>
      <c r="T324"/>
    </row>
    <row r="325" spans="1:20" ht="14.5" customHeight="1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>
        <v>42177738.979999997</v>
      </c>
      <c r="O325">
        <v>-278.64999999999998</v>
      </c>
      <c r="P325">
        <v>-42777068.789999999</v>
      </c>
      <c r="Q325">
        <v>48707</v>
      </c>
      <c r="R325" t="s">
        <v>122</v>
      </c>
      <c r="S325"/>
      <c r="T325"/>
    </row>
    <row r="326" spans="1:20" ht="14.5" customHeight="1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>
        <v>-13612222.359999999</v>
      </c>
      <c r="O326">
        <v>-3422054.41</v>
      </c>
      <c r="P326">
        <v>-10083472.119999999</v>
      </c>
      <c r="Q326">
        <v>2823733</v>
      </c>
      <c r="R326" t="s">
        <v>122</v>
      </c>
      <c r="S326"/>
      <c r="T326"/>
    </row>
    <row r="327" spans="1:20" x14ac:dyDescent="0.3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>
        <v>-36648.51</v>
      </c>
      <c r="O327">
        <v>-239845.02</v>
      </c>
      <c r="P327">
        <v>-40121.08</v>
      </c>
      <c r="Q327">
        <v>666667</v>
      </c>
      <c r="R327" t="s">
        <v>122</v>
      </c>
      <c r="S327"/>
      <c r="T327"/>
    </row>
    <row r="328" spans="1:20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>
        <v>0</v>
      </c>
      <c r="O328">
        <v>0</v>
      </c>
      <c r="P328">
        <v>0</v>
      </c>
      <c r="Q328">
        <v>0</v>
      </c>
      <c r="R328" t="s">
        <v>122</v>
      </c>
      <c r="S328"/>
      <c r="T328"/>
    </row>
    <row r="329" spans="1:20" ht="14.5" customHeight="1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>
        <v>-13575573.85</v>
      </c>
      <c r="O329">
        <v>-3182209.39</v>
      </c>
      <c r="P329">
        <v>-10043351.039999999</v>
      </c>
      <c r="Q329">
        <v>2157066</v>
      </c>
      <c r="R329" t="s">
        <v>122</v>
      </c>
      <c r="S329"/>
      <c r="T329"/>
    </row>
    <row r="330" spans="1:20" ht="14.5" customHeight="1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>
        <v>29100423.719999999</v>
      </c>
      <c r="O330">
        <v>-3321533.5</v>
      </c>
      <c r="P330">
        <v>-52176250.270000003</v>
      </c>
      <c r="Q330">
        <v>3385249</v>
      </c>
      <c r="R330" t="s">
        <v>122</v>
      </c>
      <c r="S330"/>
      <c r="T330"/>
    </row>
    <row r="331" spans="1:20" s="180" customFormat="1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1:20" s="180" customFormat="1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 t="s">
        <v>132</v>
      </c>
      <c r="O353" t="s">
        <v>133</v>
      </c>
      <c r="P353" t="s">
        <v>134</v>
      </c>
      <c r="Q353" t="s">
        <v>126</v>
      </c>
      <c r="R353" t="s">
        <v>121</v>
      </c>
      <c r="S353"/>
      <c r="T353"/>
    </row>
    <row r="354" spans="1:20" ht="14.5" customHeight="1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>
        <v>-28160945.25</v>
      </c>
      <c r="O354">
        <v>-9418909.8100000005</v>
      </c>
      <c r="P354">
        <v>-64833756.68</v>
      </c>
      <c r="Q354">
        <v>13755924</v>
      </c>
      <c r="R354" t="s">
        <v>122</v>
      </c>
      <c r="S354"/>
      <c r="T354"/>
    </row>
    <row r="355" spans="1:20" ht="14.5" customHeight="1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>
        <v>-98382.47</v>
      </c>
      <c r="O355">
        <v>-88508.18</v>
      </c>
      <c r="P355">
        <v>-972225.8</v>
      </c>
      <c r="Q355">
        <v>0</v>
      </c>
      <c r="R355" t="s">
        <v>122</v>
      </c>
      <c r="S355"/>
      <c r="T355"/>
    </row>
    <row r="356" spans="1:20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>
        <v>-28259327.719999999</v>
      </c>
      <c r="O356">
        <v>-9507417.9900000002</v>
      </c>
      <c r="P356">
        <v>-65805982.479999997</v>
      </c>
      <c r="Q356">
        <v>13755924</v>
      </c>
      <c r="R356" t="s">
        <v>122</v>
      </c>
      <c r="S356"/>
      <c r="T356"/>
    </row>
    <row r="357" spans="1:20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>
        <v>-29868310.84</v>
      </c>
      <c r="O357">
        <v>-6625684.1500000004</v>
      </c>
      <c r="P357">
        <v>-43269936.039999999</v>
      </c>
      <c r="Q357">
        <v>9222052</v>
      </c>
      <c r="R357" t="s">
        <v>122</v>
      </c>
      <c r="S357"/>
      <c r="T357"/>
    </row>
    <row r="358" spans="1:20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>
        <v>1608983.12</v>
      </c>
      <c r="O358">
        <v>-2881733.84</v>
      </c>
      <c r="P358">
        <v>-22536046.440000001</v>
      </c>
      <c r="Q358">
        <v>4533872</v>
      </c>
      <c r="R358" t="s">
        <v>122</v>
      </c>
      <c r="S358"/>
      <c r="T358"/>
    </row>
    <row r="359" spans="1:20" ht="14.5" customHeight="1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>
        <v>-4737400.4000000004</v>
      </c>
      <c r="O359">
        <v>1917626.57</v>
      </c>
      <c r="P359">
        <v>19289238.280000001</v>
      </c>
      <c r="Q359">
        <v>2444681</v>
      </c>
      <c r="R359" t="s">
        <v>122</v>
      </c>
      <c r="S359"/>
      <c r="T359"/>
    </row>
    <row r="360" spans="1:20" ht="14.5" customHeight="1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>
        <v>1741157.97</v>
      </c>
      <c r="O360">
        <v>124235.63</v>
      </c>
      <c r="P360">
        <v>1574824.49</v>
      </c>
      <c r="Q360">
        <v>495394</v>
      </c>
      <c r="R360" t="s">
        <v>122</v>
      </c>
      <c r="S360"/>
      <c r="T360"/>
    </row>
    <row r="361" spans="1:20" ht="14.5" customHeight="1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>
        <v>429998.23</v>
      </c>
      <c r="O361">
        <v>42299.83</v>
      </c>
      <c r="P361">
        <v>364440.85</v>
      </c>
      <c r="Q361">
        <v>309306</v>
      </c>
      <c r="R361" t="s">
        <v>122</v>
      </c>
      <c r="S361"/>
      <c r="T361"/>
    </row>
    <row r="362" spans="1:20" ht="14.5" customHeight="1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>
        <v>-2566244.2000000002</v>
      </c>
      <c r="O362">
        <v>2084162.03</v>
      </c>
      <c r="P362">
        <v>21228503.620000001</v>
      </c>
      <c r="Q362">
        <v>3249381</v>
      </c>
      <c r="R362" t="s">
        <v>122</v>
      </c>
      <c r="S362"/>
      <c r="T362"/>
    </row>
    <row r="363" spans="1:20" ht="14.5" customHeight="1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>
        <v>4175227.32</v>
      </c>
      <c r="O363">
        <v>-4965895.87</v>
      </c>
      <c r="P363">
        <v>-43764550.060000002</v>
      </c>
      <c r="Q363">
        <v>1284491</v>
      </c>
      <c r="R363" t="s">
        <v>122</v>
      </c>
      <c r="S363"/>
      <c r="T363"/>
    </row>
    <row r="364" spans="1:20" ht="14.5" customHeight="1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>
        <v>0</v>
      </c>
      <c r="O364">
        <v>0</v>
      </c>
      <c r="P364">
        <v>0</v>
      </c>
      <c r="Q364">
        <v>0</v>
      </c>
      <c r="R364" t="s">
        <v>122</v>
      </c>
      <c r="S364"/>
      <c r="T364"/>
    </row>
    <row r="365" spans="1:20" ht="14.5" customHeight="1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>
        <v>15921273.73</v>
      </c>
      <c r="O365">
        <v>-5127742.75</v>
      </c>
      <c r="P365">
        <v>-45072417.380000003</v>
      </c>
      <c r="Q365">
        <v>0</v>
      </c>
      <c r="R365" t="s">
        <v>122</v>
      </c>
      <c r="S365"/>
      <c r="T365"/>
    </row>
    <row r="366" spans="1:20" ht="14.5" customHeight="1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>
        <v>-172484.21</v>
      </c>
      <c r="O366">
        <v>-63161</v>
      </c>
      <c r="P366">
        <v>-192332.5</v>
      </c>
      <c r="Q366">
        <v>30365</v>
      </c>
      <c r="R366" t="s">
        <v>122</v>
      </c>
      <c r="S366"/>
      <c r="T366"/>
    </row>
    <row r="367" spans="1:20" ht="14.5" customHeight="1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>
        <v>0</v>
      </c>
      <c r="O367">
        <v>-17821</v>
      </c>
      <c r="P367">
        <v>-76940</v>
      </c>
      <c r="Q367">
        <v>20291</v>
      </c>
      <c r="R367" t="s">
        <v>122</v>
      </c>
      <c r="S367"/>
      <c r="T367"/>
    </row>
    <row r="368" spans="1:20" ht="14.5" customHeight="1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>
        <v>0</v>
      </c>
      <c r="O368">
        <v>0</v>
      </c>
      <c r="P368">
        <v>0</v>
      </c>
      <c r="Q368">
        <v>0</v>
      </c>
      <c r="R368" t="s">
        <v>122</v>
      </c>
      <c r="S368"/>
      <c r="T368"/>
    </row>
    <row r="369" spans="1:20" ht="14.5" customHeight="1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>
        <v>15748789.52</v>
      </c>
      <c r="O369">
        <v>-5173082.75</v>
      </c>
      <c r="P369">
        <v>-45187809.880000003</v>
      </c>
      <c r="Q369">
        <v>10074</v>
      </c>
      <c r="R369" t="s">
        <v>122</v>
      </c>
      <c r="S369"/>
      <c r="T369"/>
    </row>
    <row r="370" spans="1:20" ht="14.5" customHeight="1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>
        <v>-11573562.199999999</v>
      </c>
      <c r="O370">
        <v>207186.88</v>
      </c>
      <c r="P370">
        <v>1423259.82</v>
      </c>
      <c r="Q370">
        <v>1274417</v>
      </c>
      <c r="R370" t="s">
        <v>122</v>
      </c>
      <c r="S370"/>
      <c r="T370"/>
    </row>
    <row r="371" spans="1:20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>
        <v>2115774</v>
      </c>
      <c r="O371">
        <v>166536</v>
      </c>
      <c r="P371">
        <v>2141226</v>
      </c>
      <c r="Q371">
        <v>60889</v>
      </c>
      <c r="R371" t="s">
        <v>122</v>
      </c>
      <c r="S371"/>
      <c r="T371"/>
    </row>
    <row r="372" spans="1:20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>
        <v>0</v>
      </c>
      <c r="O372">
        <v>0</v>
      </c>
      <c r="P372">
        <v>0</v>
      </c>
      <c r="Q372">
        <v>0</v>
      </c>
      <c r="R372" t="s">
        <v>122</v>
      </c>
      <c r="S372"/>
      <c r="T372"/>
    </row>
    <row r="373" spans="1:20" ht="14.5" customHeight="1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>
        <v>-13689336.199999999</v>
      </c>
      <c r="O373">
        <v>40650.879999999997</v>
      </c>
      <c r="P373">
        <v>-717966.18</v>
      </c>
      <c r="Q373">
        <v>1213528</v>
      </c>
      <c r="R373" t="s">
        <v>122</v>
      </c>
      <c r="S373"/>
      <c r="T373"/>
    </row>
    <row r="374" spans="1:20" ht="14.5" customHeight="1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>
        <v>4605225.55</v>
      </c>
      <c r="O374">
        <v>-4923596.04</v>
      </c>
      <c r="P374">
        <v>-43400109.210000001</v>
      </c>
      <c r="Q374">
        <v>1593797</v>
      </c>
      <c r="R374" t="s">
        <v>122</v>
      </c>
      <c r="S374"/>
      <c r="T374"/>
    </row>
    <row r="375" spans="1:20" s="180" customFormat="1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 t="s">
        <v>132</v>
      </c>
      <c r="O375" t="s">
        <v>133</v>
      </c>
      <c r="P375" t="s">
        <v>134</v>
      </c>
      <c r="Q375" t="s">
        <v>126</v>
      </c>
      <c r="R375" t="s">
        <v>121</v>
      </c>
      <c r="S375"/>
      <c r="T375"/>
    </row>
    <row r="376" spans="1:20" ht="14.5" customHeight="1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>
        <v>177852600</v>
      </c>
      <c r="O376">
        <v>10090950.49</v>
      </c>
      <c r="P376">
        <v>2021799.43</v>
      </c>
      <c r="Q376">
        <v>74993736</v>
      </c>
      <c r="R376" t="s">
        <v>122</v>
      </c>
      <c r="S376"/>
      <c r="T376"/>
    </row>
    <row r="377" spans="1:20" ht="14.5" customHeight="1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>
        <v>-12320.5</v>
      </c>
      <c r="O377">
        <v>0</v>
      </c>
      <c r="P377">
        <v>0</v>
      </c>
      <c r="Q377">
        <v>0</v>
      </c>
      <c r="R377" t="s">
        <v>122</v>
      </c>
      <c r="S377"/>
      <c r="T377"/>
    </row>
    <row r="378" spans="1:20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>
        <v>177864920.5</v>
      </c>
      <c r="O378">
        <v>10090950.49</v>
      </c>
      <c r="P378">
        <v>2021799.43</v>
      </c>
      <c r="Q378">
        <v>74993736</v>
      </c>
      <c r="R378" t="s">
        <v>122</v>
      </c>
      <c r="S378"/>
      <c r="T378"/>
    </row>
    <row r="379" spans="1:20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>
        <v>142663450.68000001</v>
      </c>
      <c r="O379">
        <v>7921437.96</v>
      </c>
      <c r="P379">
        <v>-10486610.960000001</v>
      </c>
      <c r="Q379">
        <v>67674212</v>
      </c>
      <c r="R379" t="s">
        <v>122</v>
      </c>
      <c r="S379"/>
      <c r="T379"/>
    </row>
    <row r="380" spans="1:20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>
        <v>35201469.82</v>
      </c>
      <c r="O380">
        <v>2169512.5299999998</v>
      </c>
      <c r="P380">
        <v>12508410.390000001</v>
      </c>
      <c r="Q380">
        <v>7319524</v>
      </c>
      <c r="R380" t="s">
        <v>122</v>
      </c>
      <c r="S380"/>
      <c r="T380"/>
    </row>
    <row r="381" spans="1:20" ht="14.5" customHeight="1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>
        <v>7895332.96</v>
      </c>
      <c r="O381">
        <v>1123878.21</v>
      </c>
      <c r="P381">
        <v>4690601.29</v>
      </c>
      <c r="Q381">
        <v>2224129</v>
      </c>
      <c r="R381" t="s">
        <v>122</v>
      </c>
      <c r="S381"/>
      <c r="T381"/>
    </row>
    <row r="382" spans="1:20" ht="14.5" customHeight="1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>
        <v>446080.45</v>
      </c>
      <c r="O382">
        <v>171531.87</v>
      </c>
      <c r="P382">
        <v>1859593.07</v>
      </c>
      <c r="Q382">
        <v>819872</v>
      </c>
      <c r="R382" t="s">
        <v>122</v>
      </c>
      <c r="S382"/>
      <c r="T382"/>
    </row>
    <row r="383" spans="1:20" ht="14.5" customHeight="1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>
        <v>1333927.19</v>
      </c>
      <c r="O383">
        <v>294559.78000000003</v>
      </c>
      <c r="P383">
        <v>1248088.8799999999</v>
      </c>
      <c r="Q383">
        <v>176675</v>
      </c>
      <c r="R383" t="s">
        <v>122</v>
      </c>
      <c r="S383"/>
      <c r="T383"/>
    </row>
    <row r="384" spans="1:20" ht="14.5" customHeight="1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>
        <v>9675340.5999999996</v>
      </c>
      <c r="O384">
        <v>1589969.86</v>
      </c>
      <c r="P384">
        <v>7798283.2400000002</v>
      </c>
      <c r="Q384">
        <v>3220676</v>
      </c>
      <c r="R384" t="s">
        <v>122</v>
      </c>
      <c r="S384"/>
      <c r="T384"/>
    </row>
    <row r="385" spans="1:20" ht="14.5" customHeight="1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>
        <v>25526129.219999999</v>
      </c>
      <c r="O385">
        <v>579542.67000000004</v>
      </c>
      <c r="P385">
        <v>4710127.1500000004</v>
      </c>
      <c r="Q385">
        <v>4098848</v>
      </c>
      <c r="R385" t="s">
        <v>122</v>
      </c>
      <c r="S385"/>
      <c r="T385"/>
    </row>
    <row r="386" spans="1:20" ht="14.5" customHeight="1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>
        <v>3048973.49</v>
      </c>
      <c r="O386">
        <v>-215237.63</v>
      </c>
      <c r="P386">
        <v>-49968.92</v>
      </c>
      <c r="Q386">
        <v>-1858910</v>
      </c>
      <c r="R386" t="s">
        <v>122</v>
      </c>
      <c r="S386"/>
      <c r="T386"/>
    </row>
    <row r="387" spans="1:20" ht="14.5" customHeight="1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>
        <v>4832531.42</v>
      </c>
      <c r="O387">
        <v>-56226.58</v>
      </c>
      <c r="P387">
        <v>-606518.91</v>
      </c>
      <c r="Q387">
        <v>0</v>
      </c>
      <c r="R387" t="s">
        <v>122</v>
      </c>
      <c r="S387"/>
      <c r="T387"/>
    </row>
    <row r="388" spans="1:20" ht="14.5" customHeight="1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>
        <v>280830.14</v>
      </c>
      <c r="O388">
        <v>-14321.23</v>
      </c>
      <c r="P388">
        <v>59817.63</v>
      </c>
      <c r="Q388">
        <v>377670</v>
      </c>
      <c r="R388" t="s">
        <v>122</v>
      </c>
      <c r="S388"/>
      <c r="T388"/>
    </row>
    <row r="389" spans="1:20" ht="14.5" customHeight="1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>
        <v>0</v>
      </c>
      <c r="O389">
        <v>-146119</v>
      </c>
      <c r="P389">
        <v>-643794</v>
      </c>
      <c r="Q389">
        <v>163898</v>
      </c>
      <c r="R389" t="s">
        <v>122</v>
      </c>
      <c r="S389"/>
      <c r="T389"/>
    </row>
    <row r="390" spans="1:20" ht="14.5" customHeight="1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>
        <v>0</v>
      </c>
      <c r="O390">
        <v>0</v>
      </c>
      <c r="P390">
        <v>0</v>
      </c>
      <c r="Q390">
        <v>0</v>
      </c>
      <c r="R390" t="s">
        <v>122</v>
      </c>
      <c r="S390"/>
      <c r="T390"/>
    </row>
    <row r="391" spans="1:20" ht="14.5" customHeight="1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>
        <v>8162335.0499999998</v>
      </c>
      <c r="O391">
        <v>-139666.44</v>
      </c>
      <c r="P391">
        <v>47123.8</v>
      </c>
      <c r="Q391">
        <v>-1645138</v>
      </c>
      <c r="R391" t="s">
        <v>122</v>
      </c>
      <c r="S391"/>
      <c r="T391"/>
    </row>
    <row r="392" spans="1:20" ht="14.5" customHeight="1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>
        <v>17363794.170000002</v>
      </c>
      <c r="O392">
        <v>719209.11</v>
      </c>
      <c r="P392">
        <v>4663003.3499999996</v>
      </c>
      <c r="Q392">
        <v>5743986</v>
      </c>
      <c r="R392" t="s">
        <v>122</v>
      </c>
      <c r="S392"/>
      <c r="T392"/>
    </row>
    <row r="393" spans="1:20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>
        <v>1892728</v>
      </c>
      <c r="O393">
        <v>817628</v>
      </c>
      <c r="P393">
        <v>6955432</v>
      </c>
      <c r="Q393">
        <v>0</v>
      </c>
      <c r="R393" t="s">
        <v>122</v>
      </c>
      <c r="S393"/>
      <c r="T393"/>
    </row>
    <row r="394" spans="1:20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>
        <v>0</v>
      </c>
      <c r="O394">
        <v>0</v>
      </c>
      <c r="P394">
        <v>0</v>
      </c>
      <c r="Q394">
        <v>0</v>
      </c>
      <c r="R394" t="s">
        <v>122</v>
      </c>
      <c r="S394"/>
      <c r="T394"/>
    </row>
    <row r="395" spans="1:20" ht="14.5" customHeight="1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>
        <v>15471066.17</v>
      </c>
      <c r="O395">
        <v>-98418.89</v>
      </c>
      <c r="P395">
        <v>-2292428.65</v>
      </c>
      <c r="Q395">
        <v>5743986</v>
      </c>
      <c r="R395" t="s">
        <v>122</v>
      </c>
      <c r="S395"/>
      <c r="T395"/>
    </row>
    <row r="396" spans="1:20" ht="14.5" customHeight="1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>
        <v>26860056.41</v>
      </c>
      <c r="O396">
        <v>874102.45</v>
      </c>
      <c r="P396">
        <v>5958216.0300000003</v>
      </c>
      <c r="Q396">
        <v>4275523</v>
      </c>
      <c r="R396" t="s">
        <v>122</v>
      </c>
      <c r="S396"/>
      <c r="T396"/>
    </row>
    <row r="397" spans="1:20" s="180" customFormat="1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 t="s">
        <v>132</v>
      </c>
      <c r="O397" t="s">
        <v>133</v>
      </c>
      <c r="P397" t="s">
        <v>134</v>
      </c>
      <c r="Q397" t="s">
        <v>126</v>
      </c>
      <c r="R397" t="s">
        <v>121</v>
      </c>
      <c r="S397"/>
      <c r="T397"/>
    </row>
    <row r="398" spans="1:20" ht="14.5" customHeight="1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>
        <v>3455297.67</v>
      </c>
      <c r="O398">
        <v>-4506242.2300000004</v>
      </c>
      <c r="P398">
        <v>-41735854.32</v>
      </c>
      <c r="Q398">
        <v>7619072</v>
      </c>
      <c r="R398" t="s">
        <v>122</v>
      </c>
      <c r="S398"/>
      <c r="T398"/>
    </row>
    <row r="399" spans="1:20" ht="14.5" customHeight="1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>
        <v>-362977.27</v>
      </c>
      <c r="O399">
        <v>-79266.77</v>
      </c>
      <c r="P399">
        <v>-667834.53</v>
      </c>
      <c r="Q399">
        <v>0</v>
      </c>
      <c r="R399" t="s">
        <v>122</v>
      </c>
      <c r="S399"/>
      <c r="T399"/>
    </row>
    <row r="400" spans="1:20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>
        <v>3092320.4</v>
      </c>
      <c r="O400">
        <v>-4585509</v>
      </c>
      <c r="P400">
        <v>-42403688.850000001</v>
      </c>
      <c r="Q400">
        <v>7619072</v>
      </c>
      <c r="R400" t="s">
        <v>122</v>
      </c>
      <c r="S400"/>
      <c r="T400"/>
    </row>
    <row r="401" spans="1:20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>
        <v>-285091.28999999998</v>
      </c>
      <c r="O401">
        <v>-3331670.54</v>
      </c>
      <c r="P401">
        <v>-30021694.77</v>
      </c>
      <c r="Q401">
        <v>5136409</v>
      </c>
      <c r="R401" t="s">
        <v>122</v>
      </c>
      <c r="S401"/>
      <c r="T401"/>
    </row>
    <row r="402" spans="1:20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>
        <v>3377411.69</v>
      </c>
      <c r="O402">
        <v>-1253838.46</v>
      </c>
      <c r="P402">
        <v>-12381994.08</v>
      </c>
      <c r="Q402">
        <v>2482663</v>
      </c>
      <c r="R402" t="s">
        <v>122</v>
      </c>
      <c r="S402"/>
      <c r="T402"/>
    </row>
    <row r="403" spans="1:20" ht="14.5" customHeight="1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>
        <v>2008940.03</v>
      </c>
      <c r="O403">
        <v>-117175.47</v>
      </c>
      <c r="P403">
        <v>575503.89</v>
      </c>
      <c r="Q403">
        <v>1043712</v>
      </c>
      <c r="R403" t="s">
        <v>122</v>
      </c>
      <c r="S403"/>
      <c r="T403"/>
    </row>
    <row r="404" spans="1:20" ht="14.5" customHeight="1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>
        <v>0</v>
      </c>
      <c r="O404">
        <v>0</v>
      </c>
      <c r="P404">
        <v>0</v>
      </c>
      <c r="Q404">
        <v>0</v>
      </c>
      <c r="R404" t="s">
        <v>122</v>
      </c>
      <c r="S404"/>
      <c r="T404"/>
    </row>
    <row r="405" spans="1:20" ht="14.5" customHeight="1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>
        <v>2238916.9700000002</v>
      </c>
      <c r="O405">
        <v>265911.81</v>
      </c>
      <c r="P405">
        <v>2238916.9700000002</v>
      </c>
      <c r="Q405">
        <v>0</v>
      </c>
      <c r="R405" t="s">
        <v>122</v>
      </c>
      <c r="S405"/>
      <c r="T405"/>
    </row>
    <row r="406" spans="1:20" ht="14.5" customHeight="1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>
        <v>4247857</v>
      </c>
      <c r="O406">
        <v>148736.34</v>
      </c>
      <c r="P406">
        <v>2814420.86</v>
      </c>
      <c r="Q406">
        <v>1043712</v>
      </c>
      <c r="R406" t="s">
        <v>122</v>
      </c>
      <c r="S406"/>
      <c r="T406"/>
    </row>
    <row r="407" spans="1:20" ht="14.5" customHeight="1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>
        <v>-870445.31</v>
      </c>
      <c r="O407">
        <v>-1402574.8</v>
      </c>
      <c r="P407">
        <v>-15196414.939999999</v>
      </c>
      <c r="Q407">
        <v>1438951</v>
      </c>
      <c r="R407" t="s">
        <v>122</v>
      </c>
      <c r="S407"/>
      <c r="T407"/>
    </row>
    <row r="408" spans="1:20" ht="14.5" customHeight="1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>
        <v>0</v>
      </c>
      <c r="O408">
        <v>0</v>
      </c>
      <c r="P408">
        <v>0</v>
      </c>
      <c r="Q408">
        <v>0</v>
      </c>
      <c r="R408" t="s">
        <v>122</v>
      </c>
      <c r="S408"/>
      <c r="T408"/>
    </row>
    <row r="409" spans="1:20" ht="14.5" customHeight="1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>
        <v>499997.76</v>
      </c>
      <c r="O409">
        <v>-6.55</v>
      </c>
      <c r="P409">
        <v>-62.6</v>
      </c>
      <c r="Q409">
        <v>0</v>
      </c>
      <c r="R409" t="s">
        <v>122</v>
      </c>
      <c r="S409"/>
      <c r="T409"/>
    </row>
    <row r="410" spans="1:20" ht="14.5" customHeight="1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>
        <v>-14101.11</v>
      </c>
      <c r="O410">
        <v>0</v>
      </c>
      <c r="P410">
        <v>0</v>
      </c>
      <c r="Q410">
        <v>0</v>
      </c>
      <c r="R410" t="s">
        <v>122</v>
      </c>
      <c r="S410"/>
      <c r="T410"/>
    </row>
    <row r="411" spans="1:20" ht="14.5" customHeight="1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>
        <v>-87.57</v>
      </c>
      <c r="O411">
        <v>-52831.88</v>
      </c>
      <c r="P411">
        <v>-332431.88</v>
      </c>
      <c r="Q411">
        <v>53948</v>
      </c>
      <c r="R411" t="s">
        <v>122</v>
      </c>
      <c r="S411"/>
      <c r="T411"/>
    </row>
    <row r="412" spans="1:20" ht="14.5" customHeight="1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>
        <v>0</v>
      </c>
      <c r="O412">
        <v>0</v>
      </c>
      <c r="P412">
        <v>0</v>
      </c>
      <c r="Q412">
        <v>0</v>
      </c>
      <c r="R412" t="s">
        <v>122</v>
      </c>
      <c r="S412"/>
      <c r="T412"/>
    </row>
    <row r="413" spans="1:20" ht="14.5" customHeight="1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>
        <v>485984.22</v>
      </c>
      <c r="O413">
        <v>52825.33</v>
      </c>
      <c r="P413">
        <v>332369.28000000003</v>
      </c>
      <c r="Q413">
        <v>-53948</v>
      </c>
      <c r="R413" t="s">
        <v>122</v>
      </c>
      <c r="S413"/>
      <c r="T413"/>
    </row>
    <row r="414" spans="1:20" ht="14.5" customHeight="1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>
        <v>-1356429.53</v>
      </c>
      <c r="O414">
        <v>-1455400.13</v>
      </c>
      <c r="P414">
        <v>-15528784.220000001</v>
      </c>
      <c r="Q414">
        <v>1492899</v>
      </c>
      <c r="R414" t="s">
        <v>122</v>
      </c>
      <c r="S414"/>
      <c r="T414"/>
    </row>
    <row r="415" spans="1:20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>
        <v>127943</v>
      </c>
      <c r="O415">
        <v>34199</v>
      </c>
      <c r="P415">
        <v>127943</v>
      </c>
      <c r="Q415">
        <v>0</v>
      </c>
      <c r="R415" t="s">
        <v>122</v>
      </c>
      <c r="S415"/>
      <c r="T415"/>
    </row>
    <row r="416" spans="1:20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>
        <v>0</v>
      </c>
      <c r="O416">
        <v>0</v>
      </c>
      <c r="P416">
        <v>0</v>
      </c>
      <c r="Q416">
        <v>0</v>
      </c>
      <c r="R416" t="s">
        <v>122</v>
      </c>
      <c r="S416"/>
      <c r="T416"/>
    </row>
    <row r="417" spans="1:20" ht="14.5" customHeight="1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>
        <v>-1484372.53</v>
      </c>
      <c r="O417">
        <v>-1489599.13</v>
      </c>
      <c r="P417">
        <v>-15656727.220000001</v>
      </c>
      <c r="Q417">
        <v>1492899</v>
      </c>
      <c r="R417" t="s">
        <v>122</v>
      </c>
      <c r="S417"/>
      <c r="T417"/>
    </row>
    <row r="418" spans="1:20" ht="14.5" customHeight="1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>
        <v>1368471.66</v>
      </c>
      <c r="O418">
        <v>-1136662.99</v>
      </c>
      <c r="P418">
        <v>-12957497.970000001</v>
      </c>
      <c r="Q418">
        <v>1438951</v>
      </c>
      <c r="R418" t="s">
        <v>122</v>
      </c>
      <c r="S418"/>
      <c r="T418"/>
    </row>
    <row r="419" spans="1:20" s="181" customFormat="1" x14ac:dyDescent="0.3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 t="s">
        <v>132</v>
      </c>
      <c r="O419" t="s">
        <v>133</v>
      </c>
      <c r="P419" t="s">
        <v>134</v>
      </c>
      <c r="Q419" t="s">
        <v>126</v>
      </c>
      <c r="R419" t="s">
        <v>127</v>
      </c>
      <c r="S419" t="s">
        <v>135</v>
      </c>
      <c r="T419" t="s">
        <v>121</v>
      </c>
    </row>
    <row r="420" spans="1:20" ht="14.5" customHeight="1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>
        <v>2112478.59</v>
      </c>
      <c r="O420">
        <v>827382.26</v>
      </c>
      <c r="P420">
        <v>-2599904.4500000002</v>
      </c>
      <c r="Q420">
        <v>891582</v>
      </c>
      <c r="R420">
        <v>844976.24</v>
      </c>
      <c r="S420">
        <v>0</v>
      </c>
      <c r="T420" t="s">
        <v>122</v>
      </c>
    </row>
    <row r="421" spans="1:20" ht="14.5" customHeight="1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 t="s">
        <v>122</v>
      </c>
    </row>
    <row r="422" spans="1:20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>
        <v>2112478.59</v>
      </c>
      <c r="O422">
        <v>827382.26</v>
      </c>
      <c r="P422">
        <v>-2599904.4500000002</v>
      </c>
      <c r="Q422">
        <v>891582</v>
      </c>
      <c r="R422">
        <v>844976.24</v>
      </c>
      <c r="S422">
        <v>0</v>
      </c>
      <c r="T422" t="s">
        <v>122</v>
      </c>
    </row>
    <row r="423" spans="1:20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>
        <v>1751762.07</v>
      </c>
      <c r="O423">
        <v>461536.47</v>
      </c>
      <c r="P423">
        <v>-1982999.45</v>
      </c>
      <c r="Q423">
        <v>586000</v>
      </c>
      <c r="R423">
        <v>395671.19</v>
      </c>
      <c r="S423">
        <v>0</v>
      </c>
      <c r="T423" t="s">
        <v>122</v>
      </c>
    </row>
    <row r="424" spans="1:20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>
        <v>360716.52</v>
      </c>
      <c r="O424">
        <v>365845.79</v>
      </c>
      <c r="P424">
        <v>-616905</v>
      </c>
      <c r="Q424">
        <v>305582</v>
      </c>
      <c r="R424">
        <v>449305.05</v>
      </c>
      <c r="S424">
        <v>0</v>
      </c>
      <c r="T424" t="s">
        <v>122</v>
      </c>
    </row>
    <row r="425" spans="1:20" ht="14.5" customHeight="1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 t="s">
        <v>122</v>
      </c>
    </row>
    <row r="426" spans="1:20" ht="14.5" customHeight="1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>
        <v>158756.85</v>
      </c>
      <c r="O426">
        <v>14237.5</v>
      </c>
      <c r="P426">
        <v>64658.59</v>
      </c>
      <c r="Q426">
        <v>118550</v>
      </c>
      <c r="R426">
        <v>141224.03</v>
      </c>
      <c r="S426">
        <v>0</v>
      </c>
      <c r="T426" t="s">
        <v>122</v>
      </c>
    </row>
    <row r="427" spans="1:20" ht="14.5" customHeight="1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>
        <v>27082.37</v>
      </c>
      <c r="O427">
        <v>523.91</v>
      </c>
      <c r="P427">
        <v>1332.99</v>
      </c>
      <c r="Q427">
        <v>24300</v>
      </c>
      <c r="R427">
        <v>24089.15</v>
      </c>
      <c r="S427">
        <v>0</v>
      </c>
      <c r="T427" t="s">
        <v>122</v>
      </c>
    </row>
    <row r="428" spans="1:20" ht="14.5" customHeight="1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>
        <v>185839.22</v>
      </c>
      <c r="O428">
        <v>14761.41</v>
      </c>
      <c r="P428">
        <v>65991.58</v>
      </c>
      <c r="Q428">
        <v>142850</v>
      </c>
      <c r="R428">
        <v>165313.18</v>
      </c>
      <c r="S428">
        <v>0</v>
      </c>
      <c r="T428" t="s">
        <v>122</v>
      </c>
    </row>
    <row r="429" spans="1:20" ht="14.5" customHeight="1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>
        <v>174877.3</v>
      </c>
      <c r="O429">
        <v>351084.38</v>
      </c>
      <c r="P429">
        <v>-682896.58</v>
      </c>
      <c r="Q429">
        <v>162732</v>
      </c>
      <c r="R429">
        <v>283991.87</v>
      </c>
      <c r="S429">
        <v>0</v>
      </c>
      <c r="T429" t="s">
        <v>122</v>
      </c>
    </row>
    <row r="430" spans="1:20" ht="14.5" customHeight="1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>
        <v>224215.45</v>
      </c>
      <c r="O430">
        <v>52638</v>
      </c>
      <c r="P430">
        <v>-78911.45</v>
      </c>
      <c r="Q430">
        <v>-78674</v>
      </c>
      <c r="R430">
        <v>345435.97</v>
      </c>
      <c r="S430">
        <v>0</v>
      </c>
      <c r="T430" t="s">
        <v>122</v>
      </c>
    </row>
    <row r="431" spans="1:20" ht="14.5" customHeight="1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>
        <v>0</v>
      </c>
      <c r="O431">
        <v>20261</v>
      </c>
      <c r="P431">
        <v>-198090</v>
      </c>
      <c r="Q431">
        <v>-46283</v>
      </c>
      <c r="R431">
        <v>0</v>
      </c>
      <c r="S431">
        <v>0</v>
      </c>
      <c r="T431" t="s">
        <v>122</v>
      </c>
    </row>
    <row r="432" spans="1:20" ht="14.5" customHeight="1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>
        <v>-183529.49</v>
      </c>
      <c r="O432">
        <v>21993.98</v>
      </c>
      <c r="P432">
        <v>-57885.42</v>
      </c>
      <c r="Q432">
        <v>-46283</v>
      </c>
      <c r="R432">
        <v>33051.370000000003</v>
      </c>
      <c r="S432">
        <v>0</v>
      </c>
      <c r="T432" t="s">
        <v>122</v>
      </c>
    </row>
    <row r="433" spans="1:20" ht="14.5" customHeight="1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>
        <v>0</v>
      </c>
      <c r="O433">
        <v>-15337</v>
      </c>
      <c r="P433">
        <v>-68603</v>
      </c>
      <c r="Q433">
        <v>19837</v>
      </c>
      <c r="R433">
        <v>0</v>
      </c>
      <c r="S433">
        <v>0</v>
      </c>
      <c r="T433" t="s">
        <v>122</v>
      </c>
    </row>
    <row r="434" spans="1:20" ht="14.5" customHeight="1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 t="s">
        <v>122</v>
      </c>
    </row>
    <row r="435" spans="1:20" ht="14.5" customHeight="1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>
        <v>40685.96</v>
      </c>
      <c r="O435">
        <v>110229.98</v>
      </c>
      <c r="P435">
        <v>-266283.87</v>
      </c>
      <c r="Q435">
        <v>-191077</v>
      </c>
      <c r="R435">
        <v>378487.34</v>
      </c>
      <c r="S435">
        <v>0</v>
      </c>
      <c r="T435" t="s">
        <v>122</v>
      </c>
    </row>
    <row r="436" spans="1:20" ht="14.5" customHeight="1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>
        <v>134191.34</v>
      </c>
      <c r="O436">
        <v>240854.39999999999</v>
      </c>
      <c r="P436">
        <v>-416612.71</v>
      </c>
      <c r="Q436">
        <v>353809</v>
      </c>
      <c r="R436">
        <v>-94495.47</v>
      </c>
      <c r="S436">
        <v>0</v>
      </c>
      <c r="T436" t="s">
        <v>122</v>
      </c>
    </row>
    <row r="437" spans="1:20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>
        <v>0</v>
      </c>
      <c r="O437">
        <v>-2392</v>
      </c>
      <c r="P437">
        <v>-33454</v>
      </c>
      <c r="Q437">
        <v>1783</v>
      </c>
      <c r="R437">
        <v>0</v>
      </c>
      <c r="S437">
        <v>0</v>
      </c>
      <c r="T437" t="s">
        <v>122</v>
      </c>
    </row>
    <row r="438" spans="1:20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 t="s">
        <v>122</v>
      </c>
    </row>
    <row r="439" spans="1:20" ht="14.5" customHeight="1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>
        <v>134191.34</v>
      </c>
      <c r="O439">
        <v>243246.4</v>
      </c>
      <c r="P439">
        <v>-383158.71</v>
      </c>
      <c r="Q439">
        <v>352026</v>
      </c>
      <c r="R439">
        <v>-94495.47</v>
      </c>
      <c r="S439">
        <v>0</v>
      </c>
      <c r="T439" t="s">
        <v>122</v>
      </c>
    </row>
    <row r="440" spans="1:20" ht="14.5" customHeight="1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>
        <v>201959.67</v>
      </c>
      <c r="O440">
        <v>351608.29</v>
      </c>
      <c r="P440">
        <v>-681563.59</v>
      </c>
      <c r="Q440">
        <v>187032</v>
      </c>
      <c r="R440">
        <v>308081.02</v>
      </c>
      <c r="S440">
        <v>0</v>
      </c>
      <c r="T440" t="s">
        <v>122</v>
      </c>
    </row>
    <row r="441" spans="1:20" s="181" customFormat="1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 t="s">
        <v>132</v>
      </c>
      <c r="O441" t="s">
        <v>133</v>
      </c>
      <c r="P441" t="s">
        <v>134</v>
      </c>
      <c r="Q441" t="s">
        <v>126</v>
      </c>
      <c r="R441" t="s">
        <v>127</v>
      </c>
      <c r="S441" t="s">
        <v>135</v>
      </c>
      <c r="T441" t="s">
        <v>121</v>
      </c>
    </row>
    <row r="442" spans="1:20" ht="14.5" customHeight="1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>
        <v>20139370.609999999</v>
      </c>
      <c r="O442">
        <v>3600389.7</v>
      </c>
      <c r="P442">
        <v>11348842.210000001</v>
      </c>
      <c r="Q442">
        <v>890312</v>
      </c>
      <c r="R442">
        <v>3789035.91</v>
      </c>
      <c r="S442">
        <v>0</v>
      </c>
      <c r="T442" t="s">
        <v>122</v>
      </c>
    </row>
    <row r="443" spans="1:20" ht="14.5" customHeight="1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>
        <v>-2763237.06</v>
      </c>
      <c r="O443">
        <v>-437500</v>
      </c>
      <c r="P443">
        <v>-4147994.43</v>
      </c>
      <c r="Q443">
        <v>0</v>
      </c>
      <c r="R443">
        <v>0</v>
      </c>
      <c r="S443">
        <v>0</v>
      </c>
      <c r="T443" t="s">
        <v>122</v>
      </c>
    </row>
    <row r="444" spans="1:20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>
        <v>17376133.550000001</v>
      </c>
      <c r="O444">
        <v>3162889.7</v>
      </c>
      <c r="P444">
        <v>7200847.7800000003</v>
      </c>
      <c r="Q444">
        <v>890312</v>
      </c>
      <c r="R444">
        <v>3789035.91</v>
      </c>
      <c r="S444">
        <v>0</v>
      </c>
      <c r="T444" t="s">
        <v>122</v>
      </c>
    </row>
    <row r="445" spans="1:20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>
        <v>9304905.5299999993</v>
      </c>
      <c r="O445">
        <v>1513620.37</v>
      </c>
      <c r="P445">
        <v>4003134.77</v>
      </c>
      <c r="Q445">
        <v>404688</v>
      </c>
      <c r="R445">
        <v>1610309.88</v>
      </c>
      <c r="S445">
        <v>0</v>
      </c>
      <c r="T445" t="s">
        <v>122</v>
      </c>
    </row>
    <row r="446" spans="1:20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>
        <v>8071228.0199999996</v>
      </c>
      <c r="O446">
        <v>1649269.33</v>
      </c>
      <c r="P446">
        <v>3197713.01</v>
      </c>
      <c r="Q446">
        <v>485624</v>
      </c>
      <c r="R446">
        <v>2178726.0299999998</v>
      </c>
      <c r="S446">
        <v>0</v>
      </c>
      <c r="T446" t="s">
        <v>122</v>
      </c>
    </row>
    <row r="447" spans="1:20" ht="14.5" customHeight="1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>
        <v>700132.46</v>
      </c>
      <c r="O447">
        <v>152048.67000000001</v>
      </c>
      <c r="P447">
        <v>377841.62</v>
      </c>
      <c r="Q447">
        <v>62814</v>
      </c>
      <c r="R447">
        <v>192271.66</v>
      </c>
      <c r="S447">
        <v>0</v>
      </c>
      <c r="T447" t="s">
        <v>122</v>
      </c>
    </row>
    <row r="448" spans="1:20" ht="14.5" customHeight="1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>
        <v>-1070492.1100000001</v>
      </c>
      <c r="O448">
        <v>-6324.9</v>
      </c>
      <c r="P448">
        <v>64788.74</v>
      </c>
      <c r="Q448">
        <v>135000</v>
      </c>
      <c r="R448">
        <v>141922.01</v>
      </c>
      <c r="S448">
        <v>0</v>
      </c>
      <c r="T448" t="s">
        <v>122</v>
      </c>
    </row>
    <row r="449" spans="1:20" ht="14.5" customHeight="1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>
        <v>17590.2</v>
      </c>
      <c r="O449">
        <v>-3625</v>
      </c>
      <c r="P449">
        <v>-5810.88</v>
      </c>
      <c r="Q449">
        <v>3625</v>
      </c>
      <c r="R449">
        <v>1152.99</v>
      </c>
      <c r="S449">
        <v>0</v>
      </c>
      <c r="T449" t="s">
        <v>122</v>
      </c>
    </row>
    <row r="450" spans="1:20" ht="14.5" customHeight="1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>
        <v>-352769.45</v>
      </c>
      <c r="O450">
        <v>142098.76999999999</v>
      </c>
      <c r="P450">
        <v>436819.48</v>
      </c>
      <c r="Q450">
        <v>201439</v>
      </c>
      <c r="R450">
        <v>335346.65999999997</v>
      </c>
      <c r="S450">
        <v>0</v>
      </c>
      <c r="T450" t="s">
        <v>122</v>
      </c>
    </row>
    <row r="451" spans="1:20" ht="14.5" customHeight="1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>
        <v>8423997.4700000007</v>
      </c>
      <c r="O451">
        <v>1507170.56</v>
      </c>
      <c r="P451">
        <v>2760893.53</v>
      </c>
      <c r="Q451">
        <v>284185</v>
      </c>
      <c r="R451">
        <v>1843379.37</v>
      </c>
      <c r="S451">
        <v>0</v>
      </c>
      <c r="T451" t="s">
        <v>122</v>
      </c>
    </row>
    <row r="452" spans="1:20" ht="14.5" customHeight="1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>
        <v>303055.87</v>
      </c>
      <c r="O452">
        <v>147610.25</v>
      </c>
      <c r="P452">
        <v>567368.68000000005</v>
      </c>
      <c r="Q452">
        <v>-93000</v>
      </c>
      <c r="R452">
        <v>-146237.45000000001</v>
      </c>
      <c r="S452">
        <v>0</v>
      </c>
      <c r="T452" t="s">
        <v>122</v>
      </c>
    </row>
    <row r="453" spans="1:20" ht="14.5" customHeight="1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 t="s">
        <v>122</v>
      </c>
    </row>
    <row r="454" spans="1:20" ht="14.5" customHeight="1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>
        <v>192.62</v>
      </c>
      <c r="O454">
        <v>-284.45999999999998</v>
      </c>
      <c r="P454">
        <v>-10497.1</v>
      </c>
      <c r="Q454">
        <v>3000</v>
      </c>
      <c r="R454">
        <v>1397.8</v>
      </c>
      <c r="S454">
        <v>0</v>
      </c>
      <c r="T454" t="s">
        <v>122</v>
      </c>
    </row>
    <row r="455" spans="1:20" ht="14.5" customHeight="1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>
        <v>992224.85</v>
      </c>
      <c r="O455">
        <v>259583.39</v>
      </c>
      <c r="P455">
        <v>1508746.6</v>
      </c>
      <c r="Q455">
        <v>250000</v>
      </c>
      <c r="R455">
        <v>324372.98</v>
      </c>
      <c r="S455">
        <v>0</v>
      </c>
      <c r="T455" t="s">
        <v>122</v>
      </c>
    </row>
    <row r="456" spans="1:20" ht="14.5" customHeight="1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122</v>
      </c>
    </row>
    <row r="457" spans="1:20" ht="14.5" customHeight="1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>
        <v>-688976.36</v>
      </c>
      <c r="O457">
        <v>-112257.60000000001</v>
      </c>
      <c r="P457">
        <v>-951875.02</v>
      </c>
      <c r="Q457">
        <v>-340000</v>
      </c>
      <c r="R457">
        <v>-469212.63</v>
      </c>
      <c r="S457">
        <v>0</v>
      </c>
      <c r="T457" t="s">
        <v>122</v>
      </c>
    </row>
    <row r="458" spans="1:20" ht="14.5" customHeight="1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>
        <v>9112973.8300000001</v>
      </c>
      <c r="O458">
        <v>1619428.16</v>
      </c>
      <c r="P458">
        <v>3712768.55</v>
      </c>
      <c r="Q458">
        <v>624185</v>
      </c>
      <c r="R458">
        <v>2312592</v>
      </c>
      <c r="S458">
        <v>0</v>
      </c>
      <c r="T458" t="s">
        <v>122</v>
      </c>
    </row>
    <row r="459" spans="1:20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>
        <v>0</v>
      </c>
      <c r="O459">
        <v>-56099</v>
      </c>
      <c r="P459">
        <v>-635180</v>
      </c>
      <c r="Q459">
        <v>26709</v>
      </c>
      <c r="R459">
        <v>0</v>
      </c>
      <c r="S459">
        <v>0</v>
      </c>
      <c r="T459" t="s">
        <v>122</v>
      </c>
    </row>
    <row r="460" spans="1:20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122</v>
      </c>
    </row>
    <row r="461" spans="1:20" ht="14.5" customHeight="1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>
        <v>9112973.8300000001</v>
      </c>
      <c r="O461">
        <v>1675527.16</v>
      </c>
      <c r="P461">
        <v>4347948.55</v>
      </c>
      <c r="Q461">
        <v>597476</v>
      </c>
      <c r="R461">
        <v>2312592</v>
      </c>
      <c r="S461">
        <v>0</v>
      </c>
      <c r="T461" t="s">
        <v>122</v>
      </c>
    </row>
    <row r="462" spans="1:20" ht="14.5" customHeight="1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>
        <v>8441587.6699999999</v>
      </c>
      <c r="O462">
        <v>1503545.56</v>
      </c>
      <c r="P462">
        <v>2755082.65</v>
      </c>
      <c r="Q462">
        <v>287810</v>
      </c>
      <c r="R462">
        <v>1844532.36</v>
      </c>
      <c r="S462">
        <v>0</v>
      </c>
      <c r="T462" t="s">
        <v>122</v>
      </c>
    </row>
    <row r="463" spans="1:20" s="182" customFormat="1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 t="s">
        <v>132</v>
      </c>
      <c r="O463" t="s">
        <v>133</v>
      </c>
      <c r="P463" t="s">
        <v>134</v>
      </c>
      <c r="Q463" t="s">
        <v>121</v>
      </c>
      <c r="R463"/>
      <c r="S463"/>
      <c r="T463"/>
    </row>
    <row r="464" spans="1:20" ht="14.5" customHeight="1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>
        <v>-89908.05</v>
      </c>
      <c r="O464">
        <v>-31466.959999999999</v>
      </c>
      <c r="P464">
        <v>-119925.8</v>
      </c>
      <c r="Q464" t="s">
        <v>122</v>
      </c>
      <c r="R464"/>
      <c r="S464"/>
      <c r="T464"/>
    </row>
    <row r="465" spans="1:20" ht="14.5" customHeight="1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>
        <v>-34090.839999999997</v>
      </c>
      <c r="O465">
        <v>684.79</v>
      </c>
      <c r="P465">
        <v>29421.24</v>
      </c>
      <c r="Q465" t="s">
        <v>122</v>
      </c>
      <c r="R465"/>
      <c r="S465"/>
      <c r="T465"/>
    </row>
    <row r="466" spans="1:20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>
        <v>-55817.21</v>
      </c>
      <c r="O466">
        <v>-32151.75</v>
      </c>
      <c r="P466">
        <v>-149347.04</v>
      </c>
      <c r="Q466" t="s">
        <v>122</v>
      </c>
      <c r="R466"/>
      <c r="S466"/>
      <c r="T466"/>
    </row>
    <row r="467" spans="1:20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>
        <v>-76506.12</v>
      </c>
      <c r="O467">
        <v>-18112.97</v>
      </c>
      <c r="P467">
        <v>-109166.79</v>
      </c>
      <c r="Q467" t="s">
        <v>122</v>
      </c>
      <c r="R467"/>
      <c r="S467"/>
      <c r="T467"/>
    </row>
    <row r="468" spans="1:20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>
        <v>0</v>
      </c>
      <c r="O468">
        <v>0</v>
      </c>
      <c r="P468">
        <v>0</v>
      </c>
      <c r="Q468" t="s">
        <v>122</v>
      </c>
      <c r="R468"/>
      <c r="S468"/>
      <c r="T468"/>
    </row>
    <row r="469" spans="1:20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>
        <v>20688.91</v>
      </c>
      <c r="O469">
        <v>-14038.78</v>
      </c>
      <c r="P469">
        <v>-40180.25</v>
      </c>
      <c r="Q469" t="s">
        <v>122</v>
      </c>
      <c r="R469"/>
      <c r="S469"/>
      <c r="T469"/>
    </row>
    <row r="470" spans="1:20" ht="14.5" customHeight="1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>
        <v>-92870.56</v>
      </c>
      <c r="O470">
        <v>-15242.08</v>
      </c>
      <c r="P470">
        <v>-129051.91</v>
      </c>
      <c r="Q470" t="s">
        <v>122</v>
      </c>
      <c r="R470"/>
      <c r="S470"/>
      <c r="T470"/>
    </row>
    <row r="471" spans="1:20" ht="14.5" customHeight="1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>
        <v>-29410.06</v>
      </c>
      <c r="O471">
        <v>-1132.02</v>
      </c>
      <c r="P471">
        <v>-20242.830000000002</v>
      </c>
      <c r="Q471" t="s">
        <v>122</v>
      </c>
      <c r="R471"/>
      <c r="S471"/>
      <c r="T471"/>
    </row>
    <row r="472" spans="1:20" ht="14.5" customHeight="1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>
        <v>-464.23</v>
      </c>
      <c r="O472">
        <v>1960.67</v>
      </c>
      <c r="P472">
        <v>16305.65</v>
      </c>
      <c r="Q472" t="s">
        <v>122</v>
      </c>
      <c r="R472"/>
      <c r="S472"/>
      <c r="T472"/>
    </row>
    <row r="473" spans="1:20" ht="14.5" customHeight="1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>
        <v>-122744.85</v>
      </c>
      <c r="O473">
        <v>-14413.43</v>
      </c>
      <c r="P473">
        <v>-132989.09</v>
      </c>
      <c r="Q473" t="s">
        <v>122</v>
      </c>
      <c r="R473"/>
      <c r="S473"/>
      <c r="T473"/>
    </row>
    <row r="474" spans="1:20" ht="14.5" customHeight="1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>
        <v>143433.76</v>
      </c>
      <c r="O474">
        <v>374.65</v>
      </c>
      <c r="P474">
        <v>92808.84</v>
      </c>
      <c r="Q474" t="s">
        <v>122</v>
      </c>
      <c r="R474"/>
      <c r="S474"/>
      <c r="T474"/>
    </row>
    <row r="475" spans="1:20" ht="14.5" customHeight="1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>
        <v>0</v>
      </c>
      <c r="O475">
        <v>0</v>
      </c>
      <c r="P475">
        <v>0</v>
      </c>
      <c r="Q475" t="s">
        <v>122</v>
      </c>
      <c r="R475"/>
      <c r="S475"/>
      <c r="T475"/>
    </row>
    <row r="476" spans="1:20" ht="14.5" customHeight="1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>
        <v>-3164.58</v>
      </c>
      <c r="O476">
        <v>-1597.22</v>
      </c>
      <c r="P476">
        <v>-4614.97</v>
      </c>
      <c r="Q476" t="s">
        <v>122</v>
      </c>
      <c r="R476"/>
      <c r="S476"/>
      <c r="T476"/>
    </row>
    <row r="477" spans="1:20" ht="14.5" customHeight="1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>
        <v>-10029.56</v>
      </c>
      <c r="O477">
        <v>0</v>
      </c>
      <c r="P477">
        <v>-315.33</v>
      </c>
      <c r="Q477" t="s">
        <v>122</v>
      </c>
      <c r="R477"/>
      <c r="S477"/>
      <c r="T477"/>
    </row>
    <row r="478" spans="1:20" ht="14.5" customHeight="1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>
        <v>0</v>
      </c>
      <c r="O478">
        <v>0</v>
      </c>
      <c r="P478">
        <v>0</v>
      </c>
      <c r="Q478" t="s">
        <v>122</v>
      </c>
      <c r="R478"/>
      <c r="S478"/>
      <c r="T478"/>
    </row>
    <row r="479" spans="1:20" ht="14.5" customHeight="1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>
        <v>0</v>
      </c>
      <c r="O479">
        <v>0</v>
      </c>
      <c r="P479">
        <v>0</v>
      </c>
      <c r="Q479" t="s">
        <v>122</v>
      </c>
      <c r="R479"/>
      <c r="S479"/>
      <c r="T479"/>
    </row>
    <row r="480" spans="1:20" ht="14.5" customHeight="1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>
        <v>-13194.14</v>
      </c>
      <c r="O480">
        <v>-1597.22</v>
      </c>
      <c r="P480">
        <v>-4930.3</v>
      </c>
      <c r="Q480" t="s">
        <v>122</v>
      </c>
      <c r="R480"/>
      <c r="S480"/>
      <c r="T480"/>
    </row>
    <row r="481" spans="1:20" ht="14.5" customHeight="1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>
        <v>156627.9</v>
      </c>
      <c r="O481">
        <v>1971.87</v>
      </c>
      <c r="P481">
        <v>97739.14</v>
      </c>
      <c r="Q481" t="s">
        <v>122</v>
      </c>
      <c r="R481"/>
      <c r="S481"/>
      <c r="T481"/>
    </row>
    <row r="482" spans="1:20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>
        <v>0</v>
      </c>
      <c r="O482">
        <v>0</v>
      </c>
      <c r="P482">
        <v>0</v>
      </c>
      <c r="Q482" t="s">
        <v>122</v>
      </c>
      <c r="R482"/>
      <c r="S482"/>
      <c r="T482"/>
    </row>
    <row r="483" spans="1:20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>
        <v>0</v>
      </c>
      <c r="O483">
        <v>0</v>
      </c>
      <c r="P483">
        <v>0</v>
      </c>
      <c r="Q483" t="s">
        <v>122</v>
      </c>
      <c r="R483"/>
      <c r="S483"/>
      <c r="T483"/>
    </row>
    <row r="484" spans="1:20" ht="14.5" customHeight="1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>
        <v>156627.9</v>
      </c>
      <c r="O484">
        <v>1971.87</v>
      </c>
      <c r="P484">
        <v>97739.14</v>
      </c>
      <c r="Q484" t="s">
        <v>122</v>
      </c>
      <c r="R484"/>
      <c r="S484"/>
      <c r="T484"/>
    </row>
    <row r="485" spans="1:20" ht="14.5" customHeight="1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>
        <v>142969.53</v>
      </c>
      <c r="O485">
        <v>2335.3200000000002</v>
      </c>
      <c r="P485">
        <v>109114.49</v>
      </c>
      <c r="Q485" t="s">
        <v>122</v>
      </c>
      <c r="R485"/>
      <c r="S485"/>
      <c r="T485"/>
    </row>
    <row r="486" spans="1:20" s="182" customFormat="1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 t="s">
        <v>132</v>
      </c>
      <c r="O486" t="s">
        <v>133</v>
      </c>
      <c r="P486" t="s">
        <v>134</v>
      </c>
      <c r="Q486" t="s">
        <v>121</v>
      </c>
      <c r="R486"/>
      <c r="S486"/>
      <c r="T486"/>
    </row>
    <row r="487" spans="1:20" ht="14.5" customHeight="1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>
        <v>-244344.63</v>
      </c>
      <c r="O487">
        <v>-19275.669999999998</v>
      </c>
      <c r="P487">
        <v>-461930.88</v>
      </c>
      <c r="Q487" t="s">
        <v>122</v>
      </c>
      <c r="R487"/>
      <c r="S487"/>
      <c r="T487"/>
    </row>
    <row r="488" spans="1:20" ht="14.5" customHeight="1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>
        <v>-82212.03</v>
      </c>
      <c r="O488">
        <v>699.98</v>
      </c>
      <c r="P488">
        <v>10299.17</v>
      </c>
      <c r="Q488" t="s">
        <v>122</v>
      </c>
      <c r="R488"/>
      <c r="S488"/>
      <c r="T488"/>
    </row>
    <row r="489" spans="1:20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>
        <v>-162132.6</v>
      </c>
      <c r="O489">
        <v>-19975.650000000001</v>
      </c>
      <c r="P489">
        <v>-472230.05</v>
      </c>
      <c r="Q489" t="s">
        <v>122</v>
      </c>
      <c r="R489"/>
      <c r="S489"/>
      <c r="T489"/>
    </row>
    <row r="490" spans="1:20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>
        <v>-172367.07</v>
      </c>
      <c r="O490">
        <v>-35047.26</v>
      </c>
      <c r="P490">
        <v>-286546.67</v>
      </c>
      <c r="Q490" t="s">
        <v>122</v>
      </c>
      <c r="R490"/>
      <c r="S490"/>
      <c r="T490"/>
    </row>
    <row r="491" spans="1:20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>
        <v>0</v>
      </c>
      <c r="O491">
        <v>0</v>
      </c>
      <c r="P491">
        <v>0</v>
      </c>
      <c r="Q491" t="s">
        <v>122</v>
      </c>
      <c r="R491"/>
      <c r="S491"/>
      <c r="T491"/>
    </row>
    <row r="492" spans="1:20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>
        <v>10234.469999999999</v>
      </c>
      <c r="O492">
        <v>15071.61</v>
      </c>
      <c r="P492">
        <v>-185683.38</v>
      </c>
      <c r="Q492" t="s">
        <v>122</v>
      </c>
      <c r="R492"/>
      <c r="S492"/>
      <c r="T492"/>
    </row>
    <row r="493" spans="1:20" ht="14.5" customHeight="1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>
        <v>30861.31</v>
      </c>
      <c r="O493">
        <v>12700.42</v>
      </c>
      <c r="P493">
        <v>-102934.36</v>
      </c>
      <c r="Q493" t="s">
        <v>122</v>
      </c>
      <c r="R493"/>
      <c r="S493"/>
      <c r="T493"/>
    </row>
    <row r="494" spans="1:20" ht="14.5" customHeight="1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>
        <v>-60660.31</v>
      </c>
      <c r="O494">
        <v>-1154.72</v>
      </c>
      <c r="P494">
        <v>-60699.15</v>
      </c>
      <c r="Q494" t="s">
        <v>122</v>
      </c>
      <c r="R494"/>
      <c r="S494"/>
      <c r="T494"/>
    </row>
    <row r="495" spans="1:20" ht="14.5" customHeight="1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>
        <v>3976.32</v>
      </c>
      <c r="O495">
        <v>1241.95</v>
      </c>
      <c r="P495">
        <v>3978.21</v>
      </c>
      <c r="Q495" t="s">
        <v>122</v>
      </c>
      <c r="R495"/>
      <c r="S495"/>
      <c r="T495"/>
    </row>
    <row r="496" spans="1:20" ht="14.5" customHeight="1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>
        <v>-25822.68</v>
      </c>
      <c r="O496">
        <v>12787.65</v>
      </c>
      <c r="P496">
        <v>-159655.29999999999</v>
      </c>
      <c r="Q496" t="s">
        <v>122</v>
      </c>
      <c r="R496"/>
      <c r="S496"/>
      <c r="T496"/>
    </row>
    <row r="497" spans="1:20" ht="14.5" customHeight="1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>
        <v>36057.15</v>
      </c>
      <c r="O497">
        <v>2283.96</v>
      </c>
      <c r="P497">
        <v>-26028.080000000002</v>
      </c>
      <c r="Q497" t="s">
        <v>122</v>
      </c>
      <c r="R497"/>
      <c r="S497"/>
      <c r="T497"/>
    </row>
    <row r="498" spans="1:20" ht="14.5" customHeight="1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>
        <v>0</v>
      </c>
      <c r="O498">
        <v>0</v>
      </c>
      <c r="P498">
        <v>0</v>
      </c>
      <c r="Q498" t="s">
        <v>122</v>
      </c>
      <c r="R498"/>
      <c r="S498"/>
      <c r="T498"/>
    </row>
    <row r="499" spans="1:20" ht="14.5" customHeight="1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>
        <v>-119314.95</v>
      </c>
      <c r="O499">
        <v>-73605.27</v>
      </c>
      <c r="P499">
        <v>518.65</v>
      </c>
      <c r="Q499" t="s">
        <v>122</v>
      </c>
      <c r="R499"/>
      <c r="S499"/>
      <c r="T499"/>
    </row>
    <row r="500" spans="1:20" ht="14.5" customHeight="1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>
        <v>-7293.47</v>
      </c>
      <c r="O500">
        <v>-12122</v>
      </c>
      <c r="P500">
        <v>-10964.19</v>
      </c>
      <c r="Q500" t="s">
        <v>122</v>
      </c>
      <c r="R500"/>
      <c r="S500"/>
      <c r="T500"/>
    </row>
    <row r="501" spans="1:20" ht="14.5" customHeight="1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>
        <v>0</v>
      </c>
      <c r="O501">
        <v>0</v>
      </c>
      <c r="P501">
        <v>0</v>
      </c>
      <c r="Q501" t="s">
        <v>122</v>
      </c>
      <c r="R501"/>
      <c r="S501"/>
      <c r="T501"/>
    </row>
    <row r="502" spans="1:20" ht="14.5" customHeight="1" x14ac:dyDescent="0.3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>
        <v>0</v>
      </c>
      <c r="O502">
        <v>0</v>
      </c>
      <c r="P502">
        <v>0</v>
      </c>
      <c r="Q502" t="s">
        <v>122</v>
      </c>
      <c r="R502"/>
      <c r="S502"/>
      <c r="T502"/>
    </row>
    <row r="503" spans="1:20" ht="14.5" customHeight="1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>
        <v>-126608.42</v>
      </c>
      <c r="O503">
        <v>-85727.27</v>
      </c>
      <c r="P503">
        <v>-10445.540000000001</v>
      </c>
      <c r="Q503" t="s">
        <v>122</v>
      </c>
      <c r="R503"/>
      <c r="S503"/>
      <c r="T503"/>
    </row>
    <row r="504" spans="1:20" ht="14.5" customHeight="1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>
        <v>162665.57</v>
      </c>
      <c r="O504">
        <v>88011.23</v>
      </c>
      <c r="P504">
        <v>-15582.54</v>
      </c>
      <c r="Q504" t="s">
        <v>122</v>
      </c>
      <c r="R504"/>
      <c r="S504"/>
      <c r="T504"/>
    </row>
    <row r="505" spans="1:20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>
        <v>0</v>
      </c>
      <c r="O505">
        <v>0</v>
      </c>
      <c r="P505">
        <v>0</v>
      </c>
      <c r="Q505" t="s">
        <v>122</v>
      </c>
      <c r="R505"/>
      <c r="S505"/>
      <c r="T505"/>
    </row>
    <row r="506" spans="1:20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>
        <v>0</v>
      </c>
      <c r="O506">
        <v>0</v>
      </c>
      <c r="P506">
        <v>0</v>
      </c>
      <c r="Q506" t="s">
        <v>122</v>
      </c>
      <c r="R506"/>
      <c r="S506"/>
      <c r="T506"/>
    </row>
    <row r="507" spans="1:20" ht="14.5" customHeight="1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>
        <v>162665.57</v>
      </c>
      <c r="O507">
        <v>88011.23</v>
      </c>
      <c r="P507">
        <v>-15582.54</v>
      </c>
      <c r="Q507" t="s">
        <v>122</v>
      </c>
      <c r="R507"/>
      <c r="S507"/>
      <c r="T507"/>
    </row>
    <row r="508" spans="1:20" ht="14.5" customHeight="1" x14ac:dyDescent="0.3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>
        <v>40033.47</v>
      </c>
      <c r="O508">
        <v>3525.91</v>
      </c>
      <c r="P508">
        <v>-22049.87</v>
      </c>
      <c r="Q508" t="s">
        <v>122</v>
      </c>
      <c r="R508"/>
      <c r="S508"/>
      <c r="T508"/>
    </row>
    <row r="509" spans="1:20" s="218" customFormat="1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 t="s">
        <v>132</v>
      </c>
      <c r="O509" t="s">
        <v>133</v>
      </c>
      <c r="P509" t="s">
        <v>134</v>
      </c>
      <c r="Q509" t="s">
        <v>121</v>
      </c>
      <c r="R509"/>
      <c r="S509"/>
      <c r="T509"/>
    </row>
    <row r="510" spans="1:20" ht="14.5" customHeight="1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>
        <v>-7319.45</v>
      </c>
      <c r="O510">
        <v>-59413.89</v>
      </c>
      <c r="P510">
        <v>-537519.44999999995</v>
      </c>
      <c r="Q510" t="s">
        <v>122</v>
      </c>
      <c r="R510"/>
      <c r="S510"/>
      <c r="T510"/>
    </row>
    <row r="511" spans="1:20" ht="14.5" customHeight="1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>
        <v>0</v>
      </c>
      <c r="O511">
        <v>0</v>
      </c>
      <c r="P511">
        <v>0</v>
      </c>
      <c r="Q511" t="s">
        <v>122</v>
      </c>
      <c r="R511"/>
      <c r="S511"/>
      <c r="T511"/>
    </row>
    <row r="512" spans="1:20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>
        <v>-7319.45</v>
      </c>
      <c r="O512">
        <v>-59413.89</v>
      </c>
      <c r="P512">
        <v>-537519.44999999995</v>
      </c>
      <c r="Q512" t="s">
        <v>122</v>
      </c>
      <c r="R512"/>
      <c r="S512"/>
      <c r="T512"/>
    </row>
    <row r="513" spans="1:20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>
        <v>0</v>
      </c>
      <c r="O513">
        <v>0</v>
      </c>
      <c r="P513">
        <v>0</v>
      </c>
      <c r="Q513" t="s">
        <v>122</v>
      </c>
      <c r="R513"/>
      <c r="S513"/>
      <c r="T513"/>
    </row>
    <row r="514" spans="1:20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>
        <v>-7319.45</v>
      </c>
      <c r="O514">
        <v>-59413.89</v>
      </c>
      <c r="P514">
        <v>-537519.44999999995</v>
      </c>
      <c r="Q514" t="s">
        <v>122</v>
      </c>
      <c r="R514"/>
      <c r="S514"/>
      <c r="T514"/>
    </row>
    <row r="515" spans="1:20" ht="14.5" customHeight="1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>
        <v>7583.33</v>
      </c>
      <c r="O515">
        <v>4187.33</v>
      </c>
      <c r="P515">
        <v>21081.48</v>
      </c>
      <c r="Q515" t="s">
        <v>122</v>
      </c>
      <c r="R515"/>
      <c r="S515"/>
      <c r="T515"/>
    </row>
    <row r="516" spans="1:20" ht="14.5" customHeight="1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>
        <v>0</v>
      </c>
      <c r="O516">
        <v>-4250</v>
      </c>
      <c r="P516">
        <v>-38250</v>
      </c>
      <c r="Q516" t="s">
        <v>122</v>
      </c>
      <c r="R516"/>
      <c r="S516"/>
      <c r="T516"/>
    </row>
    <row r="517" spans="1:20" ht="14.5" customHeight="1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>
        <v>-184544.28</v>
      </c>
      <c r="O517">
        <v>-9205.92</v>
      </c>
      <c r="P517">
        <v>-82853.279999999999</v>
      </c>
      <c r="Q517" t="s">
        <v>122</v>
      </c>
      <c r="R517"/>
      <c r="S517"/>
      <c r="T517"/>
    </row>
    <row r="518" spans="1:20" ht="14.5" customHeight="1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>
        <v>-176960.95</v>
      </c>
      <c r="O518">
        <v>-9268.59</v>
      </c>
      <c r="P518">
        <v>-100021.8</v>
      </c>
      <c r="Q518" t="s">
        <v>122</v>
      </c>
      <c r="R518"/>
      <c r="S518"/>
      <c r="T518"/>
    </row>
    <row r="519" spans="1:20" ht="14.5" customHeight="1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>
        <v>169641.5</v>
      </c>
      <c r="O519">
        <v>-50145.3</v>
      </c>
      <c r="P519">
        <v>-437497.65</v>
      </c>
      <c r="Q519" t="s">
        <v>122</v>
      </c>
      <c r="R519"/>
      <c r="S519"/>
      <c r="T519"/>
    </row>
    <row r="520" spans="1:20" ht="14.5" customHeight="1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>
        <v>0</v>
      </c>
      <c r="O520">
        <v>0</v>
      </c>
      <c r="P520">
        <v>0</v>
      </c>
      <c r="Q520" t="s">
        <v>122</v>
      </c>
      <c r="R520"/>
      <c r="S520"/>
      <c r="T520"/>
    </row>
    <row r="521" spans="1:20" ht="14.5" customHeight="1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>
        <v>2199.9299999999998</v>
      </c>
      <c r="O521">
        <v>321.87</v>
      </c>
      <c r="P521">
        <v>2986.76</v>
      </c>
      <c r="Q521" t="s">
        <v>122</v>
      </c>
      <c r="R521"/>
      <c r="S521"/>
      <c r="T521"/>
    </row>
    <row r="522" spans="1:20" ht="14.5" customHeight="1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>
        <v>26373.05</v>
      </c>
      <c r="O522">
        <v>-2773.81</v>
      </c>
      <c r="P522">
        <v>-221.68</v>
      </c>
      <c r="Q522" t="s">
        <v>122</v>
      </c>
      <c r="R522"/>
      <c r="S522"/>
      <c r="T522"/>
    </row>
    <row r="523" spans="1:20" ht="14.5" customHeight="1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>
        <v>0</v>
      </c>
      <c r="O523">
        <v>0</v>
      </c>
      <c r="P523">
        <v>0</v>
      </c>
      <c r="Q523" t="s">
        <v>122</v>
      </c>
      <c r="R523"/>
      <c r="S523"/>
      <c r="T523"/>
    </row>
    <row r="524" spans="1:20" ht="14.5" customHeight="1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>
        <v>0</v>
      </c>
      <c r="O524">
        <v>0</v>
      </c>
      <c r="P524">
        <v>0</v>
      </c>
      <c r="Q524" t="s">
        <v>122</v>
      </c>
      <c r="R524"/>
      <c r="S524"/>
      <c r="T524"/>
    </row>
    <row r="525" spans="1:20" ht="14.5" customHeight="1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>
        <v>28572.98</v>
      </c>
      <c r="O525">
        <v>-2451.94</v>
      </c>
      <c r="P525">
        <v>2765.08</v>
      </c>
      <c r="Q525" t="s">
        <v>122</v>
      </c>
      <c r="R525"/>
      <c r="S525"/>
      <c r="T525"/>
    </row>
    <row r="526" spans="1:20" ht="14.5" customHeight="1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>
        <v>141068.51999999999</v>
      </c>
      <c r="O526">
        <v>-47693.36</v>
      </c>
      <c r="P526">
        <v>-440262.73</v>
      </c>
      <c r="Q526" t="s">
        <v>122</v>
      </c>
      <c r="R526"/>
      <c r="S526"/>
      <c r="T526"/>
    </row>
    <row r="527" spans="1:20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>
        <v>0</v>
      </c>
      <c r="O527">
        <v>0</v>
      </c>
      <c r="P527">
        <v>0</v>
      </c>
      <c r="Q527" t="s">
        <v>122</v>
      </c>
      <c r="R527"/>
      <c r="S527"/>
      <c r="T527"/>
    </row>
    <row r="528" spans="1:20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>
        <v>0</v>
      </c>
      <c r="O528">
        <v>0</v>
      </c>
      <c r="P528">
        <v>0</v>
      </c>
      <c r="Q528" t="s">
        <v>122</v>
      </c>
      <c r="R528"/>
      <c r="S528"/>
      <c r="T528"/>
    </row>
    <row r="529" spans="1:20" ht="14.5" customHeight="1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>
        <v>141068.51999999999</v>
      </c>
      <c r="O529">
        <v>-47693.36</v>
      </c>
      <c r="P529">
        <v>-440262.73</v>
      </c>
      <c r="Q529" t="s">
        <v>122</v>
      </c>
      <c r="R529"/>
      <c r="S529"/>
      <c r="T529"/>
    </row>
    <row r="530" spans="1:20" ht="14.5" customHeight="1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>
        <v>-14902.78</v>
      </c>
      <c r="O530">
        <v>-59351.22</v>
      </c>
      <c r="P530">
        <v>-520350.93</v>
      </c>
      <c r="Q530" t="s">
        <v>122</v>
      </c>
      <c r="R530"/>
      <c r="S530"/>
      <c r="T530"/>
    </row>
    <row r="531" spans="1:20" s="218" customFormat="1" x14ac:dyDescent="0.3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 t="s">
        <v>132</v>
      </c>
      <c r="O531" t="s">
        <v>133</v>
      </c>
      <c r="P531" t="s">
        <v>134</v>
      </c>
      <c r="Q531" t="s">
        <v>121</v>
      </c>
      <c r="R531"/>
      <c r="S531"/>
      <c r="T531"/>
    </row>
    <row r="532" spans="1:20" ht="14.5" customHeight="1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>
        <v>0</v>
      </c>
      <c r="O532">
        <v>6300</v>
      </c>
      <c r="P532">
        <v>56700</v>
      </c>
      <c r="Q532" t="s">
        <v>122</v>
      </c>
      <c r="R532"/>
      <c r="S532"/>
      <c r="T532"/>
    </row>
    <row r="533" spans="1:20" ht="14.5" customHeight="1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>
        <v>0</v>
      </c>
      <c r="O533">
        <v>0</v>
      </c>
      <c r="P533">
        <v>0</v>
      </c>
      <c r="Q533" t="s">
        <v>122</v>
      </c>
      <c r="R533"/>
      <c r="S533"/>
      <c r="T533"/>
    </row>
    <row r="534" spans="1:20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>
        <v>0</v>
      </c>
      <c r="O534">
        <v>6300</v>
      </c>
      <c r="P534">
        <v>56700</v>
      </c>
      <c r="Q534" t="s">
        <v>122</v>
      </c>
      <c r="R534"/>
      <c r="S534"/>
      <c r="T534"/>
    </row>
    <row r="535" spans="1:20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>
        <v>0</v>
      </c>
      <c r="O535">
        <v>0</v>
      </c>
      <c r="P535">
        <v>0</v>
      </c>
      <c r="Q535" t="s">
        <v>122</v>
      </c>
      <c r="R535"/>
      <c r="S535"/>
      <c r="T535"/>
    </row>
    <row r="536" spans="1:20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>
        <v>0</v>
      </c>
      <c r="O536">
        <v>6300</v>
      </c>
      <c r="P536">
        <v>56700</v>
      </c>
      <c r="Q536" t="s">
        <v>122</v>
      </c>
      <c r="R536"/>
      <c r="S536"/>
      <c r="T536"/>
    </row>
    <row r="537" spans="1:20" ht="14.5" customHeight="1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>
        <v>-954.4</v>
      </c>
      <c r="O537">
        <v>1512.93</v>
      </c>
      <c r="P537">
        <v>2428.67</v>
      </c>
      <c r="Q537" t="s">
        <v>122</v>
      </c>
      <c r="R537"/>
      <c r="S537"/>
      <c r="T537"/>
    </row>
    <row r="538" spans="1:20" ht="14.5" customHeight="1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>
        <v>0</v>
      </c>
      <c r="O538">
        <v>0</v>
      </c>
      <c r="P538">
        <v>0</v>
      </c>
      <c r="Q538" t="s">
        <v>122</v>
      </c>
      <c r="R538"/>
      <c r="S538"/>
      <c r="T538"/>
    </row>
    <row r="539" spans="1:20" ht="14.5" customHeight="1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>
        <v>0</v>
      </c>
      <c r="O539">
        <v>3786.04</v>
      </c>
      <c r="P539">
        <v>34074.36</v>
      </c>
      <c r="Q539" t="s">
        <v>122</v>
      </c>
      <c r="R539"/>
      <c r="S539"/>
      <c r="T539"/>
    </row>
    <row r="540" spans="1:20" ht="14.5" customHeight="1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>
        <v>-954.4</v>
      </c>
      <c r="O540">
        <v>5298.97</v>
      </c>
      <c r="P540">
        <v>36503.03</v>
      </c>
      <c r="Q540" t="s">
        <v>122</v>
      </c>
      <c r="R540"/>
      <c r="S540"/>
      <c r="T540"/>
    </row>
    <row r="541" spans="1:20" ht="14.5" customHeight="1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>
        <v>954.4</v>
      </c>
      <c r="O541">
        <v>1001.03</v>
      </c>
      <c r="P541">
        <v>20196.97</v>
      </c>
      <c r="Q541" t="s">
        <v>122</v>
      </c>
      <c r="R541"/>
      <c r="S541"/>
      <c r="T541"/>
    </row>
    <row r="542" spans="1:20" ht="14.5" customHeight="1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>
        <v>0</v>
      </c>
      <c r="O542">
        <v>0</v>
      </c>
      <c r="P542">
        <v>0</v>
      </c>
      <c r="Q542" t="s">
        <v>122</v>
      </c>
      <c r="R542"/>
      <c r="S542"/>
      <c r="T542"/>
    </row>
    <row r="543" spans="1:20" ht="14.5" customHeight="1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>
        <v>1439.13</v>
      </c>
      <c r="O543">
        <v>0</v>
      </c>
      <c r="P543">
        <v>1439.13</v>
      </c>
      <c r="Q543" t="s">
        <v>122</v>
      </c>
      <c r="R543"/>
      <c r="S543"/>
      <c r="T543"/>
    </row>
    <row r="544" spans="1:20" ht="14.5" customHeight="1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>
        <v>-681.07</v>
      </c>
      <c r="O544">
        <v>2028.74</v>
      </c>
      <c r="P544">
        <v>29116.1</v>
      </c>
      <c r="Q544" t="s">
        <v>122</v>
      </c>
      <c r="R544"/>
      <c r="S544"/>
      <c r="T544"/>
    </row>
    <row r="545" spans="1:20" ht="14.5" customHeight="1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>
        <v>0</v>
      </c>
      <c r="O545">
        <v>0</v>
      </c>
      <c r="P545">
        <v>0</v>
      </c>
      <c r="Q545" t="s">
        <v>122</v>
      </c>
      <c r="R545"/>
      <c r="S545"/>
      <c r="T545"/>
    </row>
    <row r="546" spans="1:20" ht="14.5" customHeight="1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>
        <v>0</v>
      </c>
      <c r="O546">
        <v>0</v>
      </c>
      <c r="P546">
        <v>0</v>
      </c>
      <c r="Q546" t="s">
        <v>122</v>
      </c>
      <c r="R546"/>
      <c r="S546"/>
      <c r="T546"/>
    </row>
    <row r="547" spans="1:20" ht="14.5" customHeight="1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>
        <v>758.06</v>
      </c>
      <c r="O547">
        <v>2028.74</v>
      </c>
      <c r="P547">
        <v>30555.23</v>
      </c>
      <c r="Q547" t="s">
        <v>122</v>
      </c>
      <c r="R547"/>
      <c r="S547"/>
      <c r="T547"/>
    </row>
    <row r="548" spans="1:20" ht="14.5" customHeight="1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>
        <v>196.34</v>
      </c>
      <c r="O548">
        <v>-1027.71</v>
      </c>
      <c r="P548">
        <v>-10358.26</v>
      </c>
      <c r="Q548" t="s">
        <v>122</v>
      </c>
      <c r="R548"/>
      <c r="S548"/>
      <c r="T548"/>
    </row>
    <row r="549" spans="1:20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>
        <v>0</v>
      </c>
      <c r="O549">
        <v>0</v>
      </c>
      <c r="P549">
        <v>0</v>
      </c>
      <c r="Q549" t="s">
        <v>122</v>
      </c>
      <c r="R549"/>
      <c r="S549"/>
      <c r="T549"/>
    </row>
    <row r="550" spans="1:20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>
        <v>0</v>
      </c>
      <c r="O550">
        <v>0</v>
      </c>
      <c r="P550">
        <v>0</v>
      </c>
      <c r="Q550" t="s">
        <v>122</v>
      </c>
      <c r="R550"/>
      <c r="S550"/>
      <c r="T550"/>
    </row>
    <row r="551" spans="1:20" ht="14.5" customHeight="1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>
        <v>196.34</v>
      </c>
      <c r="O551">
        <v>-1027.71</v>
      </c>
      <c r="P551">
        <v>-10358.26</v>
      </c>
      <c r="Q551" t="s">
        <v>122</v>
      </c>
      <c r="R551"/>
      <c r="S551"/>
      <c r="T551"/>
    </row>
    <row r="552" spans="1:20" ht="14.5" customHeight="1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>
        <v>954.4</v>
      </c>
      <c r="O552">
        <v>4787.07</v>
      </c>
      <c r="P552">
        <v>54271.33</v>
      </c>
      <c r="Q552" t="s">
        <v>122</v>
      </c>
      <c r="R552"/>
      <c r="S552"/>
      <c r="T552"/>
    </row>
    <row r="553" spans="1:20" s="182" customFormat="1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 t="s">
        <v>132</v>
      </c>
      <c r="O553" t="s">
        <v>133</v>
      </c>
      <c r="P553" t="s">
        <v>134</v>
      </c>
      <c r="Q553" t="s">
        <v>121</v>
      </c>
      <c r="R553"/>
      <c r="S553"/>
      <c r="T553"/>
    </row>
    <row r="554" spans="1:20" ht="14.5" customHeight="1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>
        <v>-251290.37</v>
      </c>
      <c r="O554">
        <v>90716.92</v>
      </c>
      <c r="P554">
        <v>854493.86</v>
      </c>
      <c r="Q554" t="s">
        <v>122</v>
      </c>
      <c r="R554"/>
      <c r="S554"/>
      <c r="T554"/>
    </row>
    <row r="555" spans="1:20" ht="14.5" customHeight="1" x14ac:dyDescent="0.3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>
        <v>-148676.46</v>
      </c>
      <c r="O555">
        <v>101815.39</v>
      </c>
      <c r="P555">
        <v>1005826.32</v>
      </c>
      <c r="Q555" t="s">
        <v>122</v>
      </c>
      <c r="R555"/>
      <c r="S555"/>
      <c r="T555"/>
    </row>
    <row r="556" spans="1:20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>
        <v>-102613.91</v>
      </c>
      <c r="O556">
        <v>-11098.47</v>
      </c>
      <c r="P556">
        <v>-151332.46</v>
      </c>
      <c r="Q556" t="s">
        <v>122</v>
      </c>
      <c r="R556"/>
      <c r="S556"/>
      <c r="T556"/>
    </row>
    <row r="557" spans="1:20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>
        <v>-43739.94</v>
      </c>
      <c r="O557">
        <v>-5423.7</v>
      </c>
      <c r="P557">
        <v>-64914.76</v>
      </c>
      <c r="Q557" t="s">
        <v>122</v>
      </c>
      <c r="R557"/>
      <c r="S557"/>
      <c r="T557"/>
    </row>
    <row r="558" spans="1:20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>
        <v>0</v>
      </c>
      <c r="O558">
        <v>0</v>
      </c>
      <c r="P558">
        <v>0</v>
      </c>
      <c r="Q558" t="s">
        <v>122</v>
      </c>
      <c r="R558"/>
      <c r="S558"/>
      <c r="T558"/>
    </row>
    <row r="559" spans="1:20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>
        <v>-58873.97</v>
      </c>
      <c r="O559">
        <v>-5674.77</v>
      </c>
      <c r="P559">
        <v>-86417.7</v>
      </c>
      <c r="Q559" t="s">
        <v>122</v>
      </c>
      <c r="R559"/>
      <c r="S559"/>
      <c r="T559"/>
    </row>
    <row r="560" spans="1:20" ht="14.5" customHeight="1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>
        <v>-98570.86</v>
      </c>
      <c r="O560">
        <v>-9698.81</v>
      </c>
      <c r="P560">
        <v>-121921.08</v>
      </c>
      <c r="Q560" t="s">
        <v>122</v>
      </c>
      <c r="R560"/>
      <c r="S560"/>
      <c r="T560"/>
    </row>
    <row r="561" spans="1:20" ht="14.5" customHeight="1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>
        <v>-35584.85</v>
      </c>
      <c r="O561">
        <v>-4897.32</v>
      </c>
      <c r="P561">
        <v>-27606.92</v>
      </c>
      <c r="Q561" t="s">
        <v>122</v>
      </c>
      <c r="R561"/>
      <c r="S561"/>
      <c r="T561"/>
    </row>
    <row r="562" spans="1:20" ht="14.5" customHeight="1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>
        <v>-28502.28</v>
      </c>
      <c r="O562">
        <v>-0.24</v>
      </c>
      <c r="P562">
        <v>-2.16</v>
      </c>
      <c r="Q562" t="s">
        <v>122</v>
      </c>
      <c r="R562"/>
      <c r="S562"/>
      <c r="T562"/>
    </row>
    <row r="563" spans="1:20" ht="14.5" customHeight="1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>
        <v>-162657.99</v>
      </c>
      <c r="O563">
        <v>-14596.37</v>
      </c>
      <c r="P563">
        <v>-149530.16</v>
      </c>
      <c r="Q563" t="s">
        <v>122</v>
      </c>
      <c r="R563"/>
      <c r="S563"/>
      <c r="T563"/>
    </row>
    <row r="564" spans="1:20" ht="14.5" customHeight="1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>
        <v>103784.02</v>
      </c>
      <c r="O564">
        <v>8921.6</v>
      </c>
      <c r="P564">
        <v>63112.46</v>
      </c>
      <c r="Q564" t="s">
        <v>122</v>
      </c>
      <c r="R564"/>
      <c r="S564"/>
      <c r="T564"/>
    </row>
    <row r="565" spans="1:20" ht="14.5" customHeight="1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>
        <v>0</v>
      </c>
      <c r="O565">
        <v>0</v>
      </c>
      <c r="P565">
        <v>0</v>
      </c>
      <c r="Q565" t="s">
        <v>122</v>
      </c>
      <c r="R565"/>
      <c r="S565"/>
      <c r="T565"/>
    </row>
    <row r="566" spans="1:20" ht="14.5" customHeight="1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>
        <v>-4678.24</v>
      </c>
      <c r="O566">
        <v>359.86</v>
      </c>
      <c r="P566">
        <v>-137.08000000000001</v>
      </c>
      <c r="Q566" t="s">
        <v>122</v>
      </c>
      <c r="R566"/>
      <c r="S566"/>
      <c r="T566"/>
    </row>
    <row r="567" spans="1:20" ht="14.5" customHeight="1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>
        <v>-7824.43</v>
      </c>
      <c r="O567">
        <v>0</v>
      </c>
      <c r="P567">
        <v>0</v>
      </c>
      <c r="Q567" t="s">
        <v>122</v>
      </c>
      <c r="R567"/>
      <c r="S567"/>
      <c r="T567"/>
    </row>
    <row r="568" spans="1:20" ht="14.5" customHeight="1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>
        <v>0</v>
      </c>
      <c r="O568">
        <v>0</v>
      </c>
      <c r="P568">
        <v>0</v>
      </c>
      <c r="Q568" t="s">
        <v>122</v>
      </c>
      <c r="R568"/>
      <c r="S568"/>
      <c r="T568"/>
    </row>
    <row r="569" spans="1:20" ht="14.5" customHeight="1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>
        <v>0</v>
      </c>
      <c r="O569">
        <v>0</v>
      </c>
      <c r="P569">
        <v>0</v>
      </c>
      <c r="Q569" t="s">
        <v>122</v>
      </c>
      <c r="R569"/>
      <c r="S569"/>
      <c r="T569"/>
    </row>
    <row r="570" spans="1:20" ht="14.5" customHeight="1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>
        <v>-12502.67</v>
      </c>
      <c r="O570">
        <v>359.86</v>
      </c>
      <c r="P570">
        <v>-137.08000000000001</v>
      </c>
      <c r="Q570" t="s">
        <v>122</v>
      </c>
      <c r="R570"/>
      <c r="S570"/>
      <c r="T570"/>
    </row>
    <row r="571" spans="1:20" ht="14.5" customHeight="1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>
        <v>116286.69</v>
      </c>
      <c r="O571">
        <v>8561.74</v>
      </c>
      <c r="P571">
        <v>63249.54</v>
      </c>
      <c r="Q571" t="s">
        <v>122</v>
      </c>
      <c r="R571"/>
      <c r="S571"/>
      <c r="T571"/>
    </row>
    <row r="572" spans="1:20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>
        <v>0</v>
      </c>
      <c r="O572">
        <v>0</v>
      </c>
      <c r="P572">
        <v>0</v>
      </c>
      <c r="Q572" t="s">
        <v>122</v>
      </c>
      <c r="R572"/>
      <c r="S572"/>
      <c r="T572"/>
    </row>
    <row r="573" spans="1:20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>
        <v>0</v>
      </c>
      <c r="O573">
        <v>0</v>
      </c>
      <c r="P573">
        <v>0</v>
      </c>
      <c r="Q573" t="s">
        <v>122</v>
      </c>
      <c r="R573"/>
      <c r="S573"/>
      <c r="T573"/>
    </row>
    <row r="574" spans="1:20" ht="14.5" customHeight="1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>
        <v>116286.69</v>
      </c>
      <c r="O574">
        <v>8561.74</v>
      </c>
      <c r="P574">
        <v>63249.54</v>
      </c>
      <c r="Q574" t="s">
        <v>122</v>
      </c>
      <c r="R574"/>
      <c r="S574"/>
      <c r="T574"/>
    </row>
    <row r="575" spans="1:20" ht="14.5" customHeight="1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>
        <v>75281.740000000005</v>
      </c>
      <c r="O575">
        <v>8921.36</v>
      </c>
      <c r="P575">
        <v>63110.3</v>
      </c>
      <c r="Q575" t="s">
        <v>122</v>
      </c>
      <c r="R575"/>
      <c r="S575"/>
      <c r="T575"/>
    </row>
    <row r="576" spans="1:20" s="218" customFormat="1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 t="s">
        <v>132</v>
      </c>
      <c r="O576" t="s">
        <v>133</v>
      </c>
      <c r="P576" t="s">
        <v>134</v>
      </c>
      <c r="Q576" t="s">
        <v>121</v>
      </c>
      <c r="R576"/>
      <c r="S576"/>
      <c r="T576"/>
    </row>
    <row r="577" spans="1:20" ht="14.5" customHeight="1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>
        <v>36875.75</v>
      </c>
      <c r="O577">
        <v>36184.15</v>
      </c>
      <c r="P577">
        <v>297109.46000000002</v>
      </c>
      <c r="Q577" t="s">
        <v>122</v>
      </c>
      <c r="R577"/>
      <c r="S577"/>
      <c r="T577"/>
    </row>
    <row r="578" spans="1:20" ht="14.5" customHeight="1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>
        <v>0</v>
      </c>
      <c r="O578">
        <v>0</v>
      </c>
      <c r="P578">
        <v>0</v>
      </c>
      <c r="Q578" t="s">
        <v>122</v>
      </c>
      <c r="R578"/>
      <c r="S578"/>
      <c r="T578"/>
    </row>
    <row r="579" spans="1:20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>
        <v>36875.75</v>
      </c>
      <c r="O579">
        <v>36184.15</v>
      </c>
      <c r="P579">
        <v>297109.46000000002</v>
      </c>
      <c r="Q579" t="s">
        <v>122</v>
      </c>
      <c r="R579"/>
      <c r="S579"/>
      <c r="T579"/>
    </row>
    <row r="580" spans="1:20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>
        <v>0</v>
      </c>
      <c r="O580">
        <v>0</v>
      </c>
      <c r="P580">
        <v>0</v>
      </c>
      <c r="Q580" t="s">
        <v>122</v>
      </c>
      <c r="R580"/>
      <c r="S580"/>
      <c r="T580"/>
    </row>
    <row r="581" spans="1:20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>
        <v>36875.75</v>
      </c>
      <c r="O581">
        <v>36184.15</v>
      </c>
      <c r="P581">
        <v>297109.46000000002</v>
      </c>
      <c r="Q581" t="s">
        <v>122</v>
      </c>
      <c r="R581"/>
      <c r="S581"/>
      <c r="T581"/>
    </row>
    <row r="582" spans="1:20" ht="14.5" customHeight="1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>
        <v>24767.47</v>
      </c>
      <c r="O582">
        <v>10357.08</v>
      </c>
      <c r="P582">
        <v>24931.66</v>
      </c>
      <c r="Q582" t="s">
        <v>122</v>
      </c>
      <c r="R582"/>
      <c r="S582"/>
      <c r="T582"/>
    </row>
    <row r="583" spans="1:20" ht="14.5" customHeight="1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>
        <v>0</v>
      </c>
      <c r="O583">
        <v>0</v>
      </c>
      <c r="P583">
        <v>0</v>
      </c>
      <c r="Q583" t="s">
        <v>122</v>
      </c>
      <c r="R583"/>
      <c r="S583"/>
      <c r="T583"/>
    </row>
    <row r="584" spans="1:20" ht="14.5" customHeight="1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>
        <v>0</v>
      </c>
      <c r="O584">
        <v>2513.17</v>
      </c>
      <c r="P584">
        <v>22618.53</v>
      </c>
      <c r="Q584" t="s">
        <v>122</v>
      </c>
      <c r="R584"/>
      <c r="S584"/>
      <c r="T584"/>
    </row>
    <row r="585" spans="1:20" ht="14.5" customHeight="1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>
        <v>24767.47</v>
      </c>
      <c r="O585">
        <v>12870.25</v>
      </c>
      <c r="P585">
        <v>47550.19</v>
      </c>
      <c r="Q585" t="s">
        <v>122</v>
      </c>
      <c r="R585"/>
      <c r="S585"/>
      <c r="T585"/>
    </row>
    <row r="586" spans="1:20" ht="14.5" customHeight="1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>
        <v>12108.28</v>
      </c>
      <c r="O586">
        <v>23313.9</v>
      </c>
      <c r="P586">
        <v>249559.27</v>
      </c>
      <c r="Q586" t="s">
        <v>122</v>
      </c>
      <c r="R586"/>
      <c r="S586"/>
      <c r="T586"/>
    </row>
    <row r="587" spans="1:20" ht="14.5" customHeight="1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>
        <v>0</v>
      </c>
      <c r="O587">
        <v>0</v>
      </c>
      <c r="P587">
        <v>0</v>
      </c>
      <c r="Q587" t="s">
        <v>122</v>
      </c>
      <c r="R587"/>
      <c r="S587"/>
      <c r="T587"/>
    </row>
    <row r="588" spans="1:20" ht="14.5" customHeight="1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>
        <v>-537.16</v>
      </c>
      <c r="O588">
        <v>0</v>
      </c>
      <c r="P588">
        <v>0</v>
      </c>
      <c r="Q588" t="s">
        <v>122</v>
      </c>
      <c r="R588"/>
      <c r="S588"/>
      <c r="T588"/>
    </row>
    <row r="589" spans="1:20" ht="14.5" customHeight="1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>
        <v>0</v>
      </c>
      <c r="O589">
        <v>0</v>
      </c>
      <c r="P589">
        <v>0</v>
      </c>
      <c r="Q589" t="s">
        <v>122</v>
      </c>
      <c r="R589"/>
      <c r="S589"/>
      <c r="T589"/>
    </row>
    <row r="590" spans="1:20" ht="14.5" customHeight="1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>
        <v>0</v>
      </c>
      <c r="O590">
        <v>0</v>
      </c>
      <c r="P590">
        <v>0</v>
      </c>
      <c r="Q590" t="s">
        <v>122</v>
      </c>
      <c r="R590"/>
      <c r="S590"/>
      <c r="T590"/>
    </row>
    <row r="591" spans="1:20" ht="14.5" customHeight="1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>
        <v>0</v>
      </c>
      <c r="O591">
        <v>0</v>
      </c>
      <c r="P591">
        <v>0</v>
      </c>
      <c r="Q591" t="s">
        <v>122</v>
      </c>
      <c r="R591"/>
      <c r="S591"/>
      <c r="T591"/>
    </row>
    <row r="592" spans="1:20" ht="14.5" customHeight="1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>
        <v>-537.16</v>
      </c>
      <c r="O592">
        <v>0</v>
      </c>
      <c r="P592">
        <v>0</v>
      </c>
      <c r="Q592" t="s">
        <v>122</v>
      </c>
      <c r="R592"/>
      <c r="S592"/>
      <c r="T592"/>
    </row>
    <row r="593" spans="1:20" ht="14.5" customHeight="1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>
        <v>12645.44</v>
      </c>
      <c r="O593">
        <v>23313.9</v>
      </c>
      <c r="P593">
        <v>249559.27</v>
      </c>
      <c r="Q593" t="s">
        <v>122</v>
      </c>
      <c r="R593"/>
      <c r="S593"/>
      <c r="T593"/>
    </row>
    <row r="594" spans="1:20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>
        <v>0</v>
      </c>
      <c r="O594">
        <v>0</v>
      </c>
      <c r="P594">
        <v>0</v>
      </c>
      <c r="Q594" t="s">
        <v>122</v>
      </c>
      <c r="R594"/>
      <c r="S594"/>
      <c r="T594"/>
    </row>
    <row r="595" spans="1:20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>
        <v>0</v>
      </c>
      <c r="O595">
        <v>0</v>
      </c>
      <c r="P595">
        <v>0</v>
      </c>
      <c r="Q595" t="s">
        <v>122</v>
      </c>
      <c r="R595"/>
      <c r="S595"/>
      <c r="T595"/>
    </row>
    <row r="596" spans="1:20" ht="14.5" customHeight="1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>
        <v>12645.44</v>
      </c>
      <c r="O596">
        <v>23313.9</v>
      </c>
      <c r="P596">
        <v>249559.27</v>
      </c>
      <c r="Q596" t="s">
        <v>122</v>
      </c>
      <c r="R596"/>
      <c r="S596"/>
      <c r="T596"/>
    </row>
    <row r="597" spans="1:20" ht="14.5" customHeight="1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>
        <v>12108.28</v>
      </c>
      <c r="O597">
        <v>25827.07</v>
      </c>
      <c r="P597">
        <v>272177.8</v>
      </c>
      <c r="Q597" t="s">
        <v>122</v>
      </c>
      <c r="R597"/>
      <c r="S597"/>
      <c r="T597"/>
    </row>
    <row r="598" spans="1:20" s="182" customFormat="1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 t="s">
        <v>132</v>
      </c>
      <c r="O598" t="s">
        <v>133</v>
      </c>
      <c r="P598" t="s">
        <v>134</v>
      </c>
      <c r="Q598" t="s">
        <v>121</v>
      </c>
      <c r="R598"/>
      <c r="S598"/>
      <c r="T598"/>
    </row>
    <row r="599" spans="1:20" ht="14.5" customHeight="1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>
        <v>-396149.89</v>
      </c>
      <c r="O599">
        <v>80157.600000000006</v>
      </c>
      <c r="P599">
        <v>696856.08</v>
      </c>
      <c r="Q599" t="s">
        <v>122</v>
      </c>
      <c r="R599"/>
      <c r="S599"/>
      <c r="T599"/>
    </row>
    <row r="600" spans="1:20" ht="14.5" customHeight="1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>
        <v>-211724.47</v>
      </c>
      <c r="O600">
        <v>100080.6</v>
      </c>
      <c r="P600">
        <v>948904.43</v>
      </c>
      <c r="Q600" t="s">
        <v>122</v>
      </c>
      <c r="R600"/>
      <c r="S600"/>
      <c r="T600"/>
    </row>
    <row r="601" spans="1:20" x14ac:dyDescent="0.3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>
        <v>-184425.42</v>
      </c>
      <c r="O601">
        <v>-19923</v>
      </c>
      <c r="P601">
        <v>-252048.35</v>
      </c>
      <c r="Q601" t="s">
        <v>122</v>
      </c>
      <c r="R601"/>
      <c r="S601"/>
      <c r="T601"/>
    </row>
    <row r="602" spans="1:20" x14ac:dyDescent="0.3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>
        <v>-104577.87</v>
      </c>
      <c r="O602">
        <v>-9676.7999999999993</v>
      </c>
      <c r="P602">
        <v>-125158.79</v>
      </c>
      <c r="Q602" t="s">
        <v>122</v>
      </c>
      <c r="R602"/>
      <c r="S602"/>
      <c r="T602"/>
    </row>
    <row r="603" spans="1:20" x14ac:dyDescent="0.3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>
        <v>0</v>
      </c>
      <c r="O603">
        <v>0</v>
      </c>
      <c r="P603">
        <v>0</v>
      </c>
      <c r="Q603" t="s">
        <v>122</v>
      </c>
      <c r="R603"/>
      <c r="S603"/>
      <c r="T603"/>
    </row>
    <row r="604" spans="1:20" x14ac:dyDescent="0.3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>
        <v>-79847.55</v>
      </c>
      <c r="O604">
        <v>-10246.200000000001</v>
      </c>
      <c r="P604">
        <v>-126889.56</v>
      </c>
      <c r="Q604" t="s">
        <v>122</v>
      </c>
      <c r="R604"/>
      <c r="S604"/>
      <c r="T604"/>
    </row>
    <row r="605" spans="1:20" ht="14.5" customHeight="1" x14ac:dyDescent="0.3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>
        <v>-132110.26999999999</v>
      </c>
      <c r="O605">
        <v>-12298.75</v>
      </c>
      <c r="P605">
        <v>-119936.22</v>
      </c>
      <c r="Q605" t="s">
        <v>122</v>
      </c>
      <c r="R605"/>
      <c r="S605"/>
      <c r="T605"/>
    </row>
    <row r="606" spans="1:20" ht="14.5" customHeight="1" x14ac:dyDescent="0.3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>
        <v>-11707.26</v>
      </c>
      <c r="O606">
        <v>-1535.98</v>
      </c>
      <c r="P606">
        <v>-1500.33</v>
      </c>
      <c r="Q606" t="s">
        <v>122</v>
      </c>
      <c r="R606"/>
      <c r="S606"/>
      <c r="T606"/>
    </row>
    <row r="607" spans="1:20" ht="14.5" customHeight="1" x14ac:dyDescent="0.3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>
        <v>-48024.3</v>
      </c>
      <c r="O607">
        <v>-9604.98</v>
      </c>
      <c r="P607">
        <v>-48025.38</v>
      </c>
      <c r="Q607" t="s">
        <v>122</v>
      </c>
      <c r="R607"/>
      <c r="S607"/>
      <c r="T607"/>
    </row>
    <row r="608" spans="1:20" ht="14.5" customHeight="1" x14ac:dyDescent="0.3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>
        <v>-191841.83</v>
      </c>
      <c r="O608">
        <v>-23439.71</v>
      </c>
      <c r="P608">
        <v>-169461.93</v>
      </c>
      <c r="Q608" t="s">
        <v>122</v>
      </c>
      <c r="R608"/>
      <c r="S608"/>
      <c r="T608"/>
    </row>
    <row r="609" spans="1:20" ht="14.5" customHeight="1" x14ac:dyDescent="0.3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>
        <v>111994.28</v>
      </c>
      <c r="O609">
        <v>13193.51</v>
      </c>
      <c r="P609">
        <v>42572.37</v>
      </c>
      <c r="Q609" t="s">
        <v>122</v>
      </c>
      <c r="R609"/>
      <c r="S609"/>
      <c r="T609"/>
    </row>
    <row r="610" spans="1:20" ht="14.5" customHeight="1" x14ac:dyDescent="0.3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>
        <v>0</v>
      </c>
      <c r="O610">
        <v>0</v>
      </c>
      <c r="P610">
        <v>0</v>
      </c>
      <c r="Q610" t="s">
        <v>122</v>
      </c>
      <c r="R610"/>
      <c r="S610"/>
      <c r="T610"/>
    </row>
    <row r="611" spans="1:20" ht="14.5" customHeight="1" x14ac:dyDescent="0.3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>
        <v>-4231.78</v>
      </c>
      <c r="O611">
        <v>-403.36</v>
      </c>
      <c r="P611">
        <v>-3056.3</v>
      </c>
      <c r="Q611" t="s">
        <v>122</v>
      </c>
      <c r="R611"/>
      <c r="S611"/>
      <c r="T611"/>
    </row>
    <row r="612" spans="1:20" ht="14.5" customHeight="1" x14ac:dyDescent="0.3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>
        <v>-20065.05</v>
      </c>
      <c r="O612">
        <v>0</v>
      </c>
      <c r="P612">
        <v>0</v>
      </c>
      <c r="Q612" t="s">
        <v>122</v>
      </c>
      <c r="R612"/>
      <c r="S612"/>
      <c r="T612"/>
    </row>
    <row r="613" spans="1:20" ht="14.5" customHeight="1" x14ac:dyDescent="0.3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>
        <v>0</v>
      </c>
      <c r="O613">
        <v>0</v>
      </c>
      <c r="P613">
        <v>0</v>
      </c>
      <c r="Q613" t="s">
        <v>122</v>
      </c>
      <c r="R613"/>
      <c r="S613"/>
      <c r="T613"/>
    </row>
    <row r="614" spans="1:20" ht="14.5" customHeight="1" x14ac:dyDescent="0.3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>
        <v>0</v>
      </c>
      <c r="O614">
        <v>0</v>
      </c>
      <c r="P614">
        <v>0</v>
      </c>
      <c r="Q614" t="s">
        <v>122</v>
      </c>
      <c r="R614"/>
      <c r="S614"/>
      <c r="T614"/>
    </row>
    <row r="615" spans="1:20" ht="14.5" customHeight="1" x14ac:dyDescent="0.3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>
        <v>-24296.83</v>
      </c>
      <c r="O615">
        <v>-403.36</v>
      </c>
      <c r="P615">
        <v>-3056.3</v>
      </c>
      <c r="Q615" t="s">
        <v>122</v>
      </c>
      <c r="R615"/>
      <c r="S615"/>
      <c r="T615"/>
    </row>
    <row r="616" spans="1:20" ht="14.5" customHeight="1" x14ac:dyDescent="0.3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>
        <v>136291.10999999999</v>
      </c>
      <c r="O616">
        <v>13596.87</v>
      </c>
      <c r="P616">
        <v>45628.67</v>
      </c>
      <c r="Q616" t="s">
        <v>122</v>
      </c>
      <c r="R616"/>
      <c r="S616"/>
      <c r="T616"/>
    </row>
    <row r="617" spans="1:20" x14ac:dyDescent="0.3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>
        <v>0</v>
      </c>
      <c r="O617">
        <v>0</v>
      </c>
      <c r="P617">
        <v>0</v>
      </c>
      <c r="Q617" t="s">
        <v>122</v>
      </c>
      <c r="R617"/>
      <c r="S617"/>
      <c r="T617"/>
    </row>
    <row r="618" spans="1:20" x14ac:dyDescent="0.3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>
        <v>0</v>
      </c>
      <c r="O618">
        <v>0</v>
      </c>
      <c r="P618">
        <v>0</v>
      </c>
      <c r="Q618" t="s">
        <v>122</v>
      </c>
      <c r="R618"/>
      <c r="S618"/>
      <c r="T618"/>
    </row>
    <row r="619" spans="1:20" ht="14.5" customHeight="1" x14ac:dyDescent="0.3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>
        <v>136291.10999999999</v>
      </c>
      <c r="O619">
        <v>13596.87</v>
      </c>
      <c r="P619">
        <v>45628.67</v>
      </c>
      <c r="Q619" t="s">
        <v>122</v>
      </c>
      <c r="R619"/>
      <c r="S619"/>
      <c r="T619"/>
    </row>
    <row r="620" spans="1:20" ht="14.5" customHeight="1" x14ac:dyDescent="0.3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>
        <v>63969.98</v>
      </c>
      <c r="O620">
        <v>3588.53</v>
      </c>
      <c r="P620">
        <v>-5453.01</v>
      </c>
      <c r="Q620" t="s">
        <v>122</v>
      </c>
      <c r="R620"/>
      <c r="S620"/>
      <c r="T620"/>
    </row>
    <row r="621" spans="1:20" s="218" customFormat="1" x14ac:dyDescent="0.3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 t="s">
        <v>132</v>
      </c>
      <c r="O621" t="s">
        <v>133</v>
      </c>
      <c r="P621" t="s">
        <v>134</v>
      </c>
      <c r="Q621" t="s">
        <v>121</v>
      </c>
      <c r="R621"/>
      <c r="S621"/>
      <c r="T621"/>
    </row>
    <row r="622" spans="1:20" ht="14.5" customHeight="1" x14ac:dyDescent="0.3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>
        <v>8268.82</v>
      </c>
      <c r="O622">
        <v>28363.49</v>
      </c>
      <c r="P622">
        <v>228407.1</v>
      </c>
      <c r="Q622" t="s">
        <v>122</v>
      </c>
      <c r="R622"/>
      <c r="S622"/>
      <c r="T622"/>
    </row>
    <row r="623" spans="1:20" ht="14.5" customHeight="1" x14ac:dyDescent="0.3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>
        <v>0</v>
      </c>
      <c r="O623">
        <v>0</v>
      </c>
      <c r="P623">
        <v>0</v>
      </c>
      <c r="Q623" t="s">
        <v>122</v>
      </c>
      <c r="R623"/>
      <c r="S623"/>
      <c r="T623"/>
    </row>
    <row r="624" spans="1:20" x14ac:dyDescent="0.3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>
        <v>8268.82</v>
      </c>
      <c r="O624">
        <v>28363.49</v>
      </c>
      <c r="P624">
        <v>228407.1</v>
      </c>
      <c r="Q624" t="s">
        <v>122</v>
      </c>
      <c r="R624"/>
      <c r="S624"/>
      <c r="T624"/>
    </row>
    <row r="625" spans="1:20" x14ac:dyDescent="0.3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>
        <v>0</v>
      </c>
      <c r="O625">
        <v>0</v>
      </c>
      <c r="P625">
        <v>0</v>
      </c>
      <c r="Q625" t="s">
        <v>122</v>
      </c>
      <c r="R625"/>
      <c r="S625"/>
      <c r="T625"/>
    </row>
    <row r="626" spans="1:20" x14ac:dyDescent="0.3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>
        <v>8268.82</v>
      </c>
      <c r="O626">
        <v>28363.49</v>
      </c>
      <c r="P626">
        <v>228407.1</v>
      </c>
      <c r="Q626" t="s">
        <v>122</v>
      </c>
      <c r="R626"/>
      <c r="S626"/>
      <c r="T626"/>
    </row>
    <row r="627" spans="1:20" ht="14.5" customHeight="1" x14ac:dyDescent="0.3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>
        <v>12183.25</v>
      </c>
      <c r="O627">
        <v>771.83</v>
      </c>
      <c r="P627">
        <v>16708.25</v>
      </c>
      <c r="Q627" t="s">
        <v>122</v>
      </c>
      <c r="R627"/>
      <c r="S627"/>
      <c r="T627"/>
    </row>
    <row r="628" spans="1:20" ht="14.5" customHeight="1" x14ac:dyDescent="0.3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>
        <v>0</v>
      </c>
      <c r="O628">
        <v>0</v>
      </c>
      <c r="P628">
        <v>0</v>
      </c>
      <c r="Q628" t="s">
        <v>122</v>
      </c>
      <c r="R628"/>
      <c r="S628"/>
      <c r="T628"/>
    </row>
    <row r="629" spans="1:20" ht="14.5" customHeight="1" x14ac:dyDescent="0.3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>
        <v>0</v>
      </c>
      <c r="O629">
        <v>2809.12</v>
      </c>
      <c r="P629">
        <v>25282.080000000002</v>
      </c>
      <c r="Q629" t="s">
        <v>122</v>
      </c>
      <c r="R629"/>
      <c r="S629"/>
      <c r="T629"/>
    </row>
    <row r="630" spans="1:20" ht="14.5" customHeight="1" x14ac:dyDescent="0.3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>
        <v>12183.25</v>
      </c>
      <c r="O630">
        <v>3580.95</v>
      </c>
      <c r="P630">
        <v>41990.33</v>
      </c>
      <c r="Q630" t="s">
        <v>122</v>
      </c>
      <c r="R630"/>
      <c r="S630"/>
      <c r="T630"/>
    </row>
    <row r="631" spans="1:20" ht="14.5" customHeight="1" x14ac:dyDescent="0.3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>
        <v>-3914.43</v>
      </c>
      <c r="O631">
        <v>24782.54</v>
      </c>
      <c r="P631">
        <v>186416.77</v>
      </c>
      <c r="Q631" t="s">
        <v>122</v>
      </c>
      <c r="R631"/>
      <c r="S631"/>
      <c r="T631"/>
    </row>
    <row r="632" spans="1:20" ht="14.5" customHeight="1" x14ac:dyDescent="0.3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>
        <v>0</v>
      </c>
      <c r="O632">
        <v>0</v>
      </c>
      <c r="P632">
        <v>0</v>
      </c>
      <c r="Q632" t="s">
        <v>122</v>
      </c>
      <c r="R632"/>
      <c r="S632"/>
      <c r="T632"/>
    </row>
    <row r="633" spans="1:20" ht="14.5" customHeight="1" x14ac:dyDescent="0.3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>
        <v>158.29</v>
      </c>
      <c r="O633">
        <v>158.29</v>
      </c>
      <c r="P633">
        <v>158.29</v>
      </c>
      <c r="Q633" t="s">
        <v>122</v>
      </c>
      <c r="R633"/>
      <c r="S633"/>
      <c r="T633"/>
    </row>
    <row r="634" spans="1:20" ht="14.5" customHeight="1" x14ac:dyDescent="0.3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>
        <v>3753.75</v>
      </c>
      <c r="O634">
        <v>2097.44</v>
      </c>
      <c r="P634">
        <v>3753.75</v>
      </c>
      <c r="Q634" t="s">
        <v>122</v>
      </c>
      <c r="R634"/>
      <c r="S634"/>
      <c r="T634"/>
    </row>
    <row r="635" spans="1:20" ht="14.5" customHeight="1" x14ac:dyDescent="0.3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>
        <v>0</v>
      </c>
      <c r="O635">
        <v>0</v>
      </c>
      <c r="P635">
        <v>0</v>
      </c>
      <c r="Q635" t="s">
        <v>122</v>
      </c>
      <c r="R635"/>
      <c r="S635"/>
      <c r="T635"/>
    </row>
    <row r="636" spans="1:20" ht="14.5" customHeight="1" x14ac:dyDescent="0.3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>
        <v>0</v>
      </c>
      <c r="O636">
        <v>0</v>
      </c>
      <c r="P636">
        <v>0</v>
      </c>
      <c r="Q636" t="s">
        <v>122</v>
      </c>
      <c r="R636"/>
      <c r="S636"/>
      <c r="T636"/>
    </row>
    <row r="637" spans="1:20" ht="14.5" customHeight="1" x14ac:dyDescent="0.3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>
        <v>3912.04</v>
      </c>
      <c r="O637">
        <v>2255.73</v>
      </c>
      <c r="P637">
        <v>3912.04</v>
      </c>
      <c r="Q637" t="s">
        <v>122</v>
      </c>
      <c r="R637"/>
      <c r="S637"/>
      <c r="T637"/>
    </row>
    <row r="638" spans="1:20" ht="14.5" customHeight="1" x14ac:dyDescent="0.3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>
        <v>-7826.47</v>
      </c>
      <c r="O638">
        <v>22526.81</v>
      </c>
      <c r="P638">
        <v>182504.73</v>
      </c>
      <c r="Q638" t="s">
        <v>122</v>
      </c>
      <c r="R638"/>
      <c r="S638"/>
      <c r="T638"/>
    </row>
    <row r="639" spans="1:20" x14ac:dyDescent="0.3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>
        <v>0</v>
      </c>
      <c r="O639">
        <v>0</v>
      </c>
      <c r="P639">
        <v>0</v>
      </c>
      <c r="Q639" t="s">
        <v>122</v>
      </c>
      <c r="R639"/>
      <c r="S639"/>
      <c r="T639"/>
    </row>
    <row r="640" spans="1:20" x14ac:dyDescent="0.3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>
        <v>0</v>
      </c>
      <c r="O640">
        <v>0</v>
      </c>
      <c r="P640">
        <v>0</v>
      </c>
      <c r="Q640" t="s">
        <v>122</v>
      </c>
      <c r="R640"/>
      <c r="S640"/>
      <c r="T640"/>
    </row>
    <row r="641" spans="1:20" ht="14.5" customHeight="1" x14ac:dyDescent="0.3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>
        <v>-7826.47</v>
      </c>
      <c r="O641">
        <v>22526.81</v>
      </c>
      <c r="P641">
        <v>182504.73</v>
      </c>
      <c r="Q641" t="s">
        <v>122</v>
      </c>
      <c r="R641"/>
      <c r="S641"/>
      <c r="T641"/>
    </row>
    <row r="642" spans="1:20" ht="14.5" customHeight="1" x14ac:dyDescent="0.3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>
        <v>-3914.43</v>
      </c>
      <c r="O642">
        <v>27591.66</v>
      </c>
      <c r="P642">
        <v>211698.85</v>
      </c>
      <c r="Q642" t="s">
        <v>122</v>
      </c>
      <c r="R642"/>
      <c r="S642"/>
      <c r="T642"/>
    </row>
    <row r="643" spans="1:20" s="218" customFormat="1" x14ac:dyDescent="0.3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 t="s">
        <v>132</v>
      </c>
      <c r="O643" t="s">
        <v>133</v>
      </c>
      <c r="P643" t="s">
        <v>134</v>
      </c>
      <c r="Q643" t="s">
        <v>121</v>
      </c>
      <c r="R643"/>
      <c r="S643"/>
      <c r="T643"/>
    </row>
    <row r="644" spans="1:20" ht="14.5" customHeight="1" x14ac:dyDescent="0.3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>
        <v>0</v>
      </c>
      <c r="O644">
        <v>2500</v>
      </c>
      <c r="P644">
        <v>22500</v>
      </c>
      <c r="Q644" t="s">
        <v>122</v>
      </c>
      <c r="R644"/>
      <c r="S644"/>
      <c r="T644"/>
    </row>
    <row r="645" spans="1:20" ht="14.5" customHeight="1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>
        <v>0</v>
      </c>
      <c r="O645">
        <v>0</v>
      </c>
      <c r="P645">
        <v>0</v>
      </c>
      <c r="Q645" t="s">
        <v>122</v>
      </c>
      <c r="R645"/>
      <c r="S645"/>
      <c r="T645"/>
    </row>
    <row r="646" spans="1:20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>
        <v>0</v>
      </c>
      <c r="O646">
        <v>2500</v>
      </c>
      <c r="P646">
        <v>22500</v>
      </c>
      <c r="Q646" t="s">
        <v>122</v>
      </c>
      <c r="R646"/>
      <c r="S646"/>
      <c r="T646"/>
    </row>
    <row r="647" spans="1:20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>
        <v>0</v>
      </c>
      <c r="O647">
        <v>0</v>
      </c>
      <c r="P647">
        <v>0</v>
      </c>
      <c r="Q647" t="s">
        <v>122</v>
      </c>
      <c r="R647"/>
      <c r="S647"/>
      <c r="T647"/>
    </row>
    <row r="648" spans="1:20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>
        <v>0</v>
      </c>
      <c r="O648">
        <v>2500</v>
      </c>
      <c r="P648">
        <v>22500</v>
      </c>
      <c r="Q648" t="s">
        <v>122</v>
      </c>
      <c r="R648"/>
      <c r="S648"/>
      <c r="T648"/>
    </row>
    <row r="649" spans="1:20" ht="14.5" customHeight="1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>
        <v>0</v>
      </c>
      <c r="O649">
        <v>0</v>
      </c>
      <c r="P649">
        <v>0</v>
      </c>
      <c r="Q649" t="s">
        <v>122</v>
      </c>
      <c r="R649"/>
      <c r="S649"/>
      <c r="T649"/>
    </row>
    <row r="650" spans="1:20" ht="14.5" customHeight="1" x14ac:dyDescent="0.3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>
        <v>-356.73</v>
      </c>
      <c r="O650">
        <v>1671.42</v>
      </c>
      <c r="P650">
        <v>1823.68</v>
      </c>
      <c r="Q650" t="s">
        <v>122</v>
      </c>
      <c r="R650"/>
      <c r="S650"/>
      <c r="T650"/>
    </row>
    <row r="651" spans="1:20" ht="14.5" customHeight="1" x14ac:dyDescent="0.3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>
        <v>0</v>
      </c>
      <c r="O651">
        <v>0</v>
      </c>
      <c r="P651">
        <v>0</v>
      </c>
      <c r="Q651" t="s">
        <v>122</v>
      </c>
      <c r="R651"/>
      <c r="S651"/>
      <c r="T651"/>
    </row>
    <row r="652" spans="1:20" ht="14.5" customHeight="1" x14ac:dyDescent="0.3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>
        <v>-356.73</v>
      </c>
      <c r="O652">
        <v>1671.42</v>
      </c>
      <c r="P652">
        <v>1823.68</v>
      </c>
      <c r="Q652" t="s">
        <v>122</v>
      </c>
      <c r="R652"/>
      <c r="S652"/>
      <c r="T652"/>
    </row>
    <row r="653" spans="1:20" ht="14.5" customHeight="1" x14ac:dyDescent="0.3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>
        <v>356.73</v>
      </c>
      <c r="O653">
        <v>828.58</v>
      </c>
      <c r="P653">
        <v>20676.32</v>
      </c>
      <c r="Q653" t="s">
        <v>122</v>
      </c>
      <c r="R653"/>
      <c r="S653"/>
      <c r="T653"/>
    </row>
    <row r="654" spans="1:20" ht="14.5" customHeight="1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>
        <v>0</v>
      </c>
      <c r="O654">
        <v>0</v>
      </c>
      <c r="P654">
        <v>0</v>
      </c>
      <c r="Q654" t="s">
        <v>122</v>
      </c>
      <c r="R654"/>
      <c r="S654"/>
      <c r="T654"/>
    </row>
    <row r="655" spans="1:20" ht="14.5" customHeight="1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>
        <v>0</v>
      </c>
      <c r="O655">
        <v>0</v>
      </c>
      <c r="P655">
        <v>0</v>
      </c>
      <c r="Q655" t="s">
        <v>122</v>
      </c>
      <c r="R655"/>
      <c r="S655"/>
      <c r="T655"/>
    </row>
    <row r="656" spans="1:20" ht="14.5" customHeight="1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>
        <v>4464.99</v>
      </c>
      <c r="O656">
        <v>4464.99</v>
      </c>
      <c r="P656">
        <v>4464.99</v>
      </c>
      <c r="Q656" t="s">
        <v>122</v>
      </c>
      <c r="R656"/>
      <c r="S656"/>
      <c r="T656"/>
    </row>
    <row r="657" spans="1:20" ht="14.5" customHeight="1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>
        <v>0</v>
      </c>
      <c r="O657">
        <v>0</v>
      </c>
      <c r="P657">
        <v>0</v>
      </c>
      <c r="Q657" t="s">
        <v>122</v>
      </c>
      <c r="R657"/>
      <c r="S657"/>
      <c r="T657"/>
    </row>
    <row r="658" spans="1:20" ht="14.5" customHeight="1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>
        <v>0</v>
      </c>
      <c r="O658">
        <v>0</v>
      </c>
      <c r="P658">
        <v>0</v>
      </c>
      <c r="Q658" t="s">
        <v>122</v>
      </c>
      <c r="R658"/>
      <c r="S658"/>
      <c r="T658"/>
    </row>
    <row r="659" spans="1:20" ht="14.5" customHeight="1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>
        <v>4464.99</v>
      </c>
      <c r="O659">
        <v>4464.99</v>
      </c>
      <c r="P659">
        <v>4464.99</v>
      </c>
      <c r="Q659" t="s">
        <v>122</v>
      </c>
      <c r="R659"/>
      <c r="S659"/>
      <c r="T659"/>
    </row>
    <row r="660" spans="1:20" ht="14.5" customHeight="1" x14ac:dyDescent="0.3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>
        <v>-4108.26</v>
      </c>
      <c r="O660">
        <v>-3636.41</v>
      </c>
      <c r="P660">
        <v>16211.33</v>
      </c>
      <c r="Q660" t="s">
        <v>122</v>
      </c>
      <c r="R660"/>
      <c r="S660"/>
      <c r="T660"/>
    </row>
    <row r="661" spans="1:20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>
        <v>0</v>
      </c>
      <c r="O661">
        <v>0</v>
      </c>
      <c r="P661">
        <v>0</v>
      </c>
      <c r="Q661" t="s">
        <v>122</v>
      </c>
      <c r="R661"/>
      <c r="S661"/>
      <c r="T661"/>
    </row>
    <row r="662" spans="1:20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>
        <v>0</v>
      </c>
      <c r="O662">
        <v>0</v>
      </c>
      <c r="P662">
        <v>0</v>
      </c>
      <c r="Q662" t="s">
        <v>122</v>
      </c>
      <c r="R662"/>
      <c r="S662"/>
      <c r="T662"/>
    </row>
    <row r="663" spans="1:20" ht="14.5" customHeight="1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>
        <v>-4108.26</v>
      </c>
      <c r="O663">
        <v>-3636.41</v>
      </c>
      <c r="P663">
        <v>16211.33</v>
      </c>
      <c r="Q663" t="s">
        <v>122</v>
      </c>
      <c r="R663"/>
      <c r="S663"/>
      <c r="T663"/>
    </row>
    <row r="664" spans="1:20" ht="14.5" customHeight="1" x14ac:dyDescent="0.3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>
        <v>356.73</v>
      </c>
      <c r="O664">
        <v>828.58</v>
      </c>
      <c r="P664">
        <v>20676.32</v>
      </c>
      <c r="Q664" t="s">
        <v>122</v>
      </c>
      <c r="R664"/>
      <c r="S664"/>
      <c r="T664"/>
    </row>
    <row r="665" spans="1:20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 t="s">
        <v>132</v>
      </c>
      <c r="O665" t="s">
        <v>133</v>
      </c>
      <c r="P665" t="s">
        <v>134</v>
      </c>
      <c r="Q665" t="s">
        <v>121</v>
      </c>
      <c r="R665"/>
      <c r="S665"/>
      <c r="T665"/>
    </row>
    <row r="666" spans="1:20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>
        <v>-10335514.42</v>
      </c>
      <c r="O666">
        <v>-1721684</v>
      </c>
      <c r="P666">
        <v>-9906643.9900000002</v>
      </c>
      <c r="Q666" t="s">
        <v>122</v>
      </c>
      <c r="R666"/>
      <c r="S666"/>
      <c r="T666"/>
    </row>
    <row r="667" spans="1:20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>
        <v>-420923.8</v>
      </c>
      <c r="O667">
        <v>0</v>
      </c>
      <c r="P667">
        <v>439666.46</v>
      </c>
      <c r="Q667" t="s">
        <v>122</v>
      </c>
      <c r="R667"/>
      <c r="S667"/>
      <c r="T667"/>
    </row>
    <row r="668" spans="1:20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>
        <v>-9914590.6199999992</v>
      </c>
      <c r="O668">
        <v>-1721684</v>
      </c>
      <c r="P668">
        <v>-10346310.449999999</v>
      </c>
      <c r="Q668" t="s">
        <v>122</v>
      </c>
      <c r="R668"/>
      <c r="S668"/>
      <c r="T668"/>
    </row>
    <row r="669" spans="1:20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>
        <v>-3795757.95</v>
      </c>
      <c r="O669">
        <v>-650797</v>
      </c>
      <c r="P669">
        <v>-3959665.06</v>
      </c>
      <c r="Q669" t="s">
        <v>122</v>
      </c>
      <c r="R669"/>
      <c r="S669"/>
      <c r="T669"/>
    </row>
    <row r="670" spans="1:20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>
        <v>0</v>
      </c>
      <c r="O670">
        <v>0</v>
      </c>
      <c r="P670">
        <v>0</v>
      </c>
      <c r="Q670" t="s">
        <v>122</v>
      </c>
      <c r="R670"/>
      <c r="S670"/>
      <c r="T670"/>
    </row>
    <row r="671" spans="1:20" x14ac:dyDescent="0.3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>
        <v>-6118832.6699999999</v>
      </c>
      <c r="O671">
        <v>-1070887</v>
      </c>
      <c r="P671">
        <v>-6386645.3899999997</v>
      </c>
      <c r="Q671" t="s">
        <v>122</v>
      </c>
      <c r="R671"/>
      <c r="S671"/>
      <c r="T671"/>
    </row>
    <row r="672" spans="1:20" x14ac:dyDescent="0.3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>
        <v>-5502793.3499999996</v>
      </c>
      <c r="O672">
        <v>-977070</v>
      </c>
      <c r="P672">
        <v>-5719280.6600000001</v>
      </c>
      <c r="Q672" t="s">
        <v>122</v>
      </c>
      <c r="R672"/>
      <c r="S672"/>
      <c r="T672"/>
    </row>
    <row r="673" spans="1:20" x14ac:dyDescent="0.3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>
        <v>-540846.76</v>
      </c>
      <c r="O673">
        <v>-99382.720000000001</v>
      </c>
      <c r="P673">
        <v>-540845.61</v>
      </c>
      <c r="Q673" t="s">
        <v>122</v>
      </c>
      <c r="R673"/>
      <c r="S673"/>
      <c r="T673"/>
    </row>
    <row r="674" spans="1:20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>
        <v>-76911.5</v>
      </c>
      <c r="O674">
        <v>-14307</v>
      </c>
      <c r="P674">
        <v>-67233.8</v>
      </c>
      <c r="Q674" t="s">
        <v>122</v>
      </c>
      <c r="R674"/>
      <c r="S674"/>
      <c r="T674"/>
    </row>
    <row r="675" spans="1:20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>
        <v>-6120551.6100000003</v>
      </c>
      <c r="O675">
        <v>-1090759.72</v>
      </c>
      <c r="P675">
        <v>-6327360.0700000003</v>
      </c>
      <c r="Q675" t="s">
        <v>122</v>
      </c>
      <c r="R675"/>
      <c r="S675"/>
      <c r="T675"/>
    </row>
    <row r="676" spans="1:20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>
        <v>1718.94</v>
      </c>
      <c r="O676">
        <v>19872.72</v>
      </c>
      <c r="P676">
        <v>-59285.32</v>
      </c>
      <c r="Q676" t="s">
        <v>122</v>
      </c>
      <c r="R676"/>
      <c r="S676"/>
      <c r="T676"/>
    </row>
    <row r="677" spans="1:20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>
        <v>0</v>
      </c>
      <c r="O677">
        <v>0</v>
      </c>
      <c r="P677">
        <v>0</v>
      </c>
      <c r="Q677" t="s">
        <v>122</v>
      </c>
      <c r="R677"/>
      <c r="S677"/>
      <c r="T677"/>
    </row>
    <row r="678" spans="1:20" x14ac:dyDescent="0.3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>
        <v>309657.65999999997</v>
      </c>
      <c r="O678">
        <v>41005</v>
      </c>
      <c r="P678">
        <v>296365.40000000002</v>
      </c>
      <c r="Q678" t="s">
        <v>122</v>
      </c>
      <c r="R678"/>
      <c r="S678"/>
      <c r="T678"/>
    </row>
    <row r="679" spans="1:20" x14ac:dyDescent="0.3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>
        <v>-162248.26</v>
      </c>
      <c r="O679">
        <v>-30427</v>
      </c>
      <c r="P679">
        <v>-160335.24</v>
      </c>
      <c r="Q679" t="s">
        <v>122</v>
      </c>
      <c r="R679"/>
      <c r="S679"/>
      <c r="T679"/>
    </row>
    <row r="680" spans="1:20" x14ac:dyDescent="0.3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>
        <v>0</v>
      </c>
      <c r="O680">
        <v>0</v>
      </c>
      <c r="P680">
        <v>0</v>
      </c>
      <c r="Q680" t="s">
        <v>122</v>
      </c>
      <c r="R680"/>
      <c r="S680"/>
      <c r="T680"/>
    </row>
    <row r="681" spans="1:20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>
        <v>0</v>
      </c>
      <c r="O681">
        <v>0</v>
      </c>
      <c r="P681">
        <v>0</v>
      </c>
      <c r="Q681" t="s">
        <v>122</v>
      </c>
      <c r="R681"/>
      <c r="S681"/>
      <c r="T681"/>
    </row>
    <row r="682" spans="1:20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>
        <v>147409.4</v>
      </c>
      <c r="O682">
        <v>10578</v>
      </c>
      <c r="P682">
        <v>136030.16</v>
      </c>
      <c r="Q682" t="s">
        <v>122</v>
      </c>
      <c r="R682"/>
      <c r="S682"/>
      <c r="T682"/>
    </row>
    <row r="683" spans="1:20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>
        <v>-145690.46</v>
      </c>
      <c r="O683">
        <v>9294.7199999999993</v>
      </c>
      <c r="P683">
        <v>-195315.48</v>
      </c>
      <c r="Q683" t="s">
        <v>122</v>
      </c>
      <c r="R683"/>
      <c r="S683"/>
      <c r="T683"/>
    </row>
    <row r="684" spans="1:20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>
        <v>-24689.33</v>
      </c>
      <c r="O684">
        <v>0</v>
      </c>
      <c r="P684">
        <v>12436.39</v>
      </c>
      <c r="Q684" t="s">
        <v>122</v>
      </c>
      <c r="R684"/>
      <c r="S684"/>
      <c r="T684"/>
    </row>
    <row r="685" spans="1:20" x14ac:dyDescent="0.3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>
        <v>0</v>
      </c>
      <c r="O685">
        <v>0</v>
      </c>
      <c r="P685">
        <v>0</v>
      </c>
      <c r="Q685" t="s">
        <v>122</v>
      </c>
      <c r="R685"/>
      <c r="S685"/>
      <c r="T685"/>
    </row>
    <row r="686" spans="1:20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>
        <v>-121001.13</v>
      </c>
      <c r="O686">
        <v>9294.7199999999993</v>
      </c>
      <c r="P686">
        <v>-207751.87</v>
      </c>
      <c r="Q686" t="s">
        <v>122</v>
      </c>
      <c r="R686"/>
      <c r="S686"/>
      <c r="T686"/>
    </row>
    <row r="687" spans="1:20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>
        <v>-75192.56</v>
      </c>
      <c r="O687">
        <v>5565.72</v>
      </c>
      <c r="P687">
        <v>-126519.12</v>
      </c>
      <c r="Q687" t="s">
        <v>122</v>
      </c>
      <c r="R687"/>
      <c r="S687"/>
      <c r="T687"/>
    </row>
    <row r="688" spans="1:20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topLeftCell="A49" zoomScale="70" zoomScaleNormal="70" workbookViewId="0">
      <selection activeCell="J49" sqref="A1:J1048576"/>
    </sheetView>
  </sheetViews>
  <sheetFormatPr baseColWidth="10" defaultColWidth="8.7265625" defaultRowHeight="14.5" x14ac:dyDescent="0.35"/>
  <cols>
    <col min="1" max="1" width="17" style="178" bestFit="1" customWidth="1"/>
    <col min="2" max="2" width="33.81640625" style="178" bestFit="1" customWidth="1"/>
    <col min="3" max="3" width="10.81640625" style="178" bestFit="1" customWidth="1"/>
    <col min="4" max="8" width="8.7265625" style="178"/>
    <col min="9" max="9" width="8.7265625" style="178" customWidth="1"/>
    <col min="10" max="16384" width="8.7265625" style="178"/>
  </cols>
  <sheetData>
    <row r="1" spans="1:10" x14ac:dyDescent="0.35">
      <c r="A1"/>
      <c r="B1"/>
      <c r="C1"/>
      <c r="D1"/>
      <c r="E1"/>
      <c r="F1"/>
      <c r="G1"/>
      <c r="H1"/>
      <c r="I1"/>
      <c r="J1"/>
    </row>
    <row r="2" spans="1:10" x14ac:dyDescent="0.35">
      <c r="A2"/>
      <c r="B2"/>
      <c r="C2"/>
      <c r="D2"/>
      <c r="E2"/>
      <c r="F2"/>
      <c r="G2"/>
      <c r="H2"/>
      <c r="I2"/>
      <c r="J2"/>
    </row>
    <row r="3" spans="1:10" x14ac:dyDescent="0.35">
      <c r="A3"/>
      <c r="B3"/>
      <c r="C3"/>
      <c r="D3"/>
      <c r="E3"/>
      <c r="F3"/>
      <c r="G3"/>
      <c r="H3"/>
      <c r="I3"/>
      <c r="J3"/>
    </row>
    <row r="4" spans="1:10" x14ac:dyDescent="0.35">
      <c r="A4"/>
      <c r="B4"/>
      <c r="C4"/>
      <c r="D4"/>
      <c r="E4"/>
      <c r="F4"/>
      <c r="G4"/>
      <c r="H4"/>
      <c r="I4"/>
      <c r="J4"/>
    </row>
    <row r="5" spans="1:10" x14ac:dyDescent="0.35">
      <c r="A5"/>
      <c r="B5"/>
      <c r="C5"/>
      <c r="D5"/>
      <c r="E5"/>
      <c r="F5"/>
      <c r="G5"/>
      <c r="H5"/>
      <c r="I5"/>
      <c r="J5"/>
    </row>
    <row r="6" spans="1:10" x14ac:dyDescent="0.35">
      <c r="A6"/>
      <c r="B6"/>
      <c r="C6"/>
      <c r="D6"/>
      <c r="E6"/>
      <c r="F6"/>
      <c r="G6"/>
      <c r="H6"/>
      <c r="I6"/>
      <c r="J6"/>
    </row>
    <row r="7" spans="1:10" x14ac:dyDescent="0.35">
      <c r="A7"/>
      <c r="B7"/>
      <c r="C7"/>
      <c r="D7"/>
      <c r="E7"/>
      <c r="F7"/>
      <c r="G7"/>
      <c r="H7"/>
      <c r="I7"/>
      <c r="J7"/>
    </row>
    <row r="8" spans="1:10" x14ac:dyDescent="0.35">
      <c r="A8"/>
      <c r="B8"/>
      <c r="C8"/>
      <c r="D8"/>
      <c r="E8"/>
      <c r="F8"/>
      <c r="G8"/>
      <c r="H8"/>
      <c r="I8"/>
      <c r="J8"/>
    </row>
    <row r="9" spans="1:10" x14ac:dyDescent="0.35">
      <c r="A9"/>
      <c r="B9"/>
      <c r="C9"/>
      <c r="D9"/>
      <c r="E9"/>
      <c r="F9"/>
      <c r="G9"/>
      <c r="H9"/>
      <c r="I9"/>
      <c r="J9"/>
    </row>
    <row r="10" spans="1:10" x14ac:dyDescent="0.35">
      <c r="A10"/>
      <c r="B10"/>
      <c r="C10"/>
      <c r="D10"/>
      <c r="E10"/>
      <c r="F10"/>
      <c r="G10"/>
      <c r="H10"/>
      <c r="I10"/>
      <c r="J10"/>
    </row>
    <row r="11" spans="1:10" x14ac:dyDescent="0.35">
      <c r="A11"/>
      <c r="B11"/>
      <c r="C11"/>
      <c r="D11"/>
      <c r="E11"/>
      <c r="F11"/>
      <c r="G11"/>
      <c r="H11"/>
      <c r="I11"/>
      <c r="J11"/>
    </row>
    <row r="12" spans="1:10" x14ac:dyDescent="0.35">
      <c r="A12"/>
      <c r="B12"/>
      <c r="C12"/>
      <c r="D12"/>
      <c r="E12"/>
      <c r="F12"/>
      <c r="G12"/>
      <c r="H12"/>
      <c r="I12"/>
      <c r="J12"/>
    </row>
    <row r="13" spans="1:10" x14ac:dyDescent="0.35">
      <c r="A13"/>
      <c r="B13"/>
      <c r="C13"/>
      <c r="D13"/>
      <c r="E13"/>
      <c r="F13"/>
      <c r="G13"/>
      <c r="H13"/>
      <c r="I13"/>
      <c r="J13"/>
    </row>
    <row r="14" spans="1:10" x14ac:dyDescent="0.35">
      <c r="A14"/>
      <c r="B14"/>
      <c r="C14"/>
      <c r="D14"/>
      <c r="E14"/>
      <c r="F14"/>
      <c r="G14"/>
      <c r="H14"/>
      <c r="I14"/>
      <c r="J14"/>
    </row>
    <row r="15" spans="1:10" x14ac:dyDescent="0.35">
      <c r="A15"/>
      <c r="B15"/>
      <c r="C15"/>
      <c r="D15"/>
      <c r="E15"/>
      <c r="F15"/>
      <c r="G15"/>
      <c r="H15"/>
      <c r="I15"/>
      <c r="J15"/>
    </row>
    <row r="16" spans="1:10" x14ac:dyDescent="0.35">
      <c r="A16"/>
      <c r="B16"/>
      <c r="C16"/>
      <c r="D16"/>
      <c r="E16"/>
      <c r="F16"/>
      <c r="G16"/>
      <c r="H16"/>
      <c r="I16"/>
      <c r="J16"/>
    </row>
    <row r="17" spans="1:10" x14ac:dyDescent="0.35">
      <c r="A17"/>
      <c r="B17"/>
      <c r="C17"/>
      <c r="D17"/>
      <c r="E17"/>
      <c r="F17"/>
      <c r="G17"/>
      <c r="H17"/>
      <c r="I17"/>
      <c r="J17"/>
    </row>
    <row r="18" spans="1:10" x14ac:dyDescent="0.35">
      <c r="A18"/>
      <c r="B18"/>
      <c r="C18"/>
      <c r="D18"/>
      <c r="E18"/>
      <c r="F18"/>
      <c r="G18"/>
      <c r="H18"/>
      <c r="I18"/>
      <c r="J18"/>
    </row>
    <row r="19" spans="1:10" x14ac:dyDescent="0.35">
      <c r="A19"/>
      <c r="B19"/>
      <c r="C19"/>
      <c r="D19"/>
      <c r="E19"/>
      <c r="F19"/>
      <c r="G19"/>
      <c r="H19"/>
      <c r="I19"/>
      <c r="J19"/>
    </row>
    <row r="20" spans="1:10" x14ac:dyDescent="0.35">
      <c r="A20"/>
      <c r="B20"/>
      <c r="C20"/>
      <c r="D20"/>
      <c r="E20"/>
      <c r="F20"/>
      <c r="G20"/>
      <c r="H20"/>
      <c r="I20"/>
      <c r="J20"/>
    </row>
    <row r="21" spans="1:10" x14ac:dyDescent="0.35">
      <c r="A21"/>
      <c r="B21"/>
      <c r="C21"/>
      <c r="D21"/>
      <c r="E21"/>
      <c r="F21"/>
      <c r="G21"/>
      <c r="H21"/>
      <c r="I21"/>
      <c r="J21"/>
    </row>
    <row r="22" spans="1:10" x14ac:dyDescent="0.35">
      <c r="A22"/>
      <c r="B22"/>
      <c r="C22"/>
      <c r="D22"/>
      <c r="E22"/>
      <c r="F22"/>
      <c r="G22"/>
      <c r="H22"/>
      <c r="I22"/>
      <c r="J22"/>
    </row>
    <row r="23" spans="1:10" x14ac:dyDescent="0.35">
      <c r="A23"/>
      <c r="B23"/>
      <c r="C23"/>
      <c r="D23"/>
      <c r="E23"/>
      <c r="F23"/>
      <c r="G23"/>
      <c r="H23"/>
      <c r="I23"/>
      <c r="J23"/>
    </row>
    <row r="24" spans="1:10" x14ac:dyDescent="0.35">
      <c r="A24"/>
      <c r="B24"/>
      <c r="C24"/>
      <c r="D24"/>
      <c r="E24"/>
      <c r="F24"/>
      <c r="G24"/>
      <c r="H24"/>
      <c r="I24"/>
      <c r="J24"/>
    </row>
    <row r="25" spans="1:10" x14ac:dyDescent="0.35">
      <c r="A25"/>
      <c r="B25"/>
      <c r="C25"/>
      <c r="D25"/>
      <c r="E25"/>
      <c r="F25"/>
      <c r="G25"/>
      <c r="H25"/>
      <c r="I25"/>
      <c r="J25"/>
    </row>
    <row r="26" spans="1:10" x14ac:dyDescent="0.35">
      <c r="A26"/>
      <c r="B26"/>
      <c r="C26"/>
      <c r="D26"/>
      <c r="E26"/>
      <c r="F26"/>
      <c r="G26"/>
      <c r="H26"/>
      <c r="I26"/>
      <c r="J26"/>
    </row>
    <row r="27" spans="1:10" x14ac:dyDescent="0.35">
      <c r="A27"/>
      <c r="B27"/>
      <c r="C27"/>
      <c r="D27"/>
      <c r="E27"/>
      <c r="F27"/>
      <c r="G27"/>
      <c r="H27"/>
      <c r="I27"/>
      <c r="J27"/>
    </row>
    <row r="28" spans="1:10" x14ac:dyDescent="0.35">
      <c r="A28"/>
      <c r="B28"/>
      <c r="C28"/>
      <c r="D28"/>
      <c r="E28"/>
      <c r="F28"/>
      <c r="G28"/>
      <c r="H28"/>
      <c r="I28"/>
      <c r="J28"/>
    </row>
    <row r="29" spans="1:10" x14ac:dyDescent="0.35">
      <c r="A29"/>
      <c r="B29"/>
      <c r="C29"/>
      <c r="D29"/>
      <c r="E29"/>
      <c r="F29"/>
      <c r="G29"/>
      <c r="H29"/>
      <c r="I29"/>
      <c r="J29"/>
    </row>
    <row r="30" spans="1:10" x14ac:dyDescent="0.35">
      <c r="A30"/>
      <c r="B30"/>
      <c r="C30"/>
      <c r="D30"/>
      <c r="E30"/>
      <c r="F30"/>
      <c r="G30"/>
      <c r="H30"/>
      <c r="I30"/>
      <c r="J30"/>
    </row>
    <row r="31" spans="1:10" x14ac:dyDescent="0.35">
      <c r="A31"/>
      <c r="B31"/>
      <c r="C31"/>
      <c r="D31"/>
      <c r="E31"/>
      <c r="F31"/>
      <c r="G31"/>
      <c r="H31"/>
      <c r="I31"/>
      <c r="J31"/>
    </row>
    <row r="32" spans="1:10" x14ac:dyDescent="0.35">
      <c r="A32"/>
      <c r="B32"/>
      <c r="C32"/>
      <c r="D32"/>
      <c r="E32"/>
      <c r="F32"/>
      <c r="G32"/>
      <c r="H32"/>
      <c r="I32"/>
      <c r="J32"/>
    </row>
    <row r="33" spans="1:10" x14ac:dyDescent="0.35">
      <c r="A33"/>
      <c r="B33"/>
      <c r="C33"/>
      <c r="D33"/>
      <c r="E33"/>
      <c r="F33"/>
      <c r="G33"/>
      <c r="H33"/>
      <c r="I33"/>
      <c r="J33"/>
    </row>
    <row r="34" spans="1:10" x14ac:dyDescent="0.35">
      <c r="A34"/>
      <c r="B34"/>
      <c r="C34"/>
      <c r="D34"/>
      <c r="E34"/>
      <c r="F34"/>
      <c r="G34"/>
      <c r="H34"/>
      <c r="I34"/>
      <c r="J34"/>
    </row>
    <row r="35" spans="1:10" x14ac:dyDescent="0.35">
      <c r="A35"/>
      <c r="B35"/>
      <c r="C35"/>
      <c r="D35"/>
      <c r="E35"/>
      <c r="F35"/>
      <c r="G35"/>
      <c r="H35"/>
      <c r="I35"/>
      <c r="J35"/>
    </row>
    <row r="36" spans="1:10" x14ac:dyDescent="0.35">
      <c r="A36"/>
      <c r="B36"/>
      <c r="C36"/>
      <c r="D36"/>
      <c r="E36"/>
      <c r="F36"/>
      <c r="G36"/>
      <c r="H36"/>
      <c r="I36"/>
      <c r="J36"/>
    </row>
    <row r="37" spans="1:10" x14ac:dyDescent="0.35">
      <c r="A37"/>
      <c r="B37"/>
      <c r="C37"/>
      <c r="D37"/>
      <c r="E37"/>
      <c r="F37"/>
      <c r="G37"/>
      <c r="H37"/>
      <c r="I37"/>
      <c r="J37"/>
    </row>
    <row r="38" spans="1:10" x14ac:dyDescent="0.35">
      <c r="A38"/>
      <c r="B38"/>
      <c r="C38"/>
      <c r="D38"/>
      <c r="E38"/>
      <c r="F38"/>
      <c r="G38"/>
      <c r="H38"/>
      <c r="I38"/>
      <c r="J38"/>
    </row>
    <row r="39" spans="1:10" x14ac:dyDescent="0.35">
      <c r="A39"/>
      <c r="B39"/>
      <c r="C39"/>
      <c r="D39"/>
      <c r="E39"/>
      <c r="F39"/>
      <c r="G39"/>
      <c r="H39"/>
      <c r="I39"/>
      <c r="J39"/>
    </row>
    <row r="40" spans="1:10" x14ac:dyDescent="0.35">
      <c r="A40"/>
      <c r="B40"/>
      <c r="C40"/>
      <c r="D40"/>
      <c r="E40"/>
      <c r="F40"/>
      <c r="G40"/>
      <c r="H40"/>
      <c r="I40"/>
      <c r="J40"/>
    </row>
    <row r="41" spans="1:10" x14ac:dyDescent="0.35">
      <c r="A41"/>
      <c r="B41"/>
      <c r="C41"/>
      <c r="D41"/>
      <c r="E41"/>
      <c r="F41"/>
      <c r="G41"/>
      <c r="H41"/>
      <c r="I41"/>
      <c r="J41"/>
    </row>
    <row r="42" spans="1:10" x14ac:dyDescent="0.35">
      <c r="A42"/>
      <c r="B42"/>
      <c r="C42"/>
      <c r="D42"/>
      <c r="E42"/>
      <c r="F42"/>
      <c r="G42"/>
      <c r="H42"/>
      <c r="I42"/>
      <c r="J42"/>
    </row>
    <row r="43" spans="1:10" x14ac:dyDescent="0.35">
      <c r="A43"/>
      <c r="B43"/>
      <c r="C43"/>
      <c r="D43"/>
      <c r="E43"/>
      <c r="F43"/>
      <c r="G43"/>
      <c r="H43"/>
      <c r="I43"/>
      <c r="J43"/>
    </row>
    <row r="44" spans="1:10" x14ac:dyDescent="0.35">
      <c r="A44"/>
      <c r="B44"/>
      <c r="C44"/>
      <c r="D44"/>
      <c r="E44"/>
      <c r="F44"/>
      <c r="G44"/>
      <c r="H44"/>
      <c r="I44"/>
      <c r="J44"/>
    </row>
    <row r="45" spans="1:10" x14ac:dyDescent="0.35">
      <c r="A45"/>
      <c r="B45"/>
      <c r="C45"/>
      <c r="D45"/>
      <c r="E45"/>
      <c r="F45"/>
      <c r="G45"/>
      <c r="H45"/>
      <c r="I45"/>
      <c r="J45"/>
    </row>
    <row r="46" spans="1:10" x14ac:dyDescent="0.35">
      <c r="A46"/>
      <c r="B46"/>
      <c r="C46"/>
      <c r="D46"/>
      <c r="E46"/>
      <c r="F46"/>
      <c r="G46"/>
      <c r="H46"/>
      <c r="I46"/>
      <c r="J46"/>
    </row>
    <row r="47" spans="1:10" x14ac:dyDescent="0.35">
      <c r="A47"/>
      <c r="B47"/>
      <c r="C47"/>
      <c r="D47"/>
      <c r="E47"/>
      <c r="F47"/>
      <c r="G47"/>
      <c r="H47"/>
      <c r="I47"/>
      <c r="J47"/>
    </row>
    <row r="48" spans="1:10" x14ac:dyDescent="0.35">
      <c r="A48"/>
      <c r="B48"/>
      <c r="C48"/>
      <c r="D48"/>
      <c r="E48"/>
      <c r="F48"/>
      <c r="G48"/>
      <c r="H48"/>
      <c r="I48"/>
      <c r="J48"/>
    </row>
    <row r="49" spans="1:10" x14ac:dyDescent="0.35">
      <c r="A49"/>
      <c r="B49"/>
      <c r="C49"/>
      <c r="D49"/>
      <c r="E49"/>
      <c r="F49"/>
      <c r="G49"/>
      <c r="H49"/>
      <c r="I49"/>
      <c r="J49"/>
    </row>
    <row r="50" spans="1:10" x14ac:dyDescent="0.35">
      <c r="A50"/>
      <c r="B50"/>
      <c r="C50"/>
      <c r="D50"/>
      <c r="E50"/>
      <c r="F50"/>
      <c r="G50"/>
      <c r="H50"/>
      <c r="I50"/>
      <c r="J50"/>
    </row>
    <row r="51" spans="1:10" x14ac:dyDescent="0.35">
      <c r="A51"/>
      <c r="B51"/>
      <c r="C51"/>
      <c r="D51"/>
      <c r="E51"/>
      <c r="F51"/>
      <c r="G51"/>
      <c r="H51"/>
      <c r="I51"/>
      <c r="J51"/>
    </row>
    <row r="52" spans="1:10" x14ac:dyDescent="0.35">
      <c r="A52"/>
      <c r="B52"/>
      <c r="C52"/>
      <c r="D52"/>
      <c r="E52"/>
      <c r="F52"/>
      <c r="G52"/>
      <c r="H52"/>
      <c r="I52"/>
      <c r="J52"/>
    </row>
    <row r="53" spans="1:10" x14ac:dyDescent="0.35">
      <c r="A53"/>
      <c r="B53"/>
      <c r="C53"/>
      <c r="D53"/>
      <c r="E53"/>
      <c r="F53"/>
      <c r="G53"/>
      <c r="H53"/>
      <c r="I53"/>
      <c r="J53"/>
    </row>
    <row r="54" spans="1:10" x14ac:dyDescent="0.35">
      <c r="A54"/>
      <c r="B54"/>
      <c r="C54"/>
      <c r="D54"/>
      <c r="E54"/>
      <c r="F54"/>
      <c r="G54"/>
      <c r="H54"/>
      <c r="I54"/>
      <c r="J54"/>
    </row>
    <row r="55" spans="1:10" x14ac:dyDescent="0.35">
      <c r="A55"/>
      <c r="B55"/>
      <c r="C55"/>
      <c r="D55"/>
      <c r="E55"/>
      <c r="F55"/>
      <c r="G55"/>
      <c r="H55"/>
      <c r="I55"/>
      <c r="J55"/>
    </row>
    <row r="56" spans="1:10" x14ac:dyDescent="0.35">
      <c r="A56"/>
      <c r="B56"/>
      <c r="C56"/>
      <c r="D56"/>
      <c r="E56"/>
      <c r="F56"/>
      <c r="G56"/>
      <c r="H56"/>
      <c r="I56"/>
      <c r="J56"/>
    </row>
    <row r="57" spans="1:10" x14ac:dyDescent="0.35">
      <c r="A57"/>
      <c r="B57"/>
      <c r="C57"/>
      <c r="D57"/>
      <c r="E57"/>
      <c r="F57"/>
      <c r="G57"/>
      <c r="H57"/>
      <c r="I57"/>
      <c r="J57"/>
    </row>
    <row r="58" spans="1:10" x14ac:dyDescent="0.35">
      <c r="A58"/>
      <c r="B58"/>
      <c r="C58"/>
      <c r="D58"/>
      <c r="E58"/>
      <c r="F58"/>
      <c r="G58"/>
      <c r="H58"/>
      <c r="I58"/>
      <c r="J58"/>
    </row>
    <row r="59" spans="1:10" x14ac:dyDescent="0.35">
      <c r="A59"/>
      <c r="B59"/>
      <c r="C59"/>
      <c r="D59"/>
      <c r="E59"/>
      <c r="F59"/>
      <c r="G59"/>
      <c r="H59"/>
      <c r="I59"/>
      <c r="J59"/>
    </row>
    <row r="60" spans="1:10" x14ac:dyDescent="0.35">
      <c r="A60"/>
      <c r="B60"/>
      <c r="C60"/>
      <c r="D60"/>
      <c r="E60"/>
      <c r="F60"/>
      <c r="G60"/>
      <c r="H60"/>
      <c r="I60"/>
      <c r="J60"/>
    </row>
    <row r="61" spans="1:10" x14ac:dyDescent="0.35">
      <c r="A61"/>
      <c r="B61"/>
      <c r="C61"/>
      <c r="D61"/>
      <c r="E61"/>
      <c r="F61"/>
      <c r="G61"/>
      <c r="H61"/>
      <c r="I61"/>
      <c r="J61"/>
    </row>
    <row r="62" spans="1:10" x14ac:dyDescent="0.35">
      <c r="A62"/>
      <c r="B62"/>
      <c r="C62"/>
      <c r="D62"/>
      <c r="E62"/>
      <c r="F62"/>
      <c r="G62"/>
      <c r="H62"/>
      <c r="I62"/>
      <c r="J62"/>
    </row>
    <row r="63" spans="1:10" x14ac:dyDescent="0.35">
      <c r="A63"/>
      <c r="B63"/>
      <c r="C63"/>
      <c r="D63"/>
      <c r="E63"/>
      <c r="F63"/>
      <c r="G63"/>
      <c r="H63"/>
      <c r="I63"/>
      <c r="J63"/>
    </row>
    <row r="64" spans="1:10" x14ac:dyDescent="0.35">
      <c r="A64"/>
      <c r="B64"/>
      <c r="C64"/>
      <c r="D64"/>
      <c r="E64"/>
      <c r="F64"/>
      <c r="G64"/>
      <c r="H64"/>
      <c r="I64"/>
      <c r="J64"/>
    </row>
    <row r="65" spans="1:10" x14ac:dyDescent="0.35">
      <c r="A65"/>
      <c r="B65"/>
      <c r="C65"/>
      <c r="D65"/>
      <c r="E65"/>
      <c r="F65"/>
      <c r="G65"/>
      <c r="H65"/>
      <c r="I65"/>
      <c r="J65"/>
    </row>
    <row r="66" spans="1:10" x14ac:dyDescent="0.35">
      <c r="A66"/>
      <c r="B66"/>
      <c r="C66"/>
      <c r="D66"/>
      <c r="E66"/>
      <c r="F66"/>
      <c r="G66"/>
      <c r="H66"/>
      <c r="I66"/>
      <c r="J66"/>
    </row>
    <row r="67" spans="1:10" x14ac:dyDescent="0.35">
      <c r="A67"/>
      <c r="B67"/>
      <c r="C67"/>
      <c r="D67"/>
      <c r="E67"/>
      <c r="F67"/>
      <c r="G67"/>
      <c r="H67"/>
      <c r="I67"/>
      <c r="J67"/>
    </row>
    <row r="68" spans="1:10" x14ac:dyDescent="0.35">
      <c r="A68"/>
      <c r="B68"/>
      <c r="C68"/>
      <c r="D68"/>
      <c r="E68"/>
      <c r="F68"/>
      <c r="G68"/>
      <c r="H68"/>
      <c r="I68"/>
      <c r="J68"/>
    </row>
    <row r="69" spans="1:10" x14ac:dyDescent="0.35">
      <c r="A69"/>
      <c r="B69"/>
      <c r="C69"/>
      <c r="D69"/>
      <c r="E69"/>
      <c r="F69"/>
      <c r="G69"/>
      <c r="H69"/>
      <c r="I69"/>
      <c r="J69"/>
    </row>
    <row r="70" spans="1:10" x14ac:dyDescent="0.35">
      <c r="A70"/>
      <c r="B70"/>
      <c r="C70"/>
      <c r="D70"/>
      <c r="E70"/>
      <c r="F70"/>
      <c r="G70"/>
      <c r="H70"/>
      <c r="I70"/>
      <c r="J70"/>
    </row>
    <row r="71" spans="1:10" x14ac:dyDescent="0.35">
      <c r="A71"/>
      <c r="B71"/>
      <c r="C71"/>
      <c r="D71"/>
      <c r="E71"/>
      <c r="F71"/>
      <c r="G71"/>
      <c r="H71"/>
      <c r="I71"/>
      <c r="J71"/>
    </row>
    <row r="72" spans="1:10" x14ac:dyDescent="0.35">
      <c r="A72"/>
      <c r="B72"/>
      <c r="C72"/>
      <c r="D72"/>
      <c r="E72"/>
      <c r="F72"/>
      <c r="G72"/>
      <c r="H72"/>
      <c r="I72"/>
      <c r="J72"/>
    </row>
    <row r="73" spans="1:10" x14ac:dyDescent="0.35">
      <c r="A73"/>
      <c r="B73"/>
      <c r="C73"/>
      <c r="D73"/>
      <c r="E73"/>
      <c r="F73"/>
      <c r="G73"/>
      <c r="H73"/>
      <c r="I73"/>
      <c r="J73"/>
    </row>
    <row r="74" spans="1:10" x14ac:dyDescent="0.35">
      <c r="A74"/>
      <c r="B74"/>
      <c r="C74"/>
      <c r="D74"/>
      <c r="E74"/>
      <c r="F74"/>
      <c r="G74"/>
      <c r="H74"/>
      <c r="I74"/>
      <c r="J74"/>
    </row>
    <row r="75" spans="1:10" x14ac:dyDescent="0.35">
      <c r="A75"/>
      <c r="B75"/>
      <c r="C75"/>
      <c r="D75"/>
      <c r="E75"/>
      <c r="F75"/>
      <c r="G75"/>
      <c r="H75"/>
      <c r="I75"/>
      <c r="J75"/>
    </row>
    <row r="76" spans="1:10" x14ac:dyDescent="0.35">
      <c r="A76"/>
      <c r="B76"/>
      <c r="C76"/>
      <c r="D76"/>
      <c r="E76"/>
      <c r="F76"/>
      <c r="G76"/>
      <c r="H76"/>
      <c r="I76"/>
      <c r="J76"/>
    </row>
    <row r="77" spans="1:10" x14ac:dyDescent="0.35">
      <c r="A77"/>
      <c r="B77"/>
      <c r="C77"/>
      <c r="D77"/>
      <c r="E77"/>
      <c r="F77"/>
      <c r="G77"/>
      <c r="H77"/>
      <c r="I77"/>
      <c r="J77"/>
    </row>
    <row r="78" spans="1:10" x14ac:dyDescent="0.35">
      <c r="A78"/>
      <c r="B78"/>
      <c r="C78"/>
      <c r="D78"/>
      <c r="E78"/>
      <c r="F78"/>
      <c r="G78"/>
      <c r="H78"/>
      <c r="I78"/>
      <c r="J78"/>
    </row>
    <row r="79" spans="1:10" x14ac:dyDescent="0.35">
      <c r="A79"/>
      <c r="B79"/>
      <c r="C79"/>
      <c r="D79"/>
      <c r="E79"/>
      <c r="F79"/>
      <c r="G79"/>
      <c r="H79"/>
      <c r="I79"/>
      <c r="J79"/>
    </row>
    <row r="80" spans="1:10" x14ac:dyDescent="0.35">
      <c r="A80"/>
      <c r="B80"/>
      <c r="C80"/>
      <c r="D80"/>
      <c r="E80"/>
      <c r="F80"/>
      <c r="G80"/>
      <c r="H80"/>
      <c r="I80"/>
      <c r="J80"/>
    </row>
    <row r="81" spans="1:10" x14ac:dyDescent="0.35">
      <c r="A81"/>
      <c r="B81"/>
      <c r="C81"/>
      <c r="D81"/>
      <c r="E81"/>
      <c r="F81"/>
      <c r="G81"/>
      <c r="H81"/>
      <c r="I81"/>
      <c r="J81"/>
    </row>
    <row r="82" spans="1:10" x14ac:dyDescent="0.35">
      <c r="A82"/>
      <c r="B82"/>
      <c r="C82"/>
      <c r="D82"/>
      <c r="E82"/>
      <c r="F82"/>
      <c r="G82"/>
      <c r="H82"/>
      <c r="I82"/>
      <c r="J82"/>
    </row>
    <row r="83" spans="1:10" x14ac:dyDescent="0.35">
      <c r="A83"/>
      <c r="B83"/>
      <c r="C83"/>
      <c r="D83"/>
      <c r="E83"/>
      <c r="F83"/>
      <c r="G83"/>
      <c r="H83"/>
      <c r="I83"/>
      <c r="J83"/>
    </row>
    <row r="84" spans="1:10" x14ac:dyDescent="0.35">
      <c r="A84"/>
      <c r="B84"/>
      <c r="C84"/>
      <c r="D84"/>
      <c r="E84"/>
      <c r="F84"/>
      <c r="G84"/>
      <c r="H84"/>
      <c r="I84"/>
      <c r="J84"/>
    </row>
    <row r="85" spans="1:10" x14ac:dyDescent="0.35">
      <c r="A85"/>
      <c r="B85"/>
      <c r="C85"/>
      <c r="D85"/>
      <c r="E85"/>
      <c r="F85"/>
      <c r="G85"/>
      <c r="H85"/>
      <c r="I85"/>
      <c r="J85"/>
    </row>
    <row r="86" spans="1:10" x14ac:dyDescent="0.35">
      <c r="A86"/>
      <c r="B86"/>
      <c r="C86"/>
      <c r="D86"/>
      <c r="E86"/>
      <c r="F86"/>
      <c r="G86"/>
      <c r="H86"/>
      <c r="I86"/>
      <c r="J86"/>
    </row>
    <row r="87" spans="1:10" x14ac:dyDescent="0.35">
      <c r="A87"/>
      <c r="B87"/>
      <c r="C87"/>
      <c r="D87"/>
      <c r="E87"/>
      <c r="F87"/>
      <c r="G87"/>
      <c r="H87"/>
      <c r="I87"/>
      <c r="J87"/>
    </row>
    <row r="88" spans="1:10" x14ac:dyDescent="0.35">
      <c r="A88"/>
      <c r="B88"/>
      <c r="C88"/>
      <c r="D88"/>
      <c r="E88"/>
      <c r="F88"/>
      <c r="G88"/>
      <c r="H88"/>
      <c r="I88"/>
      <c r="J88"/>
    </row>
    <row r="89" spans="1:10" x14ac:dyDescent="0.35">
      <c r="A89"/>
      <c r="B89"/>
      <c r="C89"/>
      <c r="D89"/>
      <c r="E89"/>
      <c r="F89"/>
      <c r="G89"/>
      <c r="H89"/>
      <c r="I89"/>
      <c r="J89"/>
    </row>
    <row r="90" spans="1:10" x14ac:dyDescent="0.35">
      <c r="A90"/>
      <c r="B90"/>
      <c r="C90"/>
      <c r="D90"/>
      <c r="E90"/>
      <c r="F90"/>
      <c r="G90"/>
      <c r="H90"/>
      <c r="I90"/>
      <c r="J90"/>
    </row>
    <row r="91" spans="1:10" x14ac:dyDescent="0.35">
      <c r="A91"/>
      <c r="B91"/>
      <c r="C91"/>
      <c r="D91"/>
      <c r="E91"/>
      <c r="F91"/>
      <c r="G91"/>
      <c r="H91"/>
      <c r="I91"/>
      <c r="J91"/>
    </row>
    <row r="92" spans="1:10" x14ac:dyDescent="0.35">
      <c r="A92"/>
      <c r="B92"/>
      <c r="C92"/>
      <c r="D92"/>
      <c r="E92"/>
      <c r="F92"/>
      <c r="G92"/>
      <c r="H92"/>
      <c r="I92"/>
      <c r="J92"/>
    </row>
    <row r="93" spans="1:10" x14ac:dyDescent="0.35">
      <c r="A93"/>
      <c r="B93"/>
      <c r="C93"/>
      <c r="D93"/>
      <c r="E93"/>
      <c r="F93"/>
      <c r="G93"/>
      <c r="H93"/>
      <c r="I93"/>
      <c r="J93"/>
    </row>
    <row r="94" spans="1:10" x14ac:dyDescent="0.35">
      <c r="A94"/>
      <c r="B94"/>
      <c r="C94"/>
      <c r="D94"/>
      <c r="E94"/>
      <c r="F94"/>
      <c r="G94"/>
      <c r="H94"/>
      <c r="I94"/>
      <c r="J94"/>
    </row>
    <row r="95" spans="1:10" x14ac:dyDescent="0.35">
      <c r="A95"/>
      <c r="B95"/>
      <c r="C95"/>
      <c r="D95"/>
      <c r="E95"/>
      <c r="F95"/>
      <c r="G95"/>
      <c r="H95"/>
      <c r="I95"/>
      <c r="J95"/>
    </row>
    <row r="96" spans="1:10" x14ac:dyDescent="0.35">
      <c r="A96"/>
      <c r="B96"/>
      <c r="C96"/>
      <c r="D96"/>
      <c r="E96"/>
      <c r="F96"/>
      <c r="G96"/>
      <c r="H96"/>
      <c r="I96"/>
      <c r="J96"/>
    </row>
    <row r="97" spans="1:10" x14ac:dyDescent="0.35">
      <c r="A97"/>
      <c r="B97"/>
      <c r="C97"/>
      <c r="D97"/>
      <c r="E97"/>
      <c r="F97"/>
      <c r="G97"/>
      <c r="H97"/>
      <c r="I97"/>
      <c r="J97"/>
    </row>
    <row r="98" spans="1:10" x14ac:dyDescent="0.35">
      <c r="A98"/>
      <c r="B98"/>
      <c r="C98"/>
      <c r="D98"/>
      <c r="E98"/>
      <c r="F98"/>
      <c r="G98"/>
      <c r="H98"/>
      <c r="I98"/>
      <c r="J98"/>
    </row>
    <row r="99" spans="1:10" x14ac:dyDescent="0.35">
      <c r="A99"/>
      <c r="B99"/>
      <c r="C99"/>
      <c r="D99"/>
      <c r="E99"/>
      <c r="F99"/>
      <c r="G99"/>
      <c r="H99"/>
      <c r="I99"/>
      <c r="J99"/>
    </row>
    <row r="100" spans="1:10" x14ac:dyDescent="0.35">
      <c r="A100"/>
      <c r="B100"/>
      <c r="C100"/>
      <c r="D100"/>
      <c r="E100"/>
      <c r="F100"/>
      <c r="G100"/>
      <c r="H100"/>
      <c r="I100"/>
      <c r="J100"/>
    </row>
    <row r="101" spans="1:10" x14ac:dyDescent="0.35">
      <c r="A101"/>
      <c r="B101"/>
      <c r="C101"/>
      <c r="D101"/>
      <c r="E101"/>
      <c r="F101"/>
      <c r="G101"/>
      <c r="H101"/>
      <c r="I101"/>
      <c r="J101"/>
    </row>
    <row r="102" spans="1:10" x14ac:dyDescent="0.35">
      <c r="A102"/>
      <c r="B102"/>
      <c r="C102"/>
      <c r="D102"/>
      <c r="E102"/>
      <c r="F102"/>
      <c r="G102"/>
      <c r="H102"/>
      <c r="I102"/>
      <c r="J102"/>
    </row>
    <row r="103" spans="1:10" x14ac:dyDescent="0.35">
      <c r="A103"/>
      <c r="B103"/>
      <c r="C103"/>
      <c r="D103"/>
      <c r="E103"/>
      <c r="F103"/>
      <c r="G103"/>
      <c r="H103"/>
      <c r="I103"/>
      <c r="J103"/>
    </row>
    <row r="104" spans="1:10" x14ac:dyDescent="0.35">
      <c r="A104"/>
      <c r="B104"/>
      <c r="C104"/>
      <c r="D104"/>
      <c r="E104"/>
      <c r="F104"/>
      <c r="G104"/>
      <c r="H104"/>
      <c r="I104"/>
      <c r="J104"/>
    </row>
    <row r="105" spans="1:10" x14ac:dyDescent="0.35">
      <c r="A105"/>
      <c r="B105"/>
      <c r="C105"/>
      <c r="D105"/>
      <c r="E105"/>
      <c r="F105"/>
      <c r="G105"/>
      <c r="H105"/>
      <c r="I105"/>
      <c r="J105"/>
    </row>
    <row r="106" spans="1:10" x14ac:dyDescent="0.35">
      <c r="A106"/>
      <c r="B106"/>
      <c r="C106"/>
      <c r="D106"/>
      <c r="E106"/>
      <c r="F106"/>
      <c r="G106"/>
      <c r="H106"/>
      <c r="I106"/>
      <c r="J106"/>
    </row>
    <row r="107" spans="1:10" x14ac:dyDescent="0.35">
      <c r="A107"/>
      <c r="B107"/>
      <c r="C107"/>
      <c r="D107"/>
      <c r="E107"/>
      <c r="F107"/>
      <c r="G107"/>
      <c r="H107"/>
      <c r="I107"/>
      <c r="J107"/>
    </row>
    <row r="108" spans="1:10" x14ac:dyDescent="0.35">
      <c r="A108"/>
      <c r="B108"/>
      <c r="C108"/>
      <c r="D108"/>
      <c r="E108"/>
      <c r="F108"/>
      <c r="G108"/>
      <c r="H108"/>
      <c r="I108"/>
      <c r="J108"/>
    </row>
    <row r="109" spans="1:10" x14ac:dyDescent="0.35">
      <c r="A109"/>
      <c r="B109"/>
      <c r="C109"/>
      <c r="D109"/>
      <c r="E109"/>
      <c r="F109"/>
      <c r="G109"/>
      <c r="H109"/>
      <c r="I109"/>
      <c r="J109"/>
    </row>
    <row r="110" spans="1:10" x14ac:dyDescent="0.35">
      <c r="A110"/>
      <c r="B110"/>
      <c r="C110"/>
      <c r="D110"/>
      <c r="E110"/>
      <c r="F110"/>
      <c r="G110"/>
      <c r="H110"/>
      <c r="I110"/>
      <c r="J110"/>
    </row>
    <row r="111" spans="1:10" x14ac:dyDescent="0.35">
      <c r="A111"/>
      <c r="B111"/>
      <c r="C111"/>
      <c r="D111"/>
      <c r="E111"/>
      <c r="F111"/>
      <c r="G111"/>
      <c r="H111"/>
      <c r="I111"/>
      <c r="J111"/>
    </row>
    <row r="112" spans="1:10" x14ac:dyDescent="0.35">
      <c r="A112"/>
      <c r="B112"/>
      <c r="C112"/>
      <c r="D112"/>
      <c r="E112"/>
      <c r="F112"/>
      <c r="G112"/>
      <c r="H112"/>
      <c r="I112"/>
      <c r="J112"/>
    </row>
    <row r="113" spans="1:10" x14ac:dyDescent="0.35">
      <c r="A113"/>
      <c r="B113"/>
      <c r="C113"/>
      <c r="D113"/>
      <c r="E113"/>
      <c r="F113"/>
      <c r="G113"/>
      <c r="H113"/>
      <c r="I113"/>
      <c r="J113"/>
    </row>
    <row r="114" spans="1:10" x14ac:dyDescent="0.35">
      <c r="A114"/>
      <c r="B114"/>
      <c r="C114"/>
      <c r="D114"/>
      <c r="E114"/>
      <c r="F114"/>
      <c r="G114"/>
      <c r="H114"/>
      <c r="I114"/>
      <c r="J114"/>
    </row>
    <row r="115" spans="1:10" x14ac:dyDescent="0.35">
      <c r="A115"/>
      <c r="B115"/>
      <c r="C115"/>
      <c r="D115"/>
      <c r="E115"/>
      <c r="F115"/>
      <c r="G115"/>
      <c r="H115"/>
      <c r="I115"/>
      <c r="J115"/>
    </row>
    <row r="116" spans="1:10" x14ac:dyDescent="0.35">
      <c r="A116"/>
      <c r="B116"/>
      <c r="C116"/>
      <c r="D116"/>
      <c r="E116"/>
      <c r="F116"/>
      <c r="G116"/>
      <c r="H116"/>
      <c r="I116"/>
      <c r="J116"/>
    </row>
    <row r="117" spans="1:10" x14ac:dyDescent="0.35">
      <c r="A117"/>
      <c r="B117"/>
      <c r="C117"/>
      <c r="D117"/>
      <c r="E117"/>
      <c r="F117"/>
      <c r="G117"/>
      <c r="H117"/>
      <c r="I117"/>
      <c r="J117"/>
    </row>
    <row r="118" spans="1:10" x14ac:dyDescent="0.35">
      <c r="A118"/>
      <c r="B118"/>
      <c r="C118"/>
      <c r="D118"/>
      <c r="E118"/>
      <c r="F118"/>
      <c r="G118"/>
      <c r="H118"/>
      <c r="I118"/>
      <c r="J118"/>
    </row>
    <row r="119" spans="1:10" x14ac:dyDescent="0.35">
      <c r="A119"/>
      <c r="B119"/>
      <c r="C119"/>
      <c r="D119"/>
      <c r="E119"/>
      <c r="F119"/>
      <c r="G119"/>
      <c r="H119"/>
      <c r="I119"/>
      <c r="J119"/>
    </row>
    <row r="120" spans="1:10" x14ac:dyDescent="0.35">
      <c r="A120"/>
      <c r="B120"/>
      <c r="C120"/>
      <c r="D120"/>
      <c r="E120"/>
      <c r="F120"/>
      <c r="G120"/>
      <c r="H120"/>
      <c r="I120"/>
      <c r="J120"/>
    </row>
    <row r="121" spans="1:10" x14ac:dyDescent="0.35">
      <c r="A121"/>
      <c r="B121"/>
      <c r="C121"/>
      <c r="D121"/>
      <c r="E121"/>
      <c r="F121"/>
      <c r="G121"/>
      <c r="H121"/>
      <c r="I121"/>
      <c r="J121"/>
    </row>
    <row r="122" spans="1:10" x14ac:dyDescent="0.35">
      <c r="A122"/>
      <c r="B122"/>
      <c r="C122"/>
      <c r="D122"/>
      <c r="E122"/>
      <c r="F122"/>
      <c r="G122"/>
      <c r="H122"/>
      <c r="I122"/>
      <c r="J122"/>
    </row>
    <row r="123" spans="1:10" x14ac:dyDescent="0.35">
      <c r="A123"/>
      <c r="B123"/>
      <c r="C123"/>
      <c r="D123"/>
      <c r="E123"/>
      <c r="F123"/>
      <c r="G123"/>
      <c r="H123"/>
      <c r="I123"/>
      <c r="J123"/>
    </row>
    <row r="124" spans="1:10" x14ac:dyDescent="0.35">
      <c r="A124"/>
      <c r="B124"/>
      <c r="C124"/>
      <c r="D124"/>
      <c r="E124"/>
      <c r="F124"/>
      <c r="G124"/>
      <c r="H124"/>
      <c r="I124"/>
      <c r="J124"/>
    </row>
    <row r="125" spans="1:10" x14ac:dyDescent="0.35">
      <c r="A125"/>
      <c r="B125"/>
      <c r="C125"/>
      <c r="D125"/>
      <c r="E125"/>
      <c r="F125"/>
      <c r="G125"/>
      <c r="H125"/>
      <c r="I125"/>
      <c r="J125"/>
    </row>
    <row r="126" spans="1:10" x14ac:dyDescent="0.35">
      <c r="A126"/>
      <c r="B126"/>
      <c r="C126"/>
      <c r="D126"/>
      <c r="E126"/>
      <c r="F126"/>
      <c r="G126"/>
      <c r="H126"/>
      <c r="I126"/>
      <c r="J126"/>
    </row>
    <row r="127" spans="1:10" x14ac:dyDescent="0.35">
      <c r="A127"/>
      <c r="B127"/>
      <c r="C127"/>
      <c r="D127"/>
      <c r="E127"/>
      <c r="F127"/>
      <c r="G127"/>
      <c r="H127"/>
      <c r="I127"/>
      <c r="J127"/>
    </row>
    <row r="128" spans="1:10" x14ac:dyDescent="0.35">
      <c r="A128"/>
      <c r="B128"/>
      <c r="C128"/>
      <c r="D128"/>
      <c r="E128"/>
      <c r="F128"/>
      <c r="G128"/>
      <c r="H128"/>
      <c r="I128"/>
      <c r="J128"/>
    </row>
    <row r="129" spans="1:10" x14ac:dyDescent="0.35">
      <c r="A129"/>
      <c r="B129"/>
      <c r="C129"/>
      <c r="D129"/>
      <c r="E129"/>
      <c r="F129"/>
      <c r="G129"/>
      <c r="H129"/>
      <c r="I129"/>
      <c r="J129"/>
    </row>
    <row r="130" spans="1:10" x14ac:dyDescent="0.35">
      <c r="A130"/>
      <c r="B130"/>
      <c r="C130"/>
      <c r="D130"/>
      <c r="E130"/>
      <c r="F130"/>
      <c r="G130"/>
      <c r="H130"/>
      <c r="I130"/>
      <c r="J130"/>
    </row>
    <row r="131" spans="1:10" x14ac:dyDescent="0.35">
      <c r="A131"/>
      <c r="B131"/>
      <c r="C131"/>
      <c r="D131"/>
      <c r="E131"/>
      <c r="F131"/>
      <c r="G131"/>
      <c r="H131"/>
      <c r="I131"/>
      <c r="J131"/>
    </row>
    <row r="132" spans="1:10" x14ac:dyDescent="0.35">
      <c r="A132"/>
      <c r="B132"/>
      <c r="C132"/>
      <c r="D132"/>
      <c r="E132"/>
      <c r="F132"/>
      <c r="G132"/>
      <c r="H132"/>
      <c r="I132"/>
      <c r="J132"/>
    </row>
    <row r="133" spans="1:10" x14ac:dyDescent="0.35">
      <c r="A133"/>
      <c r="B133"/>
      <c r="C133"/>
      <c r="D133"/>
      <c r="E133"/>
      <c r="F133"/>
      <c r="G133"/>
      <c r="H133"/>
      <c r="I133"/>
      <c r="J133"/>
    </row>
    <row r="134" spans="1:10" x14ac:dyDescent="0.35">
      <c r="A134"/>
      <c r="B134"/>
      <c r="C134"/>
      <c r="D134"/>
      <c r="E134"/>
      <c r="F134"/>
      <c r="G134"/>
      <c r="H134"/>
      <c r="I134"/>
      <c r="J134"/>
    </row>
    <row r="135" spans="1:10" x14ac:dyDescent="0.35">
      <c r="A135"/>
      <c r="B135"/>
      <c r="C135"/>
      <c r="D135"/>
      <c r="E135"/>
      <c r="F135"/>
      <c r="G135"/>
      <c r="H135"/>
      <c r="I135"/>
      <c r="J135"/>
    </row>
    <row r="136" spans="1:10" x14ac:dyDescent="0.35">
      <c r="A136"/>
      <c r="B136"/>
      <c r="C136"/>
      <c r="D136"/>
      <c r="E136"/>
      <c r="F136"/>
      <c r="G136"/>
      <c r="H136"/>
      <c r="I136"/>
      <c r="J136"/>
    </row>
    <row r="137" spans="1:10" x14ac:dyDescent="0.35">
      <c r="A137"/>
      <c r="B137"/>
      <c r="C137"/>
      <c r="D137"/>
      <c r="E137"/>
      <c r="F137"/>
      <c r="G137"/>
      <c r="H137"/>
      <c r="I137"/>
      <c r="J137"/>
    </row>
    <row r="138" spans="1:10" x14ac:dyDescent="0.35">
      <c r="A138"/>
      <c r="B138"/>
      <c r="C138"/>
      <c r="D138"/>
      <c r="E138"/>
      <c r="F138"/>
      <c r="G138"/>
      <c r="H138"/>
      <c r="I138"/>
      <c r="J138"/>
    </row>
    <row r="139" spans="1:10" x14ac:dyDescent="0.35">
      <c r="A139"/>
      <c r="B139"/>
      <c r="C139"/>
      <c r="D139"/>
      <c r="E139"/>
      <c r="F139"/>
      <c r="G139"/>
      <c r="H139"/>
      <c r="I139"/>
      <c r="J139"/>
    </row>
    <row r="140" spans="1:10" x14ac:dyDescent="0.35">
      <c r="A140"/>
      <c r="B140"/>
      <c r="C140"/>
      <c r="D140"/>
      <c r="E140"/>
      <c r="F140"/>
      <c r="G140"/>
      <c r="H140"/>
      <c r="I140"/>
      <c r="J140"/>
    </row>
    <row r="141" spans="1:10" x14ac:dyDescent="0.35">
      <c r="A141"/>
      <c r="B141"/>
      <c r="C141"/>
      <c r="D141"/>
      <c r="E141"/>
      <c r="F141"/>
      <c r="G141"/>
      <c r="H141"/>
      <c r="I141"/>
      <c r="J141"/>
    </row>
    <row r="142" spans="1:10" x14ac:dyDescent="0.35">
      <c r="A142"/>
      <c r="B142"/>
      <c r="C142"/>
      <c r="D142"/>
      <c r="E142"/>
      <c r="F142"/>
      <c r="G142"/>
      <c r="H142"/>
      <c r="I142"/>
      <c r="J142"/>
    </row>
    <row r="143" spans="1:10" x14ac:dyDescent="0.35">
      <c r="A143"/>
      <c r="B143"/>
      <c r="C143"/>
      <c r="D143"/>
      <c r="E143"/>
      <c r="F143"/>
      <c r="G143"/>
      <c r="H143"/>
      <c r="I143"/>
      <c r="J143"/>
    </row>
    <row r="144" spans="1:10" x14ac:dyDescent="0.35">
      <c r="A144"/>
      <c r="B144"/>
      <c r="C144"/>
      <c r="D144"/>
      <c r="E144"/>
      <c r="F144"/>
      <c r="G144"/>
      <c r="H144"/>
      <c r="I144"/>
      <c r="J144"/>
    </row>
    <row r="145" spans="1:10" x14ac:dyDescent="0.35">
      <c r="A145"/>
      <c r="B145"/>
      <c r="C145"/>
      <c r="D145"/>
      <c r="E145"/>
      <c r="F145"/>
      <c r="G145"/>
      <c r="H145"/>
      <c r="I145"/>
      <c r="J145"/>
    </row>
    <row r="146" spans="1:10" x14ac:dyDescent="0.35">
      <c r="A146"/>
      <c r="B146"/>
      <c r="C146"/>
      <c r="D146"/>
      <c r="E146"/>
      <c r="F146"/>
      <c r="G146"/>
      <c r="H146"/>
      <c r="I146"/>
      <c r="J146"/>
    </row>
    <row r="147" spans="1:10" x14ac:dyDescent="0.35">
      <c r="A147"/>
      <c r="B147"/>
      <c r="C147"/>
      <c r="D147"/>
      <c r="E147"/>
      <c r="F147"/>
      <c r="G147"/>
      <c r="H147"/>
      <c r="I147"/>
      <c r="J147"/>
    </row>
    <row r="148" spans="1:10" x14ac:dyDescent="0.35">
      <c r="A148"/>
      <c r="B148"/>
      <c r="C148"/>
      <c r="D148"/>
      <c r="E148"/>
      <c r="F148"/>
      <c r="G148"/>
      <c r="H148"/>
      <c r="I148"/>
      <c r="J148"/>
    </row>
    <row r="149" spans="1:10" x14ac:dyDescent="0.35">
      <c r="A149"/>
      <c r="B149"/>
      <c r="C149"/>
      <c r="D149"/>
      <c r="E149"/>
      <c r="F149"/>
      <c r="G149"/>
      <c r="H149"/>
      <c r="I149"/>
      <c r="J149"/>
    </row>
    <row r="150" spans="1:10" x14ac:dyDescent="0.35">
      <c r="A150"/>
      <c r="B150"/>
      <c r="C150"/>
      <c r="D150"/>
      <c r="E150"/>
      <c r="F150"/>
      <c r="G150"/>
      <c r="H150"/>
      <c r="I150"/>
      <c r="J150"/>
    </row>
    <row r="151" spans="1:10" x14ac:dyDescent="0.35">
      <c r="A151"/>
      <c r="B151"/>
      <c r="C151"/>
      <c r="D151"/>
      <c r="E151"/>
      <c r="F151"/>
      <c r="G151"/>
      <c r="H151"/>
      <c r="I151"/>
      <c r="J151"/>
    </row>
    <row r="152" spans="1:10" x14ac:dyDescent="0.35">
      <c r="A152"/>
      <c r="B152"/>
      <c r="C152"/>
      <c r="D152"/>
      <c r="E152"/>
      <c r="F152"/>
      <c r="G152"/>
      <c r="H152"/>
      <c r="I152"/>
      <c r="J152"/>
    </row>
    <row r="153" spans="1:10" x14ac:dyDescent="0.35">
      <c r="A153"/>
      <c r="B153"/>
      <c r="C153"/>
      <c r="D153"/>
      <c r="E153"/>
      <c r="F153"/>
      <c r="G153"/>
      <c r="H153"/>
      <c r="I153"/>
      <c r="J153"/>
    </row>
    <row r="154" spans="1:10" x14ac:dyDescent="0.35">
      <c r="A154"/>
      <c r="B154"/>
      <c r="C154"/>
      <c r="D154"/>
      <c r="E154"/>
      <c r="F154"/>
      <c r="G154"/>
      <c r="H154"/>
      <c r="I154"/>
      <c r="J154"/>
    </row>
    <row r="155" spans="1:10" x14ac:dyDescent="0.35">
      <c r="A155"/>
      <c r="B155"/>
      <c r="C155"/>
      <c r="D155"/>
      <c r="E155"/>
      <c r="F155"/>
      <c r="G155"/>
      <c r="H155"/>
      <c r="I155"/>
      <c r="J155"/>
    </row>
    <row r="156" spans="1:10" x14ac:dyDescent="0.35">
      <c r="A156"/>
      <c r="B156"/>
      <c r="C156"/>
      <c r="D156"/>
      <c r="E156"/>
      <c r="F156"/>
      <c r="G156"/>
      <c r="H156"/>
      <c r="I156"/>
      <c r="J156"/>
    </row>
    <row r="157" spans="1:10" x14ac:dyDescent="0.35">
      <c r="A157"/>
      <c r="B157"/>
      <c r="C157"/>
      <c r="D157"/>
      <c r="E157"/>
      <c r="F157"/>
      <c r="G157"/>
      <c r="H157"/>
      <c r="I157"/>
      <c r="J157"/>
    </row>
    <row r="158" spans="1:10" x14ac:dyDescent="0.35">
      <c r="A158"/>
      <c r="B158"/>
      <c r="C158"/>
      <c r="D158"/>
      <c r="E158"/>
      <c r="F158"/>
      <c r="G158"/>
      <c r="H158"/>
      <c r="I158"/>
      <c r="J158"/>
    </row>
    <row r="159" spans="1:10" x14ac:dyDescent="0.35">
      <c r="A159"/>
      <c r="B159"/>
      <c r="C159"/>
      <c r="D159"/>
      <c r="E159"/>
      <c r="F159"/>
      <c r="G159"/>
      <c r="H159"/>
      <c r="I159"/>
      <c r="J159"/>
    </row>
    <row r="160" spans="1:10" x14ac:dyDescent="0.35">
      <c r="A160"/>
      <c r="B160"/>
      <c r="C160"/>
      <c r="D160"/>
      <c r="E160"/>
      <c r="F160"/>
      <c r="G160"/>
      <c r="H160"/>
      <c r="I160"/>
      <c r="J160"/>
    </row>
    <row r="161" spans="1:10" x14ac:dyDescent="0.35">
      <c r="A161"/>
      <c r="B161"/>
      <c r="C161"/>
      <c r="D161"/>
      <c r="E161"/>
      <c r="F161"/>
      <c r="G161"/>
      <c r="H161"/>
      <c r="I161"/>
      <c r="J161"/>
    </row>
    <row r="162" spans="1:10" x14ac:dyDescent="0.35">
      <c r="A162"/>
      <c r="B162"/>
      <c r="C162"/>
      <c r="D162"/>
      <c r="E162"/>
      <c r="F162"/>
      <c r="G162"/>
      <c r="H162"/>
      <c r="I162"/>
      <c r="J162"/>
    </row>
    <row r="163" spans="1:10" x14ac:dyDescent="0.35">
      <c r="A163"/>
      <c r="B163"/>
      <c r="C163"/>
      <c r="D163"/>
      <c r="E163"/>
      <c r="F163"/>
      <c r="G163"/>
      <c r="H163"/>
      <c r="I163"/>
      <c r="J163"/>
    </row>
    <row r="164" spans="1:10" x14ac:dyDescent="0.35">
      <c r="A164"/>
      <c r="B164"/>
      <c r="C164"/>
      <c r="D164"/>
      <c r="E164"/>
      <c r="F164"/>
      <c r="G164"/>
      <c r="H164"/>
      <c r="I164"/>
      <c r="J164"/>
    </row>
    <row r="165" spans="1:10" x14ac:dyDescent="0.35">
      <c r="A165"/>
      <c r="B165"/>
      <c r="C165"/>
      <c r="D165"/>
      <c r="E165"/>
      <c r="F165"/>
      <c r="G165"/>
      <c r="H165"/>
      <c r="I165"/>
      <c r="J165"/>
    </row>
    <row r="166" spans="1:10" x14ac:dyDescent="0.35">
      <c r="A166"/>
      <c r="B166"/>
      <c r="C166"/>
      <c r="D166"/>
      <c r="E166"/>
      <c r="F166"/>
      <c r="G166"/>
      <c r="H166"/>
      <c r="I166"/>
      <c r="J166"/>
    </row>
    <row r="167" spans="1:10" x14ac:dyDescent="0.35">
      <c r="A167"/>
      <c r="B167"/>
      <c r="C167"/>
      <c r="D167"/>
      <c r="E167"/>
      <c r="F167"/>
      <c r="G167"/>
      <c r="H167"/>
      <c r="I167"/>
      <c r="J167"/>
    </row>
    <row r="168" spans="1:10" x14ac:dyDescent="0.35">
      <c r="A168"/>
      <c r="B168"/>
      <c r="C168"/>
      <c r="D168"/>
      <c r="E168"/>
      <c r="F168"/>
      <c r="G168"/>
      <c r="H168"/>
      <c r="I168"/>
      <c r="J168"/>
    </row>
    <row r="169" spans="1:10" x14ac:dyDescent="0.35">
      <c r="A169"/>
      <c r="B169"/>
      <c r="C169"/>
      <c r="D169"/>
      <c r="E169"/>
      <c r="F169"/>
      <c r="G169"/>
      <c r="H169"/>
      <c r="I169"/>
      <c r="J169"/>
    </row>
    <row r="170" spans="1:10" x14ac:dyDescent="0.35">
      <c r="A170"/>
      <c r="B170"/>
      <c r="C170"/>
      <c r="D170"/>
      <c r="E170"/>
      <c r="F170"/>
      <c r="G170"/>
      <c r="H170"/>
      <c r="I170"/>
      <c r="J170"/>
    </row>
    <row r="171" spans="1:10" x14ac:dyDescent="0.35">
      <c r="A171"/>
      <c r="B171"/>
      <c r="C171"/>
      <c r="D171"/>
      <c r="E171"/>
      <c r="F171"/>
      <c r="G171"/>
      <c r="H171"/>
      <c r="I171"/>
      <c r="J171"/>
    </row>
    <row r="172" spans="1:10" x14ac:dyDescent="0.35">
      <c r="A172"/>
      <c r="B172"/>
      <c r="C172"/>
      <c r="D172"/>
      <c r="E172"/>
      <c r="F172"/>
      <c r="G172"/>
      <c r="H172"/>
      <c r="I172"/>
      <c r="J172"/>
    </row>
    <row r="173" spans="1:10" x14ac:dyDescent="0.35">
      <c r="A173"/>
      <c r="B173"/>
      <c r="C173"/>
      <c r="D173"/>
      <c r="E173"/>
      <c r="F173"/>
      <c r="G173"/>
      <c r="H173"/>
      <c r="I173"/>
      <c r="J173"/>
    </row>
    <row r="174" spans="1:10" x14ac:dyDescent="0.35">
      <c r="A174"/>
      <c r="B174"/>
      <c r="C174"/>
      <c r="D174"/>
      <c r="E174"/>
      <c r="F174"/>
      <c r="G174"/>
      <c r="H174"/>
      <c r="I174"/>
      <c r="J174"/>
    </row>
    <row r="175" spans="1:10" x14ac:dyDescent="0.35">
      <c r="A175"/>
      <c r="B175"/>
      <c r="C175"/>
      <c r="D175"/>
      <c r="E175"/>
      <c r="F175"/>
      <c r="G175"/>
      <c r="H175"/>
      <c r="I175"/>
      <c r="J175"/>
    </row>
    <row r="176" spans="1:10" x14ac:dyDescent="0.35">
      <c r="A176"/>
      <c r="B176"/>
      <c r="C176"/>
      <c r="D176"/>
      <c r="E176"/>
      <c r="F176"/>
      <c r="G176"/>
      <c r="H176"/>
      <c r="I176"/>
      <c r="J176"/>
    </row>
    <row r="177" spans="1:10" x14ac:dyDescent="0.35">
      <c r="A177"/>
      <c r="B177"/>
      <c r="C177"/>
      <c r="D177"/>
      <c r="E177"/>
      <c r="F177"/>
      <c r="G177"/>
      <c r="H177"/>
      <c r="I177"/>
      <c r="J177"/>
    </row>
    <row r="178" spans="1:10" x14ac:dyDescent="0.35">
      <c r="A178"/>
      <c r="B178"/>
      <c r="C178"/>
      <c r="D178"/>
      <c r="E178"/>
      <c r="F178"/>
      <c r="G178"/>
      <c r="H178"/>
      <c r="I178"/>
      <c r="J178"/>
    </row>
    <row r="179" spans="1:10" x14ac:dyDescent="0.35">
      <c r="A179"/>
      <c r="B179"/>
      <c r="C179"/>
      <c r="D179"/>
      <c r="E179"/>
      <c r="F179"/>
      <c r="G179"/>
      <c r="H179"/>
      <c r="I179"/>
      <c r="J179"/>
    </row>
    <row r="180" spans="1:10" x14ac:dyDescent="0.35">
      <c r="A180"/>
      <c r="B180"/>
      <c r="C180"/>
      <c r="D180"/>
      <c r="E180"/>
      <c r="F180"/>
      <c r="G180"/>
      <c r="H180"/>
      <c r="I180"/>
      <c r="J180"/>
    </row>
    <row r="181" spans="1:10" x14ac:dyDescent="0.35">
      <c r="A181"/>
      <c r="B181"/>
      <c r="C181"/>
      <c r="D181"/>
      <c r="E181"/>
      <c r="F181"/>
      <c r="G181"/>
      <c r="H181"/>
      <c r="I181"/>
      <c r="J181"/>
    </row>
    <row r="182" spans="1:10" x14ac:dyDescent="0.35">
      <c r="A182"/>
      <c r="B182"/>
      <c r="C182"/>
      <c r="D182"/>
      <c r="E182"/>
      <c r="F182"/>
      <c r="G182"/>
      <c r="H182"/>
      <c r="I182"/>
      <c r="J182"/>
    </row>
    <row r="183" spans="1:10" x14ac:dyDescent="0.35">
      <c r="A183"/>
      <c r="B183"/>
      <c r="C183"/>
      <c r="D183"/>
      <c r="E183"/>
      <c r="F183"/>
      <c r="G183"/>
      <c r="H183"/>
      <c r="I183"/>
      <c r="J183"/>
    </row>
    <row r="184" spans="1:10" x14ac:dyDescent="0.35">
      <c r="A184"/>
      <c r="B184"/>
      <c r="C184"/>
      <c r="D184"/>
      <c r="E184"/>
      <c r="F184"/>
      <c r="G184"/>
      <c r="H184"/>
      <c r="I184"/>
      <c r="J184"/>
    </row>
    <row r="185" spans="1:10" x14ac:dyDescent="0.35">
      <c r="A185"/>
      <c r="B185"/>
      <c r="C185"/>
      <c r="D185"/>
      <c r="E185"/>
      <c r="F185"/>
      <c r="G185"/>
      <c r="H185"/>
      <c r="I185"/>
      <c r="J185"/>
    </row>
    <row r="186" spans="1:10" x14ac:dyDescent="0.35">
      <c r="A186"/>
      <c r="B186"/>
      <c r="C186"/>
      <c r="D186"/>
      <c r="E186"/>
      <c r="F186"/>
      <c r="G186"/>
      <c r="H186"/>
      <c r="I186"/>
      <c r="J186"/>
    </row>
    <row r="187" spans="1:10" x14ac:dyDescent="0.35">
      <c r="A187"/>
      <c r="B187"/>
      <c r="C187"/>
      <c r="D187"/>
      <c r="E187"/>
      <c r="F187"/>
      <c r="G187"/>
      <c r="H187"/>
      <c r="I187"/>
      <c r="J187"/>
    </row>
    <row r="188" spans="1:10" x14ac:dyDescent="0.35">
      <c r="A188"/>
      <c r="B188"/>
      <c r="C188"/>
      <c r="D188"/>
      <c r="E188"/>
      <c r="F188"/>
      <c r="G188"/>
      <c r="H188"/>
      <c r="I188"/>
      <c r="J188"/>
    </row>
    <row r="189" spans="1:10" x14ac:dyDescent="0.35">
      <c r="A189"/>
      <c r="B189"/>
      <c r="C189"/>
      <c r="D189"/>
      <c r="E189"/>
      <c r="F189"/>
      <c r="G189"/>
      <c r="H189"/>
      <c r="I189"/>
      <c r="J189"/>
    </row>
    <row r="190" spans="1:10" x14ac:dyDescent="0.35">
      <c r="A190"/>
      <c r="B190"/>
      <c r="C190"/>
      <c r="D190"/>
      <c r="E190"/>
      <c r="F190"/>
      <c r="G190"/>
      <c r="H190"/>
      <c r="I190"/>
      <c r="J190"/>
    </row>
    <row r="191" spans="1:10" x14ac:dyDescent="0.35">
      <c r="A191"/>
      <c r="B191"/>
      <c r="C191"/>
      <c r="D191"/>
      <c r="E191"/>
      <c r="F191"/>
      <c r="G191"/>
      <c r="H191"/>
      <c r="I191"/>
      <c r="J191"/>
    </row>
    <row r="192" spans="1:10" x14ac:dyDescent="0.35">
      <c r="A192"/>
      <c r="B192"/>
      <c r="C192"/>
      <c r="D192"/>
      <c r="E192"/>
      <c r="F192"/>
      <c r="G192"/>
      <c r="H192"/>
      <c r="I192"/>
      <c r="J192"/>
    </row>
    <row r="193" spans="1:10" x14ac:dyDescent="0.35">
      <c r="A193"/>
      <c r="B193"/>
      <c r="C193"/>
      <c r="D193"/>
      <c r="E193"/>
      <c r="F193"/>
      <c r="G193"/>
      <c r="H193"/>
      <c r="I193"/>
      <c r="J193"/>
    </row>
    <row r="194" spans="1:10" x14ac:dyDescent="0.35">
      <c r="A194"/>
      <c r="B194"/>
      <c r="C194"/>
      <c r="D194"/>
      <c r="E194"/>
      <c r="F194"/>
      <c r="G194"/>
      <c r="H194"/>
      <c r="I194"/>
      <c r="J194"/>
    </row>
    <row r="195" spans="1:10" x14ac:dyDescent="0.35">
      <c r="A195"/>
      <c r="B195"/>
      <c r="C195"/>
      <c r="D195"/>
      <c r="E195"/>
      <c r="F195"/>
      <c r="G195"/>
      <c r="H195"/>
      <c r="I195"/>
      <c r="J195"/>
    </row>
    <row r="196" spans="1:10" x14ac:dyDescent="0.35">
      <c r="A196"/>
      <c r="B196"/>
      <c r="C196"/>
      <c r="D196"/>
      <c r="E196"/>
      <c r="F196"/>
      <c r="G196"/>
      <c r="H196"/>
      <c r="I196"/>
      <c r="J196"/>
    </row>
    <row r="197" spans="1:10" x14ac:dyDescent="0.35">
      <c r="A197"/>
      <c r="B197"/>
      <c r="C197"/>
      <c r="D197"/>
      <c r="E197"/>
      <c r="F197"/>
      <c r="G197"/>
      <c r="H197"/>
      <c r="I197"/>
      <c r="J197"/>
    </row>
    <row r="198" spans="1:10" x14ac:dyDescent="0.35">
      <c r="A198"/>
      <c r="B198"/>
      <c r="C198"/>
      <c r="D198"/>
      <c r="E198"/>
      <c r="F198"/>
      <c r="G198"/>
      <c r="H198"/>
      <c r="I198"/>
      <c r="J198"/>
    </row>
    <row r="199" spans="1:10" x14ac:dyDescent="0.35">
      <c r="A199"/>
      <c r="B199"/>
      <c r="C199"/>
      <c r="D199"/>
      <c r="E199"/>
      <c r="F199"/>
      <c r="G199"/>
      <c r="H199"/>
      <c r="I199"/>
      <c r="J199"/>
    </row>
    <row r="200" spans="1:10" x14ac:dyDescent="0.35">
      <c r="A200"/>
      <c r="B200"/>
      <c r="C200"/>
      <c r="D200"/>
      <c r="E200"/>
      <c r="F200"/>
      <c r="G200"/>
      <c r="H200"/>
      <c r="I200"/>
      <c r="J200"/>
    </row>
    <row r="201" spans="1:10" x14ac:dyDescent="0.35">
      <c r="A201"/>
      <c r="B201"/>
      <c r="C201"/>
      <c r="D201"/>
      <c r="E201"/>
      <c r="F201"/>
      <c r="G201"/>
      <c r="H201"/>
      <c r="I201"/>
      <c r="J201"/>
    </row>
    <row r="202" spans="1:10" x14ac:dyDescent="0.35">
      <c r="A202"/>
      <c r="B202"/>
      <c r="C202"/>
      <c r="D202"/>
      <c r="E202"/>
      <c r="F202"/>
      <c r="G202"/>
      <c r="H202"/>
      <c r="I202"/>
      <c r="J202"/>
    </row>
    <row r="203" spans="1:10" x14ac:dyDescent="0.35">
      <c r="A203"/>
      <c r="B203"/>
      <c r="C203"/>
      <c r="D203"/>
      <c r="E203"/>
      <c r="F203"/>
      <c r="G203"/>
      <c r="H203"/>
      <c r="I203"/>
      <c r="J203"/>
    </row>
    <row r="204" spans="1:10" x14ac:dyDescent="0.35">
      <c r="A204"/>
      <c r="B204"/>
      <c r="C204"/>
      <c r="D204"/>
      <c r="E204"/>
      <c r="F204"/>
      <c r="G204"/>
      <c r="H204"/>
      <c r="I204"/>
      <c r="J204"/>
    </row>
    <row r="205" spans="1:10" x14ac:dyDescent="0.35">
      <c r="A205"/>
      <c r="B205"/>
      <c r="C205"/>
      <c r="D205"/>
      <c r="E205"/>
      <c r="F205"/>
      <c r="G205"/>
      <c r="H205"/>
      <c r="I205"/>
      <c r="J205"/>
    </row>
    <row r="206" spans="1:10" x14ac:dyDescent="0.35">
      <c r="A206"/>
      <c r="B206"/>
      <c r="C206"/>
      <c r="D206"/>
      <c r="E206"/>
      <c r="F206"/>
      <c r="G206"/>
      <c r="H206"/>
      <c r="I206"/>
      <c r="J206"/>
    </row>
    <row r="207" spans="1:10" x14ac:dyDescent="0.35">
      <c r="A207"/>
      <c r="B207"/>
      <c r="C207"/>
      <c r="D207"/>
      <c r="E207"/>
      <c r="F207"/>
      <c r="G207"/>
      <c r="H207"/>
      <c r="I207"/>
      <c r="J207"/>
    </row>
    <row r="208" spans="1:10" x14ac:dyDescent="0.35">
      <c r="A208"/>
      <c r="B208"/>
      <c r="C208"/>
      <c r="D208"/>
      <c r="E208"/>
      <c r="F208"/>
      <c r="G208"/>
      <c r="H208"/>
      <c r="I208"/>
      <c r="J208"/>
    </row>
    <row r="209" spans="1:10" x14ac:dyDescent="0.35">
      <c r="A209"/>
      <c r="B209"/>
      <c r="C209"/>
      <c r="D209"/>
      <c r="E209"/>
      <c r="F209"/>
      <c r="G209"/>
      <c r="H209"/>
      <c r="I209"/>
      <c r="J209"/>
    </row>
    <row r="210" spans="1:10" x14ac:dyDescent="0.35">
      <c r="A210"/>
      <c r="B210"/>
      <c r="C210"/>
      <c r="D210"/>
      <c r="E210"/>
      <c r="F210"/>
      <c r="G210"/>
      <c r="H210"/>
      <c r="I210"/>
      <c r="J210"/>
    </row>
    <row r="211" spans="1:10" x14ac:dyDescent="0.35">
      <c r="A211"/>
      <c r="B211"/>
      <c r="C211"/>
      <c r="D211"/>
      <c r="E211"/>
      <c r="F211"/>
      <c r="G211"/>
      <c r="H211"/>
      <c r="I211"/>
      <c r="J211"/>
    </row>
    <row r="212" spans="1:10" x14ac:dyDescent="0.35">
      <c r="A212"/>
      <c r="B212"/>
      <c r="C212"/>
      <c r="D212"/>
      <c r="E212"/>
      <c r="F212"/>
      <c r="G212"/>
      <c r="H212"/>
      <c r="I212"/>
      <c r="J212"/>
    </row>
    <row r="213" spans="1:10" x14ac:dyDescent="0.35">
      <c r="A213"/>
      <c r="B213"/>
      <c r="C213"/>
      <c r="D213"/>
      <c r="E213"/>
      <c r="F213"/>
      <c r="G213"/>
      <c r="H213"/>
      <c r="I213"/>
      <c r="J213"/>
    </row>
    <row r="214" spans="1:10" x14ac:dyDescent="0.35">
      <c r="A214"/>
      <c r="B214"/>
      <c r="C214"/>
      <c r="D214"/>
      <c r="E214"/>
      <c r="F214"/>
      <c r="G214"/>
      <c r="H214"/>
      <c r="I214"/>
      <c r="J214"/>
    </row>
    <row r="215" spans="1:10" x14ac:dyDescent="0.35">
      <c r="A215"/>
      <c r="B215"/>
      <c r="C215"/>
      <c r="D215"/>
      <c r="E215"/>
      <c r="F215"/>
      <c r="G215"/>
      <c r="H215"/>
      <c r="I215"/>
      <c r="J215"/>
    </row>
    <row r="216" spans="1:10" x14ac:dyDescent="0.35">
      <c r="A216"/>
      <c r="B216"/>
      <c r="C216"/>
      <c r="D216"/>
      <c r="E216"/>
      <c r="F216"/>
      <c r="G216"/>
      <c r="H216"/>
      <c r="I216"/>
      <c r="J216"/>
    </row>
    <row r="217" spans="1:10" x14ac:dyDescent="0.35">
      <c r="A217"/>
      <c r="B217"/>
      <c r="C217"/>
      <c r="D217"/>
      <c r="E217"/>
      <c r="F217"/>
      <c r="G217"/>
      <c r="H217"/>
      <c r="I217"/>
      <c r="J217"/>
    </row>
    <row r="218" spans="1:10" x14ac:dyDescent="0.35">
      <c r="A218"/>
      <c r="B218"/>
      <c r="C218"/>
      <c r="D218"/>
      <c r="E218"/>
      <c r="F218"/>
      <c r="G218"/>
      <c r="H218"/>
      <c r="I218"/>
      <c r="J218"/>
    </row>
    <row r="219" spans="1:10" x14ac:dyDescent="0.35">
      <c r="A219"/>
      <c r="B219"/>
      <c r="C219"/>
      <c r="D219"/>
      <c r="E219"/>
      <c r="F219"/>
      <c r="G219"/>
      <c r="H219"/>
      <c r="I219"/>
      <c r="J219"/>
    </row>
    <row r="220" spans="1:10" x14ac:dyDescent="0.35">
      <c r="A220"/>
      <c r="B220"/>
      <c r="C220"/>
      <c r="D220"/>
      <c r="E220"/>
      <c r="F220"/>
      <c r="G220"/>
      <c r="H220"/>
      <c r="I220"/>
      <c r="J220"/>
    </row>
    <row r="221" spans="1:10" x14ac:dyDescent="0.35">
      <c r="A221"/>
      <c r="B221"/>
      <c r="C221"/>
      <c r="D221"/>
      <c r="E221"/>
      <c r="F221"/>
      <c r="G221"/>
      <c r="H221"/>
      <c r="I221"/>
      <c r="J221"/>
    </row>
    <row r="222" spans="1:10" x14ac:dyDescent="0.35">
      <c r="A222"/>
      <c r="B222"/>
      <c r="C222"/>
      <c r="D222"/>
      <c r="E222"/>
      <c r="F222"/>
      <c r="G222"/>
      <c r="H222"/>
      <c r="I222"/>
      <c r="J222"/>
    </row>
    <row r="223" spans="1:10" x14ac:dyDescent="0.35">
      <c r="A223"/>
      <c r="B223"/>
      <c r="C223"/>
      <c r="D223"/>
      <c r="E223"/>
      <c r="F223"/>
      <c r="G223"/>
      <c r="H223"/>
      <c r="I223"/>
      <c r="J223"/>
    </row>
    <row r="224" spans="1:10" x14ac:dyDescent="0.35">
      <c r="A224"/>
      <c r="B224"/>
      <c r="C224"/>
      <c r="D224"/>
      <c r="E224"/>
      <c r="F224"/>
      <c r="G224"/>
      <c r="H224"/>
      <c r="I224"/>
      <c r="J224"/>
    </row>
    <row r="225" spans="1:10" x14ac:dyDescent="0.35">
      <c r="A225"/>
      <c r="B225"/>
      <c r="C225"/>
      <c r="D225"/>
      <c r="E225"/>
      <c r="F225"/>
      <c r="G225"/>
      <c r="H225"/>
      <c r="I225"/>
      <c r="J225"/>
    </row>
    <row r="226" spans="1:10" x14ac:dyDescent="0.35">
      <c r="A226"/>
      <c r="B226"/>
      <c r="C226"/>
      <c r="D226"/>
      <c r="E226"/>
      <c r="F226"/>
      <c r="G226"/>
      <c r="H226"/>
      <c r="I226"/>
      <c r="J226"/>
    </row>
    <row r="227" spans="1:10" x14ac:dyDescent="0.35">
      <c r="A227"/>
      <c r="B227"/>
      <c r="C227"/>
      <c r="D227"/>
      <c r="E227"/>
      <c r="F227"/>
      <c r="G227"/>
      <c r="H227"/>
      <c r="I227"/>
      <c r="J227"/>
    </row>
    <row r="228" spans="1:10" x14ac:dyDescent="0.35">
      <c r="A228"/>
      <c r="B228"/>
      <c r="C228"/>
      <c r="D228"/>
      <c r="E228"/>
      <c r="F228"/>
      <c r="G228"/>
      <c r="H228"/>
      <c r="I228"/>
      <c r="J228"/>
    </row>
    <row r="229" spans="1:10" x14ac:dyDescent="0.35">
      <c r="A229"/>
      <c r="B229"/>
      <c r="C229"/>
      <c r="D229"/>
      <c r="E229"/>
      <c r="F229"/>
      <c r="G229"/>
      <c r="H229"/>
      <c r="I229"/>
      <c r="J229"/>
    </row>
    <row r="230" spans="1:10" x14ac:dyDescent="0.35">
      <c r="A230"/>
      <c r="B230"/>
      <c r="C230"/>
      <c r="D230"/>
      <c r="E230"/>
      <c r="F230"/>
      <c r="G230"/>
      <c r="H230"/>
      <c r="I230"/>
      <c r="J230"/>
    </row>
    <row r="231" spans="1:10" x14ac:dyDescent="0.35">
      <c r="A231"/>
      <c r="B231"/>
      <c r="C231"/>
      <c r="D231"/>
      <c r="E231"/>
      <c r="F231"/>
      <c r="G231"/>
      <c r="H231"/>
      <c r="I231"/>
      <c r="J231"/>
    </row>
    <row r="232" spans="1:10" x14ac:dyDescent="0.35">
      <c r="A232"/>
      <c r="B232"/>
      <c r="C232"/>
      <c r="D232"/>
      <c r="E232"/>
      <c r="F232"/>
      <c r="G232"/>
      <c r="H232"/>
      <c r="I232"/>
      <c r="J232"/>
    </row>
    <row r="233" spans="1:10" x14ac:dyDescent="0.35">
      <c r="A233"/>
      <c r="B233"/>
      <c r="C233"/>
      <c r="D233"/>
      <c r="E233"/>
      <c r="F233"/>
      <c r="G233"/>
      <c r="H233"/>
      <c r="I233"/>
      <c r="J233"/>
    </row>
    <row r="234" spans="1:10" x14ac:dyDescent="0.35">
      <c r="A234"/>
      <c r="B234"/>
      <c r="C234"/>
      <c r="D234"/>
      <c r="E234"/>
      <c r="F234"/>
      <c r="G234"/>
      <c r="H234"/>
      <c r="I234"/>
      <c r="J234"/>
    </row>
    <row r="235" spans="1:10" x14ac:dyDescent="0.35">
      <c r="A235"/>
      <c r="B235"/>
      <c r="C235"/>
      <c r="D235"/>
      <c r="E235"/>
      <c r="F235"/>
      <c r="G235"/>
      <c r="H235"/>
      <c r="I235"/>
      <c r="J235"/>
    </row>
    <row r="236" spans="1:10" x14ac:dyDescent="0.35">
      <c r="A236"/>
      <c r="B236"/>
      <c r="C236"/>
      <c r="D236"/>
      <c r="E236"/>
      <c r="F236"/>
      <c r="G236"/>
      <c r="H236"/>
      <c r="I236"/>
      <c r="J236"/>
    </row>
    <row r="237" spans="1:10" x14ac:dyDescent="0.35">
      <c r="A237"/>
      <c r="B237"/>
      <c r="C237"/>
      <c r="D237"/>
      <c r="E237"/>
      <c r="F237"/>
      <c r="G237"/>
      <c r="H237"/>
      <c r="I237"/>
      <c r="J237"/>
    </row>
    <row r="238" spans="1:10" x14ac:dyDescent="0.35">
      <c r="A238"/>
      <c r="B238"/>
      <c r="C238"/>
      <c r="D238"/>
      <c r="E238"/>
      <c r="F238"/>
      <c r="G238"/>
      <c r="H238"/>
      <c r="I238"/>
      <c r="J238"/>
    </row>
    <row r="239" spans="1:10" x14ac:dyDescent="0.35">
      <c r="A239"/>
      <c r="B239"/>
      <c r="C239"/>
      <c r="D239"/>
      <c r="E239"/>
      <c r="F239"/>
      <c r="G239"/>
      <c r="H239"/>
      <c r="I239"/>
      <c r="J239"/>
    </row>
    <row r="240" spans="1:10" x14ac:dyDescent="0.35">
      <c r="A240"/>
      <c r="B240"/>
      <c r="C240"/>
      <c r="D240"/>
      <c r="E240"/>
      <c r="F240"/>
      <c r="G240"/>
      <c r="H240"/>
      <c r="I240"/>
      <c r="J240"/>
    </row>
    <row r="241" spans="1:10" x14ac:dyDescent="0.35">
      <c r="A241"/>
      <c r="B241"/>
      <c r="C241"/>
      <c r="D241"/>
      <c r="E241"/>
      <c r="F241"/>
      <c r="G241"/>
      <c r="H241"/>
      <c r="I241"/>
      <c r="J241"/>
    </row>
    <row r="242" spans="1:10" x14ac:dyDescent="0.35">
      <c r="A242"/>
      <c r="B242"/>
      <c r="C242"/>
      <c r="D242"/>
      <c r="E242"/>
      <c r="F242"/>
      <c r="G242"/>
      <c r="H242"/>
      <c r="I242"/>
      <c r="J242"/>
    </row>
    <row r="243" spans="1:10" x14ac:dyDescent="0.35">
      <c r="A243"/>
      <c r="B243"/>
      <c r="C243"/>
      <c r="D243"/>
      <c r="E243"/>
      <c r="F243"/>
      <c r="G243"/>
      <c r="H243"/>
      <c r="I243"/>
      <c r="J243"/>
    </row>
    <row r="244" spans="1:10" x14ac:dyDescent="0.35">
      <c r="A244"/>
      <c r="B244"/>
      <c r="C244"/>
      <c r="D244"/>
      <c r="E244"/>
      <c r="F244"/>
      <c r="G244"/>
      <c r="H244"/>
      <c r="I244"/>
      <c r="J244"/>
    </row>
    <row r="245" spans="1:10" x14ac:dyDescent="0.35">
      <c r="A245"/>
      <c r="B245"/>
      <c r="C245"/>
      <c r="D245"/>
      <c r="E245"/>
      <c r="F245"/>
      <c r="G245"/>
      <c r="H245"/>
      <c r="I245"/>
      <c r="J245"/>
    </row>
    <row r="246" spans="1:10" x14ac:dyDescent="0.35">
      <c r="A246"/>
      <c r="B246"/>
      <c r="C246"/>
      <c r="D246"/>
      <c r="E246"/>
      <c r="F246"/>
      <c r="G246"/>
      <c r="H246"/>
      <c r="I246"/>
      <c r="J246"/>
    </row>
    <row r="247" spans="1:10" x14ac:dyDescent="0.35">
      <c r="A247"/>
      <c r="B247"/>
      <c r="C247"/>
      <c r="D247"/>
      <c r="E247"/>
      <c r="F247"/>
      <c r="G247"/>
      <c r="H247"/>
      <c r="I247"/>
      <c r="J247"/>
    </row>
    <row r="248" spans="1:10" x14ac:dyDescent="0.35">
      <c r="A248"/>
      <c r="B248"/>
      <c r="C248"/>
      <c r="D248"/>
      <c r="E248"/>
      <c r="F248"/>
      <c r="G248"/>
      <c r="H248"/>
      <c r="I248"/>
      <c r="J248"/>
    </row>
    <row r="249" spans="1:10" x14ac:dyDescent="0.35">
      <c r="A249"/>
      <c r="B249"/>
      <c r="C249"/>
      <c r="D249"/>
      <c r="E249"/>
      <c r="F249"/>
      <c r="G249"/>
      <c r="H249"/>
      <c r="I249"/>
      <c r="J249"/>
    </row>
    <row r="250" spans="1:10" x14ac:dyDescent="0.35">
      <c r="A250"/>
      <c r="B250"/>
      <c r="C250"/>
      <c r="D250"/>
      <c r="E250"/>
      <c r="F250"/>
      <c r="G250"/>
      <c r="H250"/>
      <c r="I250"/>
      <c r="J250"/>
    </row>
    <row r="251" spans="1:10" x14ac:dyDescent="0.35">
      <c r="A251"/>
      <c r="B251"/>
      <c r="C251"/>
      <c r="D251"/>
      <c r="E251"/>
      <c r="F251"/>
      <c r="G251"/>
      <c r="H251"/>
      <c r="I251"/>
      <c r="J251"/>
    </row>
    <row r="252" spans="1:10" x14ac:dyDescent="0.35">
      <c r="A252"/>
      <c r="B252"/>
      <c r="C252"/>
      <c r="D252"/>
      <c r="E252"/>
      <c r="F252"/>
      <c r="G252"/>
      <c r="H252"/>
      <c r="I252"/>
      <c r="J252"/>
    </row>
    <row r="253" spans="1:10" x14ac:dyDescent="0.35">
      <c r="A253"/>
      <c r="B253"/>
      <c r="C253"/>
      <c r="D253"/>
      <c r="E253"/>
      <c r="F253"/>
      <c r="G253"/>
      <c r="H253"/>
      <c r="I253"/>
      <c r="J253"/>
    </row>
    <row r="254" spans="1:10" x14ac:dyDescent="0.35">
      <c r="A254"/>
      <c r="B254"/>
      <c r="C254"/>
      <c r="D254"/>
      <c r="E254"/>
      <c r="F254"/>
      <c r="G254"/>
      <c r="H254"/>
      <c r="I254"/>
      <c r="J254"/>
    </row>
    <row r="255" spans="1:10" x14ac:dyDescent="0.35">
      <c r="A255"/>
      <c r="B255"/>
      <c r="C255"/>
      <c r="D255"/>
      <c r="E255"/>
      <c r="F255"/>
      <c r="G255"/>
      <c r="H255"/>
      <c r="I255"/>
      <c r="J255"/>
    </row>
    <row r="256" spans="1:10" x14ac:dyDescent="0.35">
      <c r="A256"/>
      <c r="B256"/>
      <c r="C256"/>
      <c r="D256"/>
      <c r="E256"/>
      <c r="F256"/>
      <c r="G256"/>
      <c r="H256"/>
      <c r="I256"/>
      <c r="J256"/>
    </row>
    <row r="257" spans="1:10" x14ac:dyDescent="0.35">
      <c r="A257"/>
      <c r="B257"/>
      <c r="C257"/>
      <c r="D257"/>
      <c r="E257"/>
      <c r="F257"/>
      <c r="G257"/>
      <c r="H257"/>
      <c r="I257"/>
      <c r="J257"/>
    </row>
    <row r="258" spans="1:10" x14ac:dyDescent="0.35">
      <c r="A258"/>
      <c r="B258"/>
      <c r="C258"/>
      <c r="D258"/>
      <c r="E258"/>
      <c r="F258"/>
      <c r="G258"/>
      <c r="H258"/>
      <c r="I258"/>
      <c r="J258"/>
    </row>
    <row r="259" spans="1:10" x14ac:dyDescent="0.35">
      <c r="A259"/>
      <c r="B259"/>
      <c r="C259"/>
      <c r="D259"/>
      <c r="E259"/>
      <c r="F259"/>
      <c r="G259"/>
      <c r="H259"/>
      <c r="I259"/>
      <c r="J259"/>
    </row>
    <row r="260" spans="1:10" x14ac:dyDescent="0.35">
      <c r="A260"/>
      <c r="B260"/>
      <c r="C260"/>
      <c r="D260"/>
      <c r="E260"/>
      <c r="F260"/>
      <c r="G260"/>
      <c r="H260"/>
      <c r="I260"/>
      <c r="J260"/>
    </row>
    <row r="261" spans="1:10" x14ac:dyDescent="0.35">
      <c r="A261"/>
      <c r="B261"/>
      <c r="C261"/>
      <c r="D261"/>
      <c r="E261"/>
      <c r="F261"/>
      <c r="G261"/>
      <c r="H261"/>
      <c r="I261"/>
      <c r="J261"/>
    </row>
    <row r="262" spans="1:10" x14ac:dyDescent="0.35">
      <c r="A262"/>
      <c r="B262"/>
      <c r="C262"/>
      <c r="D262"/>
      <c r="E262"/>
      <c r="F262"/>
      <c r="G262"/>
      <c r="H262"/>
      <c r="I262"/>
      <c r="J262"/>
    </row>
    <row r="263" spans="1:10" x14ac:dyDescent="0.35">
      <c r="A263"/>
      <c r="B263"/>
      <c r="C263"/>
      <c r="D263"/>
      <c r="E263"/>
      <c r="F263"/>
      <c r="G263"/>
      <c r="H263"/>
      <c r="I263"/>
      <c r="J263"/>
    </row>
    <row r="264" spans="1:10" x14ac:dyDescent="0.35">
      <c r="A264"/>
      <c r="B264"/>
      <c r="C264"/>
      <c r="D264"/>
      <c r="E264"/>
      <c r="F264"/>
      <c r="G264"/>
      <c r="H264"/>
      <c r="I264"/>
      <c r="J264"/>
    </row>
    <row r="265" spans="1:10" x14ac:dyDescent="0.35">
      <c r="A265"/>
      <c r="B265"/>
      <c r="C265"/>
      <c r="D265"/>
      <c r="E265"/>
      <c r="F265"/>
      <c r="G265"/>
      <c r="H265"/>
      <c r="I265"/>
      <c r="J265"/>
    </row>
    <row r="266" spans="1:10" x14ac:dyDescent="0.35">
      <c r="A266"/>
      <c r="B266"/>
      <c r="C266"/>
      <c r="D266"/>
      <c r="E266"/>
      <c r="F266"/>
      <c r="G266"/>
      <c r="H266"/>
      <c r="I266"/>
      <c r="J266"/>
    </row>
    <row r="267" spans="1:10" x14ac:dyDescent="0.35">
      <c r="A267"/>
      <c r="B267"/>
      <c r="C267"/>
      <c r="D267"/>
      <c r="E267"/>
      <c r="F267"/>
      <c r="G267"/>
      <c r="H267"/>
      <c r="I267"/>
      <c r="J267"/>
    </row>
    <row r="268" spans="1:10" x14ac:dyDescent="0.35">
      <c r="A268"/>
      <c r="B268"/>
      <c r="C268"/>
      <c r="D268"/>
      <c r="E268"/>
      <c r="F268"/>
      <c r="G268"/>
      <c r="H268"/>
      <c r="I268"/>
      <c r="J268"/>
    </row>
    <row r="269" spans="1:10" x14ac:dyDescent="0.35">
      <c r="A269"/>
      <c r="B269"/>
      <c r="C269"/>
      <c r="D269"/>
      <c r="E269"/>
      <c r="F269"/>
      <c r="G269"/>
      <c r="H269"/>
      <c r="I269"/>
      <c r="J269"/>
    </row>
    <row r="270" spans="1:10" x14ac:dyDescent="0.35">
      <c r="A270"/>
      <c r="B270"/>
      <c r="C270"/>
      <c r="D270"/>
      <c r="E270"/>
      <c r="F270"/>
      <c r="G270"/>
      <c r="H270"/>
      <c r="I270"/>
      <c r="J270"/>
    </row>
    <row r="271" spans="1:10" x14ac:dyDescent="0.35">
      <c r="A271"/>
      <c r="B271"/>
      <c r="C271"/>
      <c r="D271"/>
      <c r="E271"/>
      <c r="F271"/>
      <c r="G271"/>
      <c r="H271"/>
      <c r="I271"/>
      <c r="J271"/>
    </row>
    <row r="272" spans="1:10" x14ac:dyDescent="0.35">
      <c r="A272"/>
      <c r="B272"/>
      <c r="C272"/>
      <c r="D272"/>
      <c r="E272"/>
      <c r="F272"/>
      <c r="G272"/>
      <c r="H272"/>
      <c r="I272"/>
      <c r="J272"/>
    </row>
    <row r="273" spans="1:10" x14ac:dyDescent="0.35">
      <c r="A273"/>
      <c r="B273"/>
      <c r="C273"/>
      <c r="D273"/>
      <c r="E273"/>
      <c r="F273"/>
      <c r="G273"/>
      <c r="H273"/>
      <c r="I273"/>
      <c r="J273"/>
    </row>
    <row r="274" spans="1:10" x14ac:dyDescent="0.35">
      <c r="A274"/>
      <c r="B274"/>
      <c r="C274"/>
      <c r="D274"/>
      <c r="E274"/>
      <c r="F274"/>
      <c r="G274"/>
      <c r="H274"/>
      <c r="I274"/>
      <c r="J274"/>
    </row>
    <row r="275" spans="1:10" x14ac:dyDescent="0.35">
      <c r="A275"/>
      <c r="B275"/>
      <c r="C275"/>
      <c r="D275"/>
      <c r="E275"/>
      <c r="F275"/>
      <c r="G275"/>
      <c r="H275"/>
      <c r="I275"/>
      <c r="J275"/>
    </row>
    <row r="276" spans="1:10" x14ac:dyDescent="0.35">
      <c r="A276"/>
      <c r="B276"/>
      <c r="C276"/>
      <c r="D276"/>
      <c r="E276"/>
      <c r="F276"/>
      <c r="G276"/>
      <c r="H276"/>
      <c r="I276"/>
      <c r="J276"/>
    </row>
    <row r="277" spans="1:10" x14ac:dyDescent="0.35">
      <c r="A277"/>
      <c r="B277"/>
      <c r="C277"/>
      <c r="D277"/>
      <c r="E277"/>
      <c r="F277"/>
      <c r="G277"/>
      <c r="H277"/>
      <c r="I277"/>
      <c r="J277"/>
    </row>
    <row r="278" spans="1:10" x14ac:dyDescent="0.35">
      <c r="A278"/>
      <c r="B278"/>
      <c r="C278"/>
      <c r="D278"/>
      <c r="E278"/>
      <c r="F278"/>
      <c r="G278"/>
      <c r="H278"/>
      <c r="I278"/>
      <c r="J278"/>
    </row>
    <row r="279" spans="1:10" x14ac:dyDescent="0.35">
      <c r="A279"/>
      <c r="B279"/>
      <c r="C279"/>
      <c r="D279"/>
      <c r="E279"/>
      <c r="F279"/>
      <c r="G279"/>
      <c r="H279"/>
      <c r="I279"/>
      <c r="J279"/>
    </row>
    <row r="280" spans="1:10" x14ac:dyDescent="0.35">
      <c r="A280"/>
      <c r="B280"/>
      <c r="C280"/>
      <c r="D280"/>
      <c r="E280"/>
      <c r="F280"/>
      <c r="G280"/>
      <c r="H280"/>
      <c r="I280"/>
      <c r="J280"/>
    </row>
    <row r="281" spans="1:10" x14ac:dyDescent="0.35">
      <c r="A281"/>
      <c r="B281"/>
      <c r="C281"/>
      <c r="D281"/>
      <c r="E281"/>
      <c r="F281"/>
      <c r="G281"/>
      <c r="H281"/>
      <c r="I281"/>
      <c r="J281"/>
    </row>
    <row r="282" spans="1:10" x14ac:dyDescent="0.35">
      <c r="A282"/>
      <c r="B282"/>
      <c r="C282"/>
      <c r="D282"/>
      <c r="E282"/>
      <c r="F282"/>
      <c r="G282"/>
      <c r="H282"/>
      <c r="I282"/>
      <c r="J282"/>
    </row>
    <row r="283" spans="1:10" x14ac:dyDescent="0.35">
      <c r="A283"/>
      <c r="B283"/>
      <c r="C283"/>
      <c r="D283"/>
      <c r="E283"/>
      <c r="F283"/>
      <c r="G283"/>
      <c r="H283"/>
      <c r="I283"/>
      <c r="J283"/>
    </row>
    <row r="284" spans="1:10" x14ac:dyDescent="0.35">
      <c r="A284"/>
      <c r="B284"/>
      <c r="C284"/>
      <c r="D284"/>
      <c r="E284"/>
      <c r="F284"/>
      <c r="G284"/>
      <c r="H284"/>
      <c r="I284"/>
      <c r="J284"/>
    </row>
    <row r="285" spans="1:10" x14ac:dyDescent="0.35">
      <c r="A285"/>
      <c r="B285"/>
      <c r="C285"/>
      <c r="D285"/>
      <c r="E285"/>
      <c r="F285"/>
      <c r="G285"/>
      <c r="H285"/>
      <c r="I285"/>
      <c r="J285"/>
    </row>
    <row r="286" spans="1:10" x14ac:dyDescent="0.35">
      <c r="A286"/>
      <c r="B286"/>
      <c r="C286"/>
      <c r="D286"/>
      <c r="E286"/>
      <c r="F286"/>
      <c r="G286"/>
      <c r="H286"/>
      <c r="I286"/>
      <c r="J286"/>
    </row>
    <row r="287" spans="1:10" x14ac:dyDescent="0.35">
      <c r="A287"/>
      <c r="B287"/>
      <c r="C287"/>
      <c r="D287"/>
      <c r="E287"/>
      <c r="F287"/>
      <c r="G287"/>
      <c r="H287"/>
      <c r="I287"/>
      <c r="J287"/>
    </row>
    <row r="288" spans="1:10" x14ac:dyDescent="0.35">
      <c r="A288"/>
      <c r="B288"/>
      <c r="C288"/>
      <c r="D288"/>
      <c r="E288"/>
      <c r="F288"/>
      <c r="G288"/>
      <c r="H288"/>
      <c r="I288"/>
      <c r="J288"/>
    </row>
    <row r="289" spans="1:10" x14ac:dyDescent="0.35">
      <c r="A289"/>
      <c r="B289"/>
      <c r="C289"/>
      <c r="D289"/>
      <c r="E289"/>
      <c r="F289"/>
      <c r="G289"/>
      <c r="H289"/>
      <c r="I289"/>
      <c r="J289"/>
    </row>
    <row r="290" spans="1:10" x14ac:dyDescent="0.35">
      <c r="A290"/>
      <c r="B290"/>
      <c r="C290"/>
      <c r="D290"/>
      <c r="E290"/>
      <c r="F290"/>
      <c r="G290"/>
      <c r="H290"/>
      <c r="I290"/>
      <c r="J290"/>
    </row>
    <row r="291" spans="1:10" x14ac:dyDescent="0.35">
      <c r="A291"/>
      <c r="B291"/>
      <c r="C291"/>
      <c r="D291"/>
      <c r="E291"/>
      <c r="F291"/>
      <c r="G291"/>
      <c r="H291"/>
      <c r="I291"/>
      <c r="J291"/>
    </row>
    <row r="292" spans="1:10" x14ac:dyDescent="0.35">
      <c r="A292"/>
      <c r="B292"/>
      <c r="C292"/>
      <c r="D292"/>
      <c r="E292"/>
      <c r="F292"/>
      <c r="G292"/>
      <c r="H292"/>
      <c r="I292"/>
      <c r="J292"/>
    </row>
    <row r="293" spans="1:10" x14ac:dyDescent="0.35">
      <c r="A293"/>
      <c r="B293"/>
      <c r="C293"/>
      <c r="D293"/>
      <c r="E293"/>
      <c r="F293"/>
      <c r="G293"/>
      <c r="H293"/>
      <c r="I293"/>
      <c r="J293"/>
    </row>
    <row r="294" spans="1:10" x14ac:dyDescent="0.35">
      <c r="A294"/>
      <c r="B294"/>
      <c r="C294"/>
      <c r="D294"/>
      <c r="E294"/>
      <c r="F294"/>
      <c r="G294"/>
      <c r="H294"/>
      <c r="I294"/>
      <c r="J294"/>
    </row>
    <row r="295" spans="1:10" x14ac:dyDescent="0.35">
      <c r="A295"/>
      <c r="B295"/>
      <c r="C295"/>
      <c r="D295"/>
      <c r="E295"/>
      <c r="F295"/>
      <c r="G295"/>
      <c r="H295"/>
      <c r="I295"/>
      <c r="J295"/>
    </row>
    <row r="296" spans="1:10" x14ac:dyDescent="0.35">
      <c r="A296"/>
      <c r="B296"/>
      <c r="C296"/>
      <c r="D296"/>
      <c r="E296"/>
      <c r="F296"/>
      <c r="G296"/>
      <c r="H296"/>
      <c r="I296"/>
      <c r="J296"/>
    </row>
    <row r="297" spans="1:10" x14ac:dyDescent="0.35">
      <c r="A297"/>
      <c r="B297"/>
      <c r="C297"/>
      <c r="D297"/>
      <c r="E297"/>
      <c r="F297"/>
      <c r="G297"/>
      <c r="H297"/>
      <c r="I297"/>
      <c r="J297"/>
    </row>
    <row r="298" spans="1:10" x14ac:dyDescent="0.35">
      <c r="A298"/>
      <c r="B298"/>
      <c r="C298"/>
      <c r="D298"/>
      <c r="E298"/>
      <c r="F298"/>
      <c r="G298"/>
      <c r="H298"/>
      <c r="I298"/>
      <c r="J298"/>
    </row>
    <row r="299" spans="1:10" x14ac:dyDescent="0.35">
      <c r="A299"/>
      <c r="B299"/>
      <c r="C299"/>
      <c r="D299"/>
      <c r="E299"/>
      <c r="F299"/>
      <c r="G299"/>
      <c r="H299"/>
      <c r="I299"/>
      <c r="J299"/>
    </row>
    <row r="300" spans="1:10" x14ac:dyDescent="0.35">
      <c r="A300"/>
      <c r="B300"/>
      <c r="C300"/>
      <c r="D300"/>
      <c r="E300"/>
      <c r="F300"/>
      <c r="G300"/>
      <c r="H300"/>
      <c r="I300"/>
      <c r="J300"/>
    </row>
    <row r="301" spans="1:10" x14ac:dyDescent="0.35">
      <c r="A301"/>
      <c r="B301"/>
      <c r="C301"/>
      <c r="D301"/>
      <c r="E301"/>
      <c r="F301"/>
      <c r="G301"/>
      <c r="H301"/>
      <c r="I301"/>
      <c r="J301"/>
    </row>
    <row r="302" spans="1:10" x14ac:dyDescent="0.35">
      <c r="A302"/>
      <c r="B302"/>
      <c r="C302"/>
      <c r="D302"/>
      <c r="E302"/>
      <c r="F302"/>
      <c r="G302"/>
      <c r="H302"/>
      <c r="I302"/>
      <c r="J302"/>
    </row>
    <row r="303" spans="1:10" x14ac:dyDescent="0.35">
      <c r="A303"/>
      <c r="B303"/>
      <c r="C303"/>
      <c r="D303"/>
      <c r="E303"/>
      <c r="F303"/>
      <c r="G303"/>
      <c r="H303"/>
      <c r="I303"/>
      <c r="J303"/>
    </row>
    <row r="304" spans="1:10" x14ac:dyDescent="0.35">
      <c r="A304"/>
      <c r="B304"/>
      <c r="C304"/>
      <c r="D304"/>
      <c r="E304"/>
      <c r="F304"/>
      <c r="G304"/>
      <c r="H304"/>
      <c r="I304"/>
      <c r="J304"/>
    </row>
    <row r="305" spans="1:10" x14ac:dyDescent="0.35">
      <c r="A305"/>
      <c r="B305"/>
      <c r="C305"/>
      <c r="D305"/>
      <c r="E305"/>
      <c r="F305"/>
      <c r="G305"/>
      <c r="H305"/>
      <c r="I305"/>
      <c r="J305"/>
    </row>
    <row r="306" spans="1:10" x14ac:dyDescent="0.35">
      <c r="A306"/>
      <c r="B306"/>
      <c r="C306"/>
      <c r="D306"/>
      <c r="E306"/>
      <c r="F306"/>
      <c r="G306"/>
      <c r="H306"/>
      <c r="I306"/>
      <c r="J306"/>
    </row>
    <row r="307" spans="1:10" x14ac:dyDescent="0.35">
      <c r="A307"/>
      <c r="B307"/>
      <c r="C307"/>
      <c r="D307"/>
      <c r="E307"/>
      <c r="F307"/>
      <c r="G307"/>
      <c r="H307"/>
      <c r="I307"/>
      <c r="J307"/>
    </row>
    <row r="308" spans="1:10" x14ac:dyDescent="0.35">
      <c r="A308"/>
      <c r="B308"/>
      <c r="C308"/>
      <c r="D308"/>
      <c r="E308"/>
      <c r="F308"/>
      <c r="G308"/>
      <c r="H308"/>
      <c r="I308"/>
      <c r="J308"/>
    </row>
    <row r="309" spans="1:10" x14ac:dyDescent="0.35">
      <c r="A309"/>
      <c r="B309"/>
      <c r="C309"/>
      <c r="D309"/>
      <c r="E309"/>
      <c r="F309"/>
      <c r="G309"/>
      <c r="H309"/>
      <c r="I309"/>
      <c r="J309"/>
    </row>
    <row r="310" spans="1:10" x14ac:dyDescent="0.35">
      <c r="A310"/>
      <c r="B310"/>
      <c r="C310"/>
      <c r="D310"/>
      <c r="E310"/>
      <c r="F310"/>
      <c r="G310"/>
      <c r="H310"/>
      <c r="I310"/>
      <c r="J310"/>
    </row>
    <row r="311" spans="1:10" x14ac:dyDescent="0.35">
      <c r="A311"/>
      <c r="B311"/>
      <c r="C311"/>
      <c r="D311"/>
      <c r="E311"/>
      <c r="F311"/>
      <c r="G311"/>
      <c r="H311"/>
      <c r="I311"/>
      <c r="J311"/>
    </row>
    <row r="312" spans="1:10" x14ac:dyDescent="0.35">
      <c r="A312"/>
      <c r="B312"/>
      <c r="C312"/>
      <c r="D312"/>
      <c r="E312"/>
      <c r="F312"/>
      <c r="G312"/>
      <c r="H312"/>
      <c r="I312"/>
      <c r="J312"/>
    </row>
    <row r="313" spans="1:10" x14ac:dyDescent="0.35">
      <c r="A313"/>
      <c r="B313"/>
      <c r="C313"/>
      <c r="D313"/>
      <c r="E313"/>
      <c r="F313"/>
      <c r="G313"/>
      <c r="H313"/>
      <c r="I313"/>
      <c r="J313"/>
    </row>
    <row r="314" spans="1:10" x14ac:dyDescent="0.35">
      <c r="A314"/>
      <c r="B314"/>
      <c r="C314"/>
      <c r="D314"/>
      <c r="E314"/>
      <c r="F314"/>
      <c r="G314"/>
      <c r="H314"/>
      <c r="I314"/>
      <c r="J314"/>
    </row>
    <row r="315" spans="1:10" x14ac:dyDescent="0.35">
      <c r="A315"/>
      <c r="B315"/>
      <c r="C315"/>
      <c r="D315"/>
      <c r="E315"/>
      <c r="F315"/>
      <c r="G315"/>
      <c r="H315"/>
      <c r="I315"/>
      <c r="J315"/>
    </row>
    <row r="316" spans="1:10" x14ac:dyDescent="0.35">
      <c r="A316"/>
      <c r="B316"/>
      <c r="C316"/>
      <c r="D316"/>
      <c r="E316"/>
      <c r="F316"/>
      <c r="G316"/>
      <c r="H316"/>
      <c r="I316"/>
      <c r="J316"/>
    </row>
    <row r="317" spans="1:10" x14ac:dyDescent="0.35">
      <c r="A317"/>
      <c r="B317"/>
      <c r="C317"/>
      <c r="D317"/>
      <c r="E317"/>
      <c r="F317"/>
      <c r="G317"/>
      <c r="H317"/>
      <c r="I317"/>
      <c r="J317"/>
    </row>
    <row r="318" spans="1:10" x14ac:dyDescent="0.35">
      <c r="A318"/>
      <c r="B318"/>
      <c r="C318"/>
      <c r="D318"/>
      <c r="E318"/>
      <c r="F318"/>
      <c r="G318"/>
      <c r="H318"/>
      <c r="I318"/>
      <c r="J318"/>
    </row>
    <row r="319" spans="1:10" x14ac:dyDescent="0.35">
      <c r="A319"/>
      <c r="B319"/>
      <c r="C319"/>
      <c r="D319"/>
      <c r="E319"/>
      <c r="F319"/>
      <c r="G319"/>
      <c r="H319"/>
      <c r="I319"/>
      <c r="J319"/>
    </row>
    <row r="320" spans="1:10" x14ac:dyDescent="0.35">
      <c r="A320"/>
      <c r="B320"/>
      <c r="C320"/>
      <c r="D320"/>
      <c r="E320"/>
      <c r="F320"/>
      <c r="G320"/>
      <c r="H320"/>
      <c r="I320"/>
      <c r="J320"/>
    </row>
    <row r="321" spans="1:10" x14ac:dyDescent="0.35">
      <c r="A321"/>
      <c r="B321"/>
      <c r="C321"/>
      <c r="D321"/>
      <c r="E321"/>
      <c r="F321"/>
      <c r="G321"/>
      <c r="H321"/>
      <c r="I321"/>
      <c r="J321"/>
    </row>
    <row r="322" spans="1:10" x14ac:dyDescent="0.35">
      <c r="A322"/>
      <c r="B322"/>
      <c r="C322"/>
      <c r="D322"/>
      <c r="E322"/>
      <c r="F322"/>
      <c r="G322"/>
      <c r="H322"/>
      <c r="I322"/>
      <c r="J322"/>
    </row>
    <row r="323" spans="1:10" x14ac:dyDescent="0.35">
      <c r="A323"/>
      <c r="B323"/>
      <c r="C323"/>
      <c r="D323"/>
      <c r="E323"/>
      <c r="F323"/>
      <c r="G323"/>
      <c r="H323"/>
      <c r="I323"/>
      <c r="J323"/>
    </row>
    <row r="324" spans="1:10" x14ac:dyDescent="0.35">
      <c r="A324"/>
      <c r="B324"/>
      <c r="C324"/>
      <c r="D324"/>
      <c r="E324"/>
      <c r="F324"/>
      <c r="G324"/>
      <c r="H324"/>
      <c r="I324"/>
      <c r="J324"/>
    </row>
    <row r="325" spans="1:10" x14ac:dyDescent="0.35">
      <c r="A325"/>
      <c r="B325"/>
      <c r="C325"/>
      <c r="D325"/>
      <c r="E325"/>
      <c r="F325"/>
      <c r="G325"/>
      <c r="H325"/>
      <c r="I325"/>
      <c r="J325"/>
    </row>
    <row r="326" spans="1:10" x14ac:dyDescent="0.35">
      <c r="A326"/>
      <c r="B326"/>
      <c r="C326"/>
      <c r="D326"/>
      <c r="E326"/>
      <c r="F326"/>
      <c r="G326"/>
      <c r="H326"/>
      <c r="I326"/>
      <c r="J326"/>
    </row>
    <row r="327" spans="1:10" x14ac:dyDescent="0.35">
      <c r="A327"/>
      <c r="B327"/>
      <c r="C327"/>
      <c r="D327"/>
      <c r="E327"/>
      <c r="F327"/>
      <c r="G327"/>
      <c r="H327"/>
      <c r="I327"/>
      <c r="J327"/>
    </row>
    <row r="328" spans="1:10" x14ac:dyDescent="0.35">
      <c r="A328"/>
      <c r="B328"/>
      <c r="C328"/>
      <c r="D328"/>
      <c r="E328"/>
      <c r="F328"/>
      <c r="G328"/>
      <c r="H328"/>
      <c r="I328"/>
      <c r="J328"/>
    </row>
    <row r="329" spans="1:10" x14ac:dyDescent="0.35">
      <c r="A329"/>
      <c r="B329"/>
      <c r="C329"/>
      <c r="D329"/>
      <c r="E329"/>
      <c r="F329"/>
      <c r="G329"/>
      <c r="H329"/>
      <c r="I329"/>
      <c r="J329"/>
    </row>
    <row r="330" spans="1:10" x14ac:dyDescent="0.35">
      <c r="A330"/>
      <c r="B330"/>
      <c r="C330"/>
      <c r="D330"/>
      <c r="E330"/>
      <c r="F330"/>
      <c r="G330"/>
      <c r="H330"/>
      <c r="I330"/>
      <c r="J330"/>
    </row>
    <row r="331" spans="1:10" x14ac:dyDescent="0.35">
      <c r="A331"/>
      <c r="B331"/>
      <c r="C331"/>
      <c r="D331"/>
      <c r="E331"/>
      <c r="F331"/>
      <c r="G331"/>
      <c r="H331"/>
      <c r="I331"/>
      <c r="J331"/>
    </row>
    <row r="332" spans="1:10" x14ac:dyDescent="0.35">
      <c r="A332"/>
      <c r="B332"/>
      <c r="C332"/>
      <c r="D332"/>
      <c r="E332"/>
      <c r="F332"/>
      <c r="G332"/>
      <c r="H332"/>
      <c r="I332"/>
      <c r="J332"/>
    </row>
    <row r="333" spans="1:10" x14ac:dyDescent="0.35">
      <c r="A333"/>
      <c r="B333"/>
      <c r="C333"/>
      <c r="D333"/>
      <c r="E333"/>
      <c r="F333"/>
      <c r="G333"/>
      <c r="H333"/>
      <c r="I333"/>
      <c r="J333"/>
    </row>
    <row r="334" spans="1:10" x14ac:dyDescent="0.35">
      <c r="A334"/>
      <c r="B334"/>
      <c r="C334"/>
      <c r="D334"/>
      <c r="E334"/>
      <c r="F334"/>
      <c r="G334"/>
      <c r="H334"/>
      <c r="I334"/>
      <c r="J334"/>
    </row>
    <row r="335" spans="1:10" x14ac:dyDescent="0.35">
      <c r="A335"/>
      <c r="B335"/>
      <c r="C335"/>
      <c r="D335"/>
      <c r="E335"/>
      <c r="F335"/>
      <c r="G335"/>
      <c r="H335"/>
      <c r="I335"/>
      <c r="J335"/>
    </row>
    <row r="336" spans="1:10" x14ac:dyDescent="0.35">
      <c r="A336"/>
      <c r="B336"/>
      <c r="C336"/>
      <c r="D336"/>
      <c r="E336"/>
      <c r="F336"/>
      <c r="G336"/>
      <c r="H336"/>
      <c r="I336"/>
      <c r="J336"/>
    </row>
    <row r="337" spans="1:10" x14ac:dyDescent="0.35">
      <c r="A337"/>
      <c r="B337"/>
      <c r="C337"/>
      <c r="D337"/>
      <c r="E337"/>
      <c r="F337"/>
      <c r="G337"/>
      <c r="H337"/>
      <c r="I337"/>
      <c r="J337"/>
    </row>
    <row r="338" spans="1:10" x14ac:dyDescent="0.35">
      <c r="A338"/>
      <c r="B338"/>
      <c r="C338"/>
      <c r="D338"/>
      <c r="E338"/>
      <c r="F338"/>
      <c r="G338"/>
      <c r="H338"/>
      <c r="I338"/>
      <c r="J338"/>
    </row>
    <row r="339" spans="1:10" x14ac:dyDescent="0.35">
      <c r="A339"/>
      <c r="B339"/>
      <c r="C339"/>
      <c r="D339"/>
      <c r="E339"/>
      <c r="F339"/>
      <c r="G339"/>
      <c r="H339"/>
      <c r="I339"/>
      <c r="J339"/>
    </row>
    <row r="340" spans="1:10" x14ac:dyDescent="0.35">
      <c r="A340"/>
      <c r="B340"/>
      <c r="C340"/>
      <c r="D340"/>
      <c r="E340"/>
      <c r="F340"/>
      <c r="G340"/>
      <c r="H340"/>
      <c r="I340"/>
      <c r="J340"/>
    </row>
    <row r="341" spans="1:10" x14ac:dyDescent="0.35">
      <c r="A341"/>
      <c r="B341"/>
      <c r="C341"/>
      <c r="D341"/>
      <c r="E341"/>
      <c r="F341"/>
      <c r="G341"/>
      <c r="H341"/>
      <c r="I341"/>
      <c r="J341"/>
    </row>
    <row r="342" spans="1:10" x14ac:dyDescent="0.35">
      <c r="A342"/>
      <c r="B342"/>
      <c r="C342"/>
      <c r="D342"/>
      <c r="E342"/>
      <c r="F342"/>
      <c r="G342"/>
      <c r="H342"/>
      <c r="I342"/>
      <c r="J342"/>
    </row>
    <row r="343" spans="1:10" x14ac:dyDescent="0.35">
      <c r="A343"/>
      <c r="B343"/>
      <c r="C343"/>
      <c r="D343"/>
      <c r="E343"/>
      <c r="F343"/>
      <c r="G343"/>
      <c r="H343"/>
      <c r="I343"/>
      <c r="J343"/>
    </row>
    <row r="344" spans="1:10" x14ac:dyDescent="0.35">
      <c r="A344"/>
      <c r="B344"/>
      <c r="C344"/>
      <c r="D344"/>
      <c r="E344"/>
      <c r="F344"/>
      <c r="G344"/>
      <c r="H344"/>
      <c r="I344"/>
      <c r="J344"/>
    </row>
    <row r="345" spans="1:10" x14ac:dyDescent="0.35">
      <c r="A345"/>
      <c r="B345"/>
      <c r="C345"/>
      <c r="D345"/>
      <c r="E345"/>
      <c r="F345"/>
      <c r="G345"/>
      <c r="H345"/>
      <c r="I345"/>
      <c r="J345"/>
    </row>
    <row r="346" spans="1:10" x14ac:dyDescent="0.35">
      <c r="A346"/>
      <c r="B346"/>
      <c r="C346"/>
      <c r="D346"/>
      <c r="E346"/>
      <c r="F346"/>
      <c r="G346"/>
      <c r="H346"/>
      <c r="I346"/>
      <c r="J346"/>
    </row>
    <row r="347" spans="1:10" x14ac:dyDescent="0.35">
      <c r="A347"/>
      <c r="B347"/>
      <c r="C347"/>
      <c r="D347"/>
      <c r="E347"/>
      <c r="F347"/>
      <c r="G347"/>
      <c r="H347"/>
      <c r="I347"/>
      <c r="J347"/>
    </row>
    <row r="348" spans="1:10" x14ac:dyDescent="0.35">
      <c r="A348"/>
      <c r="B348"/>
      <c r="C348"/>
      <c r="D348"/>
      <c r="E348"/>
      <c r="F348"/>
      <c r="G348"/>
      <c r="H348"/>
      <c r="I348"/>
      <c r="J348"/>
    </row>
    <row r="349" spans="1:10" x14ac:dyDescent="0.35">
      <c r="A349"/>
      <c r="B349"/>
      <c r="C349"/>
      <c r="D349"/>
      <c r="E349"/>
      <c r="F349"/>
      <c r="G349"/>
      <c r="H349"/>
      <c r="I349"/>
      <c r="J349"/>
    </row>
    <row r="350" spans="1:10" x14ac:dyDescent="0.35">
      <c r="A350"/>
      <c r="B350"/>
      <c r="C350"/>
      <c r="D350"/>
      <c r="E350"/>
      <c r="F350"/>
      <c r="G350"/>
      <c r="H350"/>
      <c r="I350"/>
      <c r="J350"/>
    </row>
    <row r="351" spans="1:10" x14ac:dyDescent="0.35">
      <c r="A351"/>
      <c r="B351"/>
      <c r="C351"/>
      <c r="D351"/>
      <c r="E351"/>
      <c r="F351"/>
      <c r="G351"/>
      <c r="H351"/>
      <c r="I351"/>
      <c r="J351"/>
    </row>
    <row r="352" spans="1:10" x14ac:dyDescent="0.35">
      <c r="A352"/>
      <c r="B352"/>
      <c r="C352"/>
      <c r="D352"/>
      <c r="E352"/>
      <c r="F352"/>
      <c r="G352"/>
      <c r="H352"/>
      <c r="I352"/>
      <c r="J352"/>
    </row>
    <row r="353" spans="1:10" x14ac:dyDescent="0.35">
      <c r="A353"/>
      <c r="B353"/>
      <c r="C353"/>
      <c r="D353"/>
      <c r="E353"/>
      <c r="F353"/>
      <c r="G353"/>
      <c r="H353"/>
      <c r="I353"/>
      <c r="J353"/>
    </row>
    <row r="354" spans="1:10" x14ac:dyDescent="0.35">
      <c r="A354"/>
      <c r="B354"/>
      <c r="C354"/>
      <c r="D354"/>
      <c r="E354"/>
      <c r="F354"/>
      <c r="G354"/>
      <c r="H354"/>
      <c r="I354"/>
      <c r="J354"/>
    </row>
    <row r="355" spans="1:10" x14ac:dyDescent="0.35">
      <c r="A355"/>
      <c r="B355"/>
      <c r="C355"/>
      <c r="D355"/>
      <c r="E355"/>
      <c r="F355"/>
      <c r="G355"/>
      <c r="H355"/>
      <c r="I355"/>
      <c r="J355"/>
    </row>
    <row r="356" spans="1:10" x14ac:dyDescent="0.35">
      <c r="A356"/>
      <c r="B356"/>
      <c r="C356"/>
      <c r="D356"/>
      <c r="E356"/>
      <c r="F356"/>
      <c r="G356"/>
      <c r="H356"/>
      <c r="I356"/>
      <c r="J356"/>
    </row>
    <row r="357" spans="1:10" x14ac:dyDescent="0.35">
      <c r="A357"/>
      <c r="B357"/>
      <c r="C357"/>
      <c r="D357"/>
      <c r="E357"/>
      <c r="F357"/>
      <c r="G357"/>
      <c r="H357"/>
      <c r="I357"/>
      <c r="J357"/>
    </row>
    <row r="358" spans="1:10" x14ac:dyDescent="0.35">
      <c r="A358"/>
      <c r="B358"/>
      <c r="C358"/>
      <c r="D358"/>
      <c r="E358"/>
      <c r="F358"/>
      <c r="G358"/>
      <c r="H358"/>
      <c r="I358"/>
      <c r="J358"/>
    </row>
    <row r="359" spans="1:10" x14ac:dyDescent="0.35">
      <c r="A359"/>
      <c r="B359"/>
      <c r="C359"/>
      <c r="D359"/>
      <c r="E359"/>
      <c r="F359"/>
      <c r="G359"/>
      <c r="H359"/>
      <c r="I359"/>
      <c r="J359"/>
    </row>
    <row r="360" spans="1:10" x14ac:dyDescent="0.35">
      <c r="A360"/>
      <c r="B360"/>
      <c r="C360"/>
      <c r="D360"/>
      <c r="E360"/>
      <c r="F360"/>
      <c r="G360"/>
      <c r="H360"/>
      <c r="I360"/>
      <c r="J360"/>
    </row>
    <row r="361" spans="1:10" x14ac:dyDescent="0.35">
      <c r="A361"/>
      <c r="B361"/>
      <c r="C361"/>
      <c r="D361"/>
      <c r="E361"/>
      <c r="F361"/>
      <c r="G361"/>
      <c r="H361"/>
      <c r="I361"/>
      <c r="J361"/>
    </row>
    <row r="362" spans="1:10" x14ac:dyDescent="0.35">
      <c r="A362"/>
      <c r="B362"/>
      <c r="C362"/>
      <c r="D362"/>
      <c r="E362"/>
      <c r="F362"/>
      <c r="G362"/>
      <c r="H362"/>
      <c r="I362"/>
      <c r="J362"/>
    </row>
    <row r="363" spans="1:10" x14ac:dyDescent="0.35">
      <c r="A363"/>
      <c r="B363"/>
      <c r="C363"/>
      <c r="D363"/>
      <c r="E363"/>
      <c r="F363"/>
      <c r="G363"/>
      <c r="H363"/>
      <c r="I363"/>
      <c r="J363"/>
    </row>
    <row r="364" spans="1:10" x14ac:dyDescent="0.35">
      <c r="A364"/>
      <c r="B364"/>
      <c r="C364"/>
      <c r="D364"/>
      <c r="E364"/>
      <c r="F364"/>
      <c r="G364"/>
      <c r="H364"/>
      <c r="I364"/>
      <c r="J364"/>
    </row>
    <row r="365" spans="1:10" x14ac:dyDescent="0.35">
      <c r="A365"/>
      <c r="B365"/>
      <c r="C365"/>
      <c r="D365"/>
      <c r="E365"/>
      <c r="F365"/>
      <c r="G365"/>
      <c r="H365"/>
      <c r="I365"/>
      <c r="J365"/>
    </row>
    <row r="366" spans="1:10" x14ac:dyDescent="0.35">
      <c r="A366"/>
      <c r="B366"/>
      <c r="C366"/>
      <c r="D366"/>
      <c r="E366"/>
      <c r="F366"/>
      <c r="G366"/>
      <c r="H366"/>
      <c r="I366"/>
      <c r="J366"/>
    </row>
    <row r="367" spans="1:10" x14ac:dyDescent="0.35">
      <c r="A367"/>
      <c r="B367"/>
      <c r="C367"/>
      <c r="D367"/>
      <c r="E367"/>
      <c r="F367"/>
      <c r="G367"/>
      <c r="H367"/>
      <c r="I367"/>
      <c r="J367"/>
    </row>
    <row r="368" spans="1:10" x14ac:dyDescent="0.35">
      <c r="A368"/>
      <c r="B368"/>
      <c r="C368"/>
      <c r="D368"/>
      <c r="E368"/>
      <c r="F368"/>
      <c r="G368"/>
      <c r="H368"/>
      <c r="I368"/>
      <c r="J368"/>
    </row>
    <row r="369" spans="1:10" x14ac:dyDescent="0.35">
      <c r="A369"/>
      <c r="B369"/>
      <c r="C369"/>
      <c r="D369"/>
      <c r="E369"/>
      <c r="F369"/>
      <c r="G369"/>
      <c r="H369"/>
      <c r="I369"/>
      <c r="J369"/>
    </row>
    <row r="370" spans="1:10" x14ac:dyDescent="0.35">
      <c r="A370"/>
      <c r="B370"/>
      <c r="C370"/>
      <c r="D370"/>
      <c r="E370"/>
      <c r="F370"/>
      <c r="G370"/>
      <c r="H370"/>
      <c r="I370"/>
      <c r="J370"/>
    </row>
    <row r="371" spans="1:10" x14ac:dyDescent="0.35">
      <c r="A371"/>
      <c r="B371"/>
      <c r="C371"/>
      <c r="D371"/>
      <c r="E371"/>
      <c r="F371"/>
      <c r="G371"/>
      <c r="H371"/>
      <c r="I371"/>
      <c r="J371"/>
    </row>
    <row r="372" spans="1:10" x14ac:dyDescent="0.35">
      <c r="A372"/>
      <c r="B372"/>
      <c r="C372"/>
      <c r="D372"/>
      <c r="E372"/>
      <c r="F372"/>
      <c r="G372"/>
      <c r="H372"/>
      <c r="I372"/>
      <c r="J372"/>
    </row>
    <row r="373" spans="1:10" x14ac:dyDescent="0.35">
      <c r="A373"/>
      <c r="B373"/>
      <c r="C373"/>
      <c r="D373"/>
      <c r="E373"/>
      <c r="F373"/>
      <c r="G373"/>
      <c r="H373"/>
      <c r="I373"/>
      <c r="J373"/>
    </row>
    <row r="374" spans="1:10" x14ac:dyDescent="0.35">
      <c r="A374"/>
      <c r="B374"/>
      <c r="C374"/>
      <c r="D374"/>
      <c r="E374"/>
      <c r="F374"/>
      <c r="G374"/>
      <c r="H374"/>
      <c r="I374"/>
      <c r="J374"/>
    </row>
    <row r="375" spans="1:10" x14ac:dyDescent="0.35">
      <c r="A375"/>
      <c r="B375"/>
      <c r="C375"/>
      <c r="D375"/>
      <c r="E375"/>
      <c r="F375"/>
      <c r="G375"/>
      <c r="H375"/>
      <c r="I375"/>
      <c r="J375"/>
    </row>
    <row r="376" spans="1:10" x14ac:dyDescent="0.35">
      <c r="A376"/>
      <c r="B376"/>
      <c r="C376"/>
      <c r="D376"/>
      <c r="E376"/>
      <c r="F376"/>
      <c r="G376"/>
      <c r="H376"/>
      <c r="I376"/>
      <c r="J376"/>
    </row>
    <row r="377" spans="1:10" x14ac:dyDescent="0.35">
      <c r="A377"/>
      <c r="B377"/>
      <c r="C377"/>
      <c r="D377"/>
      <c r="E377"/>
      <c r="F377"/>
      <c r="G377"/>
      <c r="H377"/>
      <c r="I377"/>
      <c r="J377"/>
    </row>
    <row r="378" spans="1:10" x14ac:dyDescent="0.35">
      <c r="A378"/>
      <c r="B378"/>
      <c r="C378"/>
      <c r="D378"/>
      <c r="E378"/>
      <c r="F378"/>
      <c r="G378"/>
      <c r="H378"/>
      <c r="I378"/>
      <c r="J378"/>
    </row>
    <row r="379" spans="1:10" x14ac:dyDescent="0.35">
      <c r="A379"/>
      <c r="B379"/>
      <c r="C379"/>
      <c r="D379"/>
      <c r="E379"/>
      <c r="F379"/>
      <c r="G379"/>
      <c r="H379"/>
      <c r="I379"/>
      <c r="J379"/>
    </row>
    <row r="380" spans="1:10" x14ac:dyDescent="0.35">
      <c r="A380"/>
      <c r="B380"/>
      <c r="C380"/>
      <c r="D380"/>
      <c r="E380"/>
      <c r="F380"/>
      <c r="G380"/>
      <c r="H380"/>
      <c r="I380"/>
      <c r="J380"/>
    </row>
    <row r="381" spans="1:10" x14ac:dyDescent="0.35">
      <c r="A381"/>
      <c r="B381"/>
      <c r="C381"/>
      <c r="D381"/>
      <c r="E381"/>
      <c r="F381"/>
      <c r="G381"/>
      <c r="H381"/>
      <c r="I381"/>
      <c r="J381"/>
    </row>
    <row r="382" spans="1:10" x14ac:dyDescent="0.35">
      <c r="A382"/>
      <c r="B382"/>
      <c r="C382"/>
      <c r="D382"/>
      <c r="E382"/>
      <c r="F382"/>
      <c r="G382"/>
      <c r="H382"/>
      <c r="I382"/>
      <c r="J382"/>
    </row>
    <row r="383" spans="1:10" x14ac:dyDescent="0.35">
      <c r="A383"/>
      <c r="B383"/>
      <c r="C383"/>
      <c r="D383"/>
      <c r="E383"/>
      <c r="F383"/>
      <c r="G383"/>
      <c r="H383"/>
      <c r="I383"/>
      <c r="J383"/>
    </row>
    <row r="384" spans="1:10" x14ac:dyDescent="0.35">
      <c r="A384"/>
      <c r="B384"/>
      <c r="C384"/>
      <c r="D384"/>
      <c r="E384"/>
      <c r="F384"/>
      <c r="G384"/>
      <c r="H384"/>
      <c r="I384"/>
      <c r="J384"/>
    </row>
    <row r="385" spans="1:10" x14ac:dyDescent="0.35">
      <c r="A385"/>
      <c r="B385"/>
      <c r="C385"/>
      <c r="D385"/>
      <c r="E385"/>
      <c r="F385"/>
      <c r="G385"/>
      <c r="H385"/>
      <c r="I385"/>
      <c r="J385"/>
    </row>
    <row r="386" spans="1:10" x14ac:dyDescent="0.35">
      <c r="A386"/>
      <c r="B386"/>
      <c r="C386"/>
      <c r="D386"/>
      <c r="E386"/>
      <c r="F386"/>
      <c r="G386"/>
      <c r="H386"/>
      <c r="I386"/>
      <c r="J386"/>
    </row>
    <row r="387" spans="1:10" x14ac:dyDescent="0.35">
      <c r="A387"/>
      <c r="B387"/>
      <c r="C387"/>
      <c r="D387"/>
      <c r="E387"/>
      <c r="F387"/>
      <c r="G387"/>
      <c r="H387"/>
      <c r="I387"/>
      <c r="J387"/>
    </row>
    <row r="388" spans="1:10" x14ac:dyDescent="0.35">
      <c r="A388"/>
      <c r="B388"/>
      <c r="C388"/>
      <c r="D388"/>
      <c r="E388"/>
      <c r="F388"/>
      <c r="G388"/>
      <c r="H388"/>
      <c r="I388"/>
      <c r="J388"/>
    </row>
    <row r="389" spans="1:10" x14ac:dyDescent="0.35">
      <c r="A389"/>
      <c r="B389"/>
      <c r="C389"/>
      <c r="D389"/>
      <c r="E389"/>
      <c r="F389"/>
      <c r="G389"/>
      <c r="H389"/>
      <c r="I389"/>
      <c r="J389"/>
    </row>
    <row r="390" spans="1:10" x14ac:dyDescent="0.35">
      <c r="A390"/>
      <c r="B390"/>
      <c r="C390"/>
      <c r="D390"/>
      <c r="E390"/>
      <c r="F390"/>
      <c r="G390"/>
      <c r="H390"/>
      <c r="I390"/>
      <c r="J390"/>
    </row>
    <row r="391" spans="1:10" x14ac:dyDescent="0.35">
      <c r="A391"/>
      <c r="B391"/>
      <c r="C391"/>
      <c r="D391"/>
      <c r="E391"/>
      <c r="F391"/>
      <c r="G391"/>
      <c r="H391"/>
      <c r="I391"/>
      <c r="J391"/>
    </row>
    <row r="392" spans="1:10" x14ac:dyDescent="0.35">
      <c r="A392"/>
      <c r="B392"/>
      <c r="C392"/>
      <c r="D392"/>
      <c r="E392"/>
      <c r="F392"/>
      <c r="G392"/>
      <c r="H392"/>
      <c r="I392"/>
      <c r="J392"/>
    </row>
    <row r="393" spans="1:10" x14ac:dyDescent="0.35">
      <c r="A393"/>
      <c r="B393"/>
      <c r="C393"/>
      <c r="D393"/>
      <c r="E393"/>
      <c r="F393"/>
      <c r="G393"/>
      <c r="H393"/>
      <c r="I393"/>
      <c r="J393"/>
    </row>
    <row r="394" spans="1:10" x14ac:dyDescent="0.35">
      <c r="A394"/>
      <c r="B394"/>
      <c r="C394"/>
      <c r="D394"/>
      <c r="E394"/>
      <c r="F394"/>
      <c r="G394"/>
      <c r="H394"/>
      <c r="I394"/>
      <c r="J394"/>
    </row>
    <row r="395" spans="1:10" x14ac:dyDescent="0.35">
      <c r="A395"/>
      <c r="B395"/>
      <c r="C395"/>
      <c r="D395"/>
      <c r="E395"/>
      <c r="F395"/>
      <c r="G395"/>
      <c r="H395"/>
      <c r="I395"/>
      <c r="J395"/>
    </row>
    <row r="396" spans="1:10" x14ac:dyDescent="0.35">
      <c r="A396"/>
      <c r="B396"/>
      <c r="C396"/>
      <c r="D396"/>
      <c r="E396"/>
      <c r="F396"/>
      <c r="G396"/>
      <c r="H396"/>
      <c r="I396"/>
      <c r="J396"/>
    </row>
    <row r="397" spans="1:10" x14ac:dyDescent="0.35">
      <c r="A397"/>
      <c r="B397"/>
      <c r="C397"/>
      <c r="D397"/>
      <c r="E397"/>
      <c r="F397"/>
      <c r="G397"/>
      <c r="H397"/>
      <c r="I397"/>
      <c r="J397"/>
    </row>
    <row r="398" spans="1:10" x14ac:dyDescent="0.35">
      <c r="A398"/>
      <c r="B398"/>
      <c r="C398"/>
      <c r="D398"/>
      <c r="E398"/>
      <c r="F398"/>
      <c r="G398"/>
      <c r="H398"/>
      <c r="I398"/>
      <c r="J398"/>
    </row>
    <row r="399" spans="1:10" x14ac:dyDescent="0.35">
      <c r="A399"/>
      <c r="B399"/>
      <c r="C399"/>
      <c r="D399"/>
      <c r="E399"/>
      <c r="F399"/>
      <c r="G399"/>
      <c r="H399"/>
      <c r="I399"/>
      <c r="J399"/>
    </row>
    <row r="400" spans="1:10" x14ac:dyDescent="0.35">
      <c r="A400"/>
      <c r="B400"/>
      <c r="C400"/>
      <c r="D400"/>
      <c r="E400"/>
      <c r="F400"/>
      <c r="G400"/>
      <c r="H400"/>
      <c r="I400"/>
      <c r="J400"/>
    </row>
    <row r="401" spans="1:10" x14ac:dyDescent="0.35">
      <c r="A401"/>
      <c r="B401"/>
      <c r="C401"/>
      <c r="D401"/>
      <c r="E401"/>
      <c r="F401"/>
      <c r="G401"/>
      <c r="H401"/>
      <c r="I401"/>
      <c r="J401"/>
    </row>
    <row r="402" spans="1:10" x14ac:dyDescent="0.35">
      <c r="A402"/>
      <c r="B402"/>
      <c r="C402"/>
      <c r="D402"/>
      <c r="E402"/>
      <c r="F402"/>
      <c r="G402"/>
      <c r="H402"/>
      <c r="I402"/>
      <c r="J402"/>
    </row>
    <row r="403" spans="1:10" x14ac:dyDescent="0.35">
      <c r="A403"/>
      <c r="B403"/>
      <c r="C403"/>
      <c r="D403"/>
      <c r="E403"/>
      <c r="F403"/>
      <c r="G403"/>
      <c r="H403"/>
      <c r="I403"/>
      <c r="J403"/>
    </row>
    <row r="404" spans="1:10" x14ac:dyDescent="0.35">
      <c r="A404"/>
      <c r="B404"/>
      <c r="C404"/>
      <c r="D404"/>
      <c r="E404"/>
      <c r="F404"/>
      <c r="G404"/>
      <c r="H404"/>
      <c r="I404"/>
      <c r="J404"/>
    </row>
    <row r="405" spans="1:10" x14ac:dyDescent="0.35">
      <c r="A405"/>
      <c r="B405"/>
      <c r="C405"/>
      <c r="D405"/>
      <c r="E405"/>
      <c r="F405"/>
      <c r="G405"/>
      <c r="H405"/>
      <c r="I405"/>
      <c r="J405"/>
    </row>
    <row r="406" spans="1:10" x14ac:dyDescent="0.35">
      <c r="A406"/>
      <c r="B406"/>
      <c r="C406"/>
      <c r="D406"/>
      <c r="E406"/>
      <c r="F406"/>
      <c r="G406"/>
      <c r="H406"/>
      <c r="I406"/>
      <c r="J406"/>
    </row>
    <row r="407" spans="1:10" x14ac:dyDescent="0.35">
      <c r="A407"/>
      <c r="B407"/>
      <c r="C407"/>
      <c r="D407"/>
      <c r="E407"/>
      <c r="F407"/>
      <c r="G407"/>
      <c r="H407"/>
      <c r="I407"/>
      <c r="J407"/>
    </row>
    <row r="408" spans="1:10" x14ac:dyDescent="0.35">
      <c r="A408"/>
      <c r="B408"/>
      <c r="C408"/>
      <c r="D408"/>
      <c r="E408"/>
      <c r="F408"/>
      <c r="G408"/>
      <c r="H408"/>
      <c r="I408"/>
      <c r="J408"/>
    </row>
    <row r="409" spans="1:10" x14ac:dyDescent="0.35">
      <c r="A409"/>
      <c r="B409"/>
      <c r="C409"/>
      <c r="D409"/>
      <c r="E409"/>
      <c r="F409"/>
      <c r="G409"/>
      <c r="H409"/>
      <c r="I409"/>
      <c r="J409"/>
    </row>
    <row r="410" spans="1:10" x14ac:dyDescent="0.35">
      <c r="A410"/>
      <c r="B410"/>
      <c r="C410"/>
      <c r="D410"/>
      <c r="E410"/>
      <c r="F410"/>
      <c r="G410"/>
      <c r="H410"/>
      <c r="I410"/>
      <c r="J410"/>
    </row>
    <row r="411" spans="1:10" x14ac:dyDescent="0.35">
      <c r="A411"/>
      <c r="B411"/>
      <c r="C411"/>
      <c r="D411"/>
      <c r="E411"/>
      <c r="F411"/>
      <c r="G411"/>
      <c r="H411"/>
      <c r="I411"/>
      <c r="J411"/>
    </row>
    <row r="412" spans="1:10" x14ac:dyDescent="0.35">
      <c r="A412"/>
      <c r="B412"/>
      <c r="C412"/>
      <c r="D412"/>
      <c r="E412"/>
      <c r="F412"/>
      <c r="G412"/>
      <c r="H412"/>
      <c r="I412"/>
      <c r="J412"/>
    </row>
    <row r="413" spans="1:10" x14ac:dyDescent="0.35">
      <c r="A413"/>
      <c r="B413"/>
      <c r="C413"/>
      <c r="D413"/>
      <c r="E413"/>
      <c r="F413"/>
      <c r="G413"/>
      <c r="H413"/>
      <c r="I413"/>
      <c r="J413"/>
    </row>
    <row r="414" spans="1:10" x14ac:dyDescent="0.35">
      <c r="A414"/>
      <c r="B414"/>
      <c r="C414"/>
      <c r="D414"/>
      <c r="E414"/>
      <c r="F414"/>
      <c r="G414"/>
      <c r="H414"/>
      <c r="I414"/>
      <c r="J414"/>
    </row>
    <row r="415" spans="1:10" x14ac:dyDescent="0.35">
      <c r="A415"/>
      <c r="B415"/>
      <c r="C415"/>
      <c r="D415"/>
      <c r="E415"/>
      <c r="F415"/>
      <c r="G415"/>
      <c r="H415"/>
      <c r="I415"/>
      <c r="J415"/>
    </row>
    <row r="416" spans="1:10" x14ac:dyDescent="0.35">
      <c r="A416"/>
      <c r="B416"/>
      <c r="C416"/>
      <c r="D416"/>
      <c r="E416"/>
      <c r="F416"/>
      <c r="G416"/>
      <c r="H416"/>
      <c r="I416"/>
      <c r="J416"/>
    </row>
    <row r="417" spans="1:10" x14ac:dyDescent="0.35">
      <c r="A417"/>
      <c r="B417"/>
      <c r="C417"/>
      <c r="D417"/>
      <c r="E417"/>
      <c r="F417"/>
      <c r="G417"/>
      <c r="H417"/>
      <c r="I417"/>
      <c r="J417"/>
    </row>
    <row r="418" spans="1:10" x14ac:dyDescent="0.35">
      <c r="A418"/>
      <c r="B418"/>
      <c r="C418"/>
      <c r="D418"/>
      <c r="E418"/>
      <c r="F418"/>
      <c r="G418"/>
      <c r="H418"/>
      <c r="I418"/>
      <c r="J418"/>
    </row>
    <row r="419" spans="1:10" x14ac:dyDescent="0.35">
      <c r="A419"/>
      <c r="B419"/>
      <c r="C419"/>
      <c r="D419"/>
      <c r="E419"/>
      <c r="F419"/>
      <c r="G419"/>
      <c r="H419"/>
      <c r="I419"/>
      <c r="J419"/>
    </row>
    <row r="420" spans="1:10" x14ac:dyDescent="0.35">
      <c r="A420"/>
      <c r="B420"/>
      <c r="C420"/>
      <c r="D420"/>
      <c r="E420"/>
      <c r="F420"/>
      <c r="G420"/>
      <c r="H420"/>
      <c r="I420"/>
      <c r="J420"/>
    </row>
    <row r="421" spans="1:10" x14ac:dyDescent="0.35">
      <c r="A421"/>
      <c r="B421"/>
      <c r="C421"/>
      <c r="D421"/>
      <c r="E421"/>
      <c r="F421"/>
      <c r="G421"/>
      <c r="H421"/>
      <c r="I421"/>
      <c r="J421"/>
    </row>
    <row r="422" spans="1:10" x14ac:dyDescent="0.35">
      <c r="A422"/>
      <c r="B422"/>
      <c r="C422"/>
      <c r="D422"/>
      <c r="E422"/>
      <c r="F422"/>
      <c r="G422"/>
      <c r="H422"/>
      <c r="I422"/>
      <c r="J422"/>
    </row>
    <row r="423" spans="1:10" x14ac:dyDescent="0.35">
      <c r="A423"/>
      <c r="B423"/>
      <c r="C423"/>
      <c r="D423"/>
      <c r="E423"/>
      <c r="F423"/>
      <c r="G423"/>
      <c r="H423"/>
      <c r="I423"/>
      <c r="J423"/>
    </row>
    <row r="424" spans="1:10" x14ac:dyDescent="0.35">
      <c r="A424"/>
      <c r="B424"/>
      <c r="C424"/>
      <c r="D424"/>
      <c r="E424"/>
      <c r="F424"/>
      <c r="G424"/>
      <c r="H424"/>
      <c r="I424"/>
      <c r="J424"/>
    </row>
    <row r="425" spans="1:10" x14ac:dyDescent="0.35">
      <c r="A425"/>
      <c r="B425"/>
      <c r="C425"/>
      <c r="D425"/>
      <c r="E425"/>
      <c r="F425"/>
      <c r="G425"/>
      <c r="H425"/>
      <c r="I425"/>
      <c r="J425"/>
    </row>
    <row r="426" spans="1:10" x14ac:dyDescent="0.35">
      <c r="A426"/>
      <c r="B426"/>
      <c r="C426"/>
      <c r="D426"/>
      <c r="E426"/>
      <c r="F426"/>
      <c r="G426"/>
      <c r="H426"/>
      <c r="I426"/>
      <c r="J426"/>
    </row>
    <row r="427" spans="1:10" x14ac:dyDescent="0.35">
      <c r="A427"/>
      <c r="B427"/>
      <c r="C427"/>
      <c r="D427"/>
      <c r="E427"/>
      <c r="F427"/>
      <c r="G427"/>
      <c r="H427"/>
      <c r="I427"/>
      <c r="J427"/>
    </row>
    <row r="428" spans="1:10" x14ac:dyDescent="0.35">
      <c r="A428"/>
      <c r="B428"/>
      <c r="C428"/>
      <c r="D428"/>
      <c r="E428"/>
      <c r="F428"/>
      <c r="G428"/>
      <c r="H428"/>
      <c r="I428"/>
      <c r="J428"/>
    </row>
    <row r="429" spans="1:10" x14ac:dyDescent="0.35">
      <c r="A429"/>
      <c r="B429"/>
      <c r="C429"/>
      <c r="D429"/>
      <c r="E429"/>
      <c r="F429"/>
      <c r="G429"/>
      <c r="H429"/>
      <c r="I429"/>
      <c r="J429"/>
    </row>
    <row r="430" spans="1:10" x14ac:dyDescent="0.35">
      <c r="A430"/>
      <c r="B430"/>
      <c r="C430"/>
      <c r="D430"/>
      <c r="E430"/>
      <c r="F430"/>
      <c r="G430"/>
      <c r="H430"/>
      <c r="I430"/>
      <c r="J430"/>
    </row>
    <row r="431" spans="1:10" x14ac:dyDescent="0.35">
      <c r="A431"/>
      <c r="B431"/>
      <c r="C431"/>
      <c r="D431"/>
      <c r="E431"/>
      <c r="F431"/>
      <c r="G431"/>
      <c r="H431"/>
      <c r="I431"/>
      <c r="J431"/>
    </row>
    <row r="432" spans="1:10" x14ac:dyDescent="0.35">
      <c r="A432"/>
      <c r="B432"/>
      <c r="C432"/>
      <c r="D432"/>
      <c r="E432"/>
      <c r="F432"/>
      <c r="G432"/>
      <c r="H432"/>
      <c r="I432"/>
      <c r="J432"/>
    </row>
    <row r="433" spans="1:10" x14ac:dyDescent="0.35">
      <c r="A433"/>
      <c r="B433"/>
      <c r="C433"/>
      <c r="D433"/>
      <c r="E433"/>
      <c r="F433"/>
      <c r="G433"/>
      <c r="H433"/>
      <c r="I433"/>
      <c r="J433"/>
    </row>
    <row r="434" spans="1:10" x14ac:dyDescent="0.35">
      <c r="A434"/>
      <c r="B434"/>
      <c r="C434"/>
      <c r="D434"/>
      <c r="E434"/>
      <c r="F434"/>
      <c r="G434"/>
      <c r="H434"/>
      <c r="I434"/>
      <c r="J434"/>
    </row>
    <row r="435" spans="1:10" x14ac:dyDescent="0.35">
      <c r="A435"/>
      <c r="B435"/>
      <c r="C435"/>
      <c r="D435"/>
      <c r="E435"/>
      <c r="F435"/>
      <c r="G435"/>
      <c r="H435"/>
      <c r="I435"/>
      <c r="J435"/>
    </row>
    <row r="436" spans="1:10" x14ac:dyDescent="0.35">
      <c r="A436"/>
      <c r="B436"/>
      <c r="C436"/>
      <c r="D436"/>
      <c r="E436"/>
      <c r="F436"/>
      <c r="G436"/>
      <c r="H436"/>
      <c r="I436"/>
      <c r="J436"/>
    </row>
    <row r="437" spans="1:10" x14ac:dyDescent="0.35">
      <c r="A437"/>
      <c r="B437"/>
      <c r="C437"/>
      <c r="D437"/>
      <c r="E437"/>
      <c r="F437"/>
      <c r="G437"/>
      <c r="H437"/>
      <c r="I437"/>
      <c r="J437"/>
    </row>
    <row r="438" spans="1:10" x14ac:dyDescent="0.35">
      <c r="A438"/>
      <c r="B438"/>
      <c r="C438"/>
      <c r="D438"/>
      <c r="E438"/>
      <c r="F438"/>
      <c r="G438"/>
      <c r="H438"/>
      <c r="I438"/>
      <c r="J438"/>
    </row>
    <row r="439" spans="1:10" x14ac:dyDescent="0.35">
      <c r="A439"/>
      <c r="B439"/>
      <c r="C439"/>
      <c r="D439"/>
      <c r="E439"/>
      <c r="F439"/>
      <c r="G439"/>
      <c r="H439"/>
      <c r="I439"/>
      <c r="J439"/>
    </row>
    <row r="440" spans="1:10" x14ac:dyDescent="0.35">
      <c r="A440"/>
      <c r="B440"/>
      <c r="C440"/>
      <c r="D440"/>
      <c r="E440"/>
      <c r="F440"/>
      <c r="G440"/>
      <c r="H440"/>
      <c r="I440"/>
      <c r="J440"/>
    </row>
    <row r="441" spans="1:10" x14ac:dyDescent="0.35">
      <c r="A441"/>
      <c r="B441"/>
      <c r="C441"/>
      <c r="D441"/>
      <c r="E441"/>
      <c r="F441"/>
      <c r="G441"/>
      <c r="H441"/>
      <c r="I441"/>
      <c r="J441"/>
    </row>
    <row r="442" spans="1:10" x14ac:dyDescent="0.35">
      <c r="A442"/>
      <c r="B442"/>
      <c r="C442"/>
      <c r="D442"/>
      <c r="E442"/>
      <c r="F442"/>
      <c r="G442"/>
      <c r="H442"/>
      <c r="I442"/>
      <c r="J442"/>
    </row>
    <row r="443" spans="1:10" x14ac:dyDescent="0.35">
      <c r="A443"/>
      <c r="B443"/>
      <c r="C443"/>
      <c r="D443"/>
      <c r="E443"/>
      <c r="F443"/>
      <c r="G443"/>
      <c r="H443"/>
      <c r="I443"/>
      <c r="J443"/>
    </row>
    <row r="444" spans="1:10" x14ac:dyDescent="0.35">
      <c r="A444"/>
      <c r="B444"/>
      <c r="C444"/>
      <c r="D444"/>
      <c r="E444"/>
      <c r="F444"/>
      <c r="G444"/>
      <c r="H444"/>
      <c r="I444"/>
      <c r="J444"/>
    </row>
    <row r="445" spans="1:10" x14ac:dyDescent="0.35">
      <c r="A445"/>
      <c r="B445"/>
      <c r="C445"/>
      <c r="D445"/>
      <c r="E445"/>
      <c r="F445"/>
      <c r="G445"/>
      <c r="H445"/>
      <c r="I445"/>
      <c r="J445"/>
    </row>
    <row r="446" spans="1:10" x14ac:dyDescent="0.35">
      <c r="A446"/>
      <c r="B446"/>
      <c r="C446"/>
      <c r="D446"/>
      <c r="E446"/>
      <c r="F446"/>
      <c r="G446"/>
      <c r="H446"/>
      <c r="I446"/>
      <c r="J446"/>
    </row>
    <row r="447" spans="1:10" x14ac:dyDescent="0.35">
      <c r="A447"/>
      <c r="B447"/>
      <c r="C447"/>
      <c r="D447"/>
      <c r="E447"/>
      <c r="F447"/>
      <c r="G447"/>
      <c r="H447"/>
      <c r="I447"/>
      <c r="J447"/>
    </row>
    <row r="448" spans="1:10" x14ac:dyDescent="0.35">
      <c r="A448"/>
      <c r="B448"/>
      <c r="C448"/>
      <c r="D448"/>
      <c r="E448"/>
      <c r="F448"/>
      <c r="G448"/>
      <c r="H448"/>
      <c r="I448"/>
      <c r="J448"/>
    </row>
    <row r="449" spans="1:10" x14ac:dyDescent="0.35">
      <c r="A449"/>
      <c r="B449"/>
      <c r="C449"/>
      <c r="D449"/>
      <c r="E449"/>
      <c r="F449"/>
      <c r="G449"/>
      <c r="H449"/>
      <c r="I449"/>
      <c r="J449"/>
    </row>
    <row r="450" spans="1:10" x14ac:dyDescent="0.35">
      <c r="A450"/>
      <c r="B450"/>
      <c r="C450"/>
      <c r="D450"/>
      <c r="E450"/>
      <c r="F450"/>
      <c r="G450"/>
      <c r="H450"/>
      <c r="I450"/>
      <c r="J450"/>
    </row>
    <row r="451" spans="1:10" x14ac:dyDescent="0.35">
      <c r="A451"/>
      <c r="B451"/>
      <c r="C451"/>
      <c r="D451"/>
      <c r="E451"/>
      <c r="F451"/>
      <c r="G451"/>
      <c r="H451"/>
      <c r="I451"/>
      <c r="J451"/>
    </row>
    <row r="452" spans="1:10" x14ac:dyDescent="0.35">
      <c r="A452"/>
      <c r="B452"/>
      <c r="C452"/>
      <c r="D452"/>
      <c r="E452"/>
      <c r="F452"/>
      <c r="G452"/>
      <c r="H452"/>
      <c r="I452"/>
      <c r="J452"/>
    </row>
    <row r="453" spans="1:10" x14ac:dyDescent="0.35">
      <c r="A453"/>
      <c r="B453"/>
      <c r="C453"/>
      <c r="D453"/>
      <c r="E453"/>
      <c r="F453"/>
      <c r="G453"/>
      <c r="H453"/>
      <c r="I453"/>
      <c r="J453"/>
    </row>
    <row r="454" spans="1:10" x14ac:dyDescent="0.35">
      <c r="A454"/>
      <c r="B454"/>
      <c r="C454"/>
      <c r="D454"/>
      <c r="E454"/>
      <c r="F454"/>
      <c r="G454"/>
      <c r="H454"/>
      <c r="I454"/>
      <c r="J454"/>
    </row>
    <row r="455" spans="1:10" x14ac:dyDescent="0.35">
      <c r="A455"/>
      <c r="B455"/>
      <c r="C455"/>
      <c r="D455"/>
      <c r="E455"/>
      <c r="F455"/>
      <c r="G455"/>
      <c r="H455"/>
      <c r="I455"/>
      <c r="J455"/>
    </row>
    <row r="456" spans="1:10" x14ac:dyDescent="0.35">
      <c r="A456"/>
      <c r="B456"/>
      <c r="C456"/>
      <c r="D456"/>
      <c r="E456"/>
      <c r="F456"/>
      <c r="G456"/>
      <c r="H456"/>
      <c r="I456"/>
      <c r="J456"/>
    </row>
    <row r="457" spans="1:10" x14ac:dyDescent="0.35">
      <c r="A457"/>
      <c r="B457"/>
      <c r="C457"/>
      <c r="D457"/>
      <c r="E457"/>
      <c r="F457"/>
      <c r="G457"/>
      <c r="H457"/>
      <c r="I457"/>
      <c r="J457"/>
    </row>
    <row r="458" spans="1:10" x14ac:dyDescent="0.35">
      <c r="A458"/>
      <c r="B458"/>
      <c r="C458"/>
      <c r="D458"/>
      <c r="E458"/>
      <c r="F458"/>
      <c r="G458"/>
      <c r="H458"/>
      <c r="I458"/>
      <c r="J458"/>
    </row>
    <row r="459" spans="1:10" x14ac:dyDescent="0.35">
      <c r="A459"/>
      <c r="B459"/>
      <c r="C459"/>
      <c r="D459"/>
      <c r="E459"/>
      <c r="F459"/>
      <c r="G459"/>
      <c r="H459"/>
      <c r="I459"/>
      <c r="J459"/>
    </row>
    <row r="460" spans="1:10" x14ac:dyDescent="0.35">
      <c r="A460"/>
      <c r="B460"/>
      <c r="C460"/>
      <c r="D460"/>
      <c r="E460"/>
      <c r="F460"/>
      <c r="G460"/>
      <c r="H460"/>
      <c r="I460"/>
      <c r="J460"/>
    </row>
    <row r="461" spans="1:10" x14ac:dyDescent="0.35">
      <c r="A461"/>
      <c r="B461"/>
      <c r="C461"/>
      <c r="D461"/>
      <c r="E461"/>
      <c r="F461"/>
      <c r="G461"/>
      <c r="H461"/>
      <c r="I461"/>
      <c r="J461"/>
    </row>
    <row r="462" spans="1:10" x14ac:dyDescent="0.35">
      <c r="A462"/>
      <c r="B462"/>
      <c r="C462"/>
      <c r="D462"/>
      <c r="E462"/>
      <c r="F462"/>
      <c r="G462"/>
      <c r="H462"/>
      <c r="I462"/>
      <c r="J462"/>
    </row>
    <row r="463" spans="1:10" x14ac:dyDescent="0.35">
      <c r="A463"/>
      <c r="B463"/>
      <c r="C463"/>
      <c r="D463"/>
      <c r="E463"/>
      <c r="F463"/>
      <c r="G463"/>
      <c r="H463"/>
      <c r="I463"/>
      <c r="J463"/>
    </row>
    <row r="464" spans="1:10" x14ac:dyDescent="0.35">
      <c r="A464"/>
      <c r="B464"/>
      <c r="C464"/>
      <c r="D464"/>
      <c r="E464"/>
      <c r="F464"/>
      <c r="G464"/>
      <c r="H464"/>
      <c r="I464"/>
      <c r="J464"/>
    </row>
    <row r="465" spans="1:10" x14ac:dyDescent="0.35">
      <c r="A465"/>
      <c r="B465"/>
      <c r="C465"/>
      <c r="D465"/>
      <c r="E465"/>
      <c r="F465"/>
      <c r="G465"/>
      <c r="H465"/>
      <c r="I465"/>
      <c r="J465"/>
    </row>
    <row r="466" spans="1:10" x14ac:dyDescent="0.35">
      <c r="A466"/>
      <c r="B466"/>
      <c r="C466"/>
      <c r="D466"/>
      <c r="E466"/>
      <c r="F466"/>
      <c r="G466"/>
      <c r="H466"/>
      <c r="I466"/>
      <c r="J466"/>
    </row>
    <row r="467" spans="1:10" x14ac:dyDescent="0.35">
      <c r="A467"/>
      <c r="B467"/>
      <c r="C467"/>
      <c r="D467"/>
      <c r="E467"/>
      <c r="F467"/>
      <c r="G467"/>
      <c r="H467"/>
      <c r="I467"/>
      <c r="J467"/>
    </row>
    <row r="468" spans="1:10" x14ac:dyDescent="0.35">
      <c r="A468"/>
      <c r="B468"/>
      <c r="C468"/>
      <c r="D468"/>
      <c r="E468"/>
      <c r="F468"/>
      <c r="G468"/>
      <c r="H468"/>
      <c r="I468"/>
      <c r="J468"/>
    </row>
    <row r="469" spans="1:10" x14ac:dyDescent="0.35">
      <c r="A469"/>
      <c r="B469"/>
      <c r="C469"/>
      <c r="D469"/>
      <c r="E469"/>
      <c r="F469"/>
      <c r="G469"/>
      <c r="H469"/>
      <c r="I469"/>
      <c r="J469"/>
    </row>
    <row r="470" spans="1:10" x14ac:dyDescent="0.35">
      <c r="A470"/>
      <c r="B470"/>
      <c r="C470"/>
      <c r="D470"/>
      <c r="E470"/>
      <c r="F470"/>
      <c r="G470"/>
      <c r="H470"/>
      <c r="I470"/>
      <c r="J470"/>
    </row>
    <row r="471" spans="1:10" x14ac:dyDescent="0.35">
      <c r="A471"/>
      <c r="B471"/>
      <c r="C471"/>
      <c r="D471"/>
      <c r="E471"/>
      <c r="F471"/>
      <c r="G471"/>
      <c r="H471"/>
      <c r="I471"/>
      <c r="J471"/>
    </row>
    <row r="472" spans="1:10" x14ac:dyDescent="0.35">
      <c r="A472"/>
      <c r="B472"/>
      <c r="C472"/>
      <c r="D472"/>
      <c r="E472"/>
      <c r="F472"/>
      <c r="G472"/>
      <c r="H472"/>
      <c r="I472"/>
      <c r="J472"/>
    </row>
    <row r="473" spans="1:10" x14ac:dyDescent="0.35">
      <c r="A473"/>
      <c r="B473"/>
      <c r="C473"/>
      <c r="D473"/>
      <c r="E473"/>
      <c r="F473"/>
      <c r="G473"/>
      <c r="H473"/>
      <c r="I473"/>
      <c r="J473"/>
    </row>
    <row r="474" spans="1:10" x14ac:dyDescent="0.35">
      <c r="A474"/>
      <c r="B474"/>
      <c r="C474"/>
      <c r="D474"/>
      <c r="E474"/>
      <c r="F474"/>
      <c r="G474"/>
      <c r="H474"/>
      <c r="I474"/>
      <c r="J474"/>
    </row>
    <row r="475" spans="1:10" x14ac:dyDescent="0.35">
      <c r="A475"/>
      <c r="B475"/>
      <c r="C475"/>
      <c r="D475"/>
      <c r="E475"/>
      <c r="F475"/>
      <c r="G475"/>
      <c r="H475"/>
      <c r="I475"/>
      <c r="J475"/>
    </row>
    <row r="476" spans="1:10" x14ac:dyDescent="0.35">
      <c r="A476"/>
      <c r="B476"/>
      <c r="C476"/>
      <c r="D476"/>
      <c r="E476"/>
      <c r="F476"/>
      <c r="G476"/>
      <c r="H476"/>
      <c r="I476"/>
      <c r="J476"/>
    </row>
    <row r="477" spans="1:10" x14ac:dyDescent="0.35">
      <c r="A477"/>
      <c r="B477"/>
      <c r="C477"/>
      <c r="D477"/>
      <c r="E477"/>
      <c r="F477"/>
      <c r="G477"/>
      <c r="H477"/>
      <c r="I477"/>
      <c r="J477"/>
    </row>
    <row r="478" spans="1:10" x14ac:dyDescent="0.35">
      <c r="A478"/>
      <c r="B478"/>
      <c r="C478"/>
      <c r="D478"/>
      <c r="E478"/>
      <c r="F478"/>
      <c r="G478"/>
      <c r="H478"/>
      <c r="I478"/>
      <c r="J478"/>
    </row>
    <row r="479" spans="1:10" x14ac:dyDescent="0.35">
      <c r="A479"/>
      <c r="B479"/>
      <c r="C479"/>
      <c r="D479"/>
      <c r="E479"/>
      <c r="F479"/>
      <c r="G479"/>
      <c r="H479"/>
      <c r="I479"/>
      <c r="J479"/>
    </row>
    <row r="480" spans="1:10" x14ac:dyDescent="0.35">
      <c r="A480"/>
      <c r="B480"/>
      <c r="C480"/>
      <c r="D480"/>
      <c r="E480"/>
      <c r="F480"/>
      <c r="G480"/>
      <c r="H480"/>
      <c r="I480"/>
      <c r="J480"/>
    </row>
    <row r="481" spans="1:10" x14ac:dyDescent="0.35">
      <c r="A481"/>
      <c r="B481"/>
      <c r="C481"/>
      <c r="D481"/>
      <c r="E481"/>
      <c r="F481"/>
      <c r="G481"/>
      <c r="H481"/>
      <c r="I481"/>
      <c r="J481"/>
    </row>
    <row r="482" spans="1:10" x14ac:dyDescent="0.35">
      <c r="A482"/>
      <c r="B482"/>
      <c r="C482"/>
      <c r="D482"/>
      <c r="E482"/>
      <c r="F482"/>
      <c r="G482"/>
      <c r="H482"/>
      <c r="I482"/>
      <c r="J482"/>
    </row>
    <row r="483" spans="1:10" x14ac:dyDescent="0.35">
      <c r="A483"/>
      <c r="B483"/>
      <c r="C483"/>
      <c r="D483"/>
      <c r="E483"/>
      <c r="F483"/>
      <c r="G483"/>
      <c r="H483"/>
      <c r="I483"/>
      <c r="J483"/>
    </row>
    <row r="484" spans="1:10" x14ac:dyDescent="0.35">
      <c r="A484"/>
      <c r="B484"/>
      <c r="C484"/>
      <c r="D484"/>
      <c r="E484"/>
      <c r="F484"/>
      <c r="G484"/>
      <c r="H484"/>
      <c r="I484"/>
      <c r="J484"/>
    </row>
    <row r="485" spans="1:10" x14ac:dyDescent="0.35">
      <c r="A485"/>
      <c r="B485"/>
      <c r="C485"/>
      <c r="D485"/>
      <c r="E485"/>
      <c r="F485"/>
      <c r="G485"/>
      <c r="H485"/>
      <c r="I485"/>
      <c r="J485"/>
    </row>
    <row r="486" spans="1:10" x14ac:dyDescent="0.35">
      <c r="A486"/>
      <c r="B486"/>
      <c r="C486"/>
      <c r="D486"/>
      <c r="E486"/>
      <c r="F486"/>
      <c r="G486"/>
      <c r="H486"/>
      <c r="I486"/>
      <c r="J486"/>
    </row>
    <row r="487" spans="1:10" x14ac:dyDescent="0.35">
      <c r="A487"/>
      <c r="B487"/>
      <c r="C487"/>
      <c r="D487"/>
      <c r="E487"/>
      <c r="F487"/>
      <c r="G487"/>
      <c r="H487"/>
      <c r="I487"/>
      <c r="J487"/>
    </row>
    <row r="488" spans="1:10" x14ac:dyDescent="0.35">
      <c r="A488"/>
      <c r="B488"/>
      <c r="C488"/>
      <c r="D488"/>
      <c r="E488"/>
      <c r="F488"/>
      <c r="G488"/>
      <c r="H488"/>
      <c r="I488"/>
      <c r="J488"/>
    </row>
    <row r="489" spans="1:10" x14ac:dyDescent="0.35">
      <c r="A489"/>
      <c r="B489"/>
      <c r="C489"/>
      <c r="D489"/>
      <c r="E489"/>
      <c r="F489"/>
      <c r="G489"/>
      <c r="H489"/>
      <c r="I489"/>
      <c r="J489"/>
    </row>
    <row r="490" spans="1:10" x14ac:dyDescent="0.35">
      <c r="A490"/>
      <c r="B490"/>
      <c r="C490"/>
      <c r="D490"/>
      <c r="E490"/>
      <c r="F490"/>
      <c r="G490"/>
      <c r="H490"/>
      <c r="I490"/>
      <c r="J490"/>
    </row>
    <row r="491" spans="1:10" x14ac:dyDescent="0.35">
      <c r="A491"/>
      <c r="B491"/>
      <c r="C491"/>
      <c r="D491"/>
      <c r="E491"/>
      <c r="F491"/>
      <c r="G491"/>
      <c r="H491"/>
      <c r="I491"/>
      <c r="J491"/>
    </row>
    <row r="492" spans="1:10" x14ac:dyDescent="0.35">
      <c r="A492"/>
      <c r="B492"/>
      <c r="C492"/>
      <c r="D492"/>
      <c r="E492"/>
      <c r="F492"/>
      <c r="G492"/>
      <c r="H492"/>
      <c r="I492"/>
      <c r="J492"/>
    </row>
    <row r="493" spans="1:10" x14ac:dyDescent="0.35">
      <c r="A493"/>
      <c r="B493"/>
      <c r="C493"/>
      <c r="D493"/>
      <c r="E493"/>
      <c r="F493"/>
      <c r="G493"/>
      <c r="H493"/>
      <c r="I493"/>
      <c r="J493"/>
    </row>
    <row r="494" spans="1:10" x14ac:dyDescent="0.35">
      <c r="A494"/>
      <c r="B494"/>
      <c r="C494"/>
      <c r="D494"/>
      <c r="E494"/>
      <c r="F494"/>
      <c r="G494"/>
      <c r="H494"/>
      <c r="I494"/>
      <c r="J494"/>
    </row>
    <row r="495" spans="1:10" x14ac:dyDescent="0.35">
      <c r="A495"/>
      <c r="B495"/>
      <c r="C495"/>
      <c r="D495"/>
      <c r="E495"/>
      <c r="F495"/>
      <c r="G495"/>
      <c r="H495"/>
      <c r="I495"/>
      <c r="J495"/>
    </row>
    <row r="496" spans="1:10" x14ac:dyDescent="0.35">
      <c r="A496"/>
      <c r="B496"/>
      <c r="C496"/>
      <c r="D496"/>
      <c r="E496"/>
      <c r="F496"/>
      <c r="G496"/>
      <c r="H496"/>
      <c r="I496"/>
      <c r="J496"/>
    </row>
    <row r="497" spans="1:10" x14ac:dyDescent="0.35">
      <c r="A497"/>
      <c r="B497"/>
      <c r="C497"/>
      <c r="D497"/>
      <c r="E497"/>
      <c r="F497"/>
      <c r="G497"/>
      <c r="H497"/>
      <c r="I497"/>
      <c r="J497"/>
    </row>
    <row r="498" spans="1:10" x14ac:dyDescent="0.35">
      <c r="A498"/>
      <c r="B498"/>
      <c r="C498"/>
      <c r="D498"/>
      <c r="E498"/>
      <c r="F498"/>
      <c r="G498"/>
      <c r="H498"/>
      <c r="I498"/>
      <c r="J498"/>
    </row>
    <row r="499" spans="1:10" x14ac:dyDescent="0.35">
      <c r="A499"/>
      <c r="B499"/>
      <c r="C499"/>
      <c r="D499"/>
      <c r="E499"/>
      <c r="F499"/>
      <c r="G499"/>
      <c r="H499"/>
      <c r="I499"/>
      <c r="J499"/>
    </row>
    <row r="500" spans="1:10" x14ac:dyDescent="0.35">
      <c r="A500"/>
      <c r="B500"/>
      <c r="C500"/>
      <c r="D500"/>
      <c r="E500"/>
      <c r="F500"/>
      <c r="G500"/>
      <c r="H500"/>
      <c r="I500"/>
      <c r="J500"/>
    </row>
    <row r="501" spans="1:10" x14ac:dyDescent="0.35">
      <c r="A501"/>
      <c r="B501"/>
      <c r="C501"/>
      <c r="D501"/>
      <c r="E501"/>
      <c r="F501"/>
      <c r="G501"/>
      <c r="H501"/>
      <c r="I501"/>
      <c r="J501"/>
    </row>
    <row r="502" spans="1:10" x14ac:dyDescent="0.35">
      <c r="A502"/>
      <c r="B502"/>
      <c r="C502"/>
      <c r="D502"/>
      <c r="E502"/>
      <c r="F502"/>
      <c r="G502"/>
      <c r="H502"/>
      <c r="I502"/>
      <c r="J502"/>
    </row>
    <row r="503" spans="1:10" x14ac:dyDescent="0.35">
      <c r="A503"/>
      <c r="B503"/>
      <c r="C503"/>
      <c r="D503"/>
      <c r="E503"/>
      <c r="F503"/>
      <c r="G503"/>
      <c r="H503"/>
      <c r="I503"/>
      <c r="J503"/>
    </row>
    <row r="504" spans="1:10" x14ac:dyDescent="0.35">
      <c r="A504"/>
      <c r="B504"/>
      <c r="C504"/>
      <c r="D504"/>
      <c r="E504"/>
      <c r="F504"/>
      <c r="G504"/>
      <c r="H504"/>
      <c r="I504"/>
      <c r="J504"/>
    </row>
    <row r="505" spans="1:10" x14ac:dyDescent="0.35">
      <c r="A505"/>
      <c r="B505"/>
      <c r="C505"/>
      <c r="D505"/>
      <c r="E505"/>
      <c r="F505"/>
      <c r="G505"/>
      <c r="H505"/>
      <c r="I505"/>
      <c r="J505"/>
    </row>
    <row r="506" spans="1:10" x14ac:dyDescent="0.35">
      <c r="A506"/>
      <c r="B506"/>
      <c r="C506"/>
      <c r="D506"/>
      <c r="E506"/>
      <c r="F506"/>
      <c r="G506"/>
      <c r="H506"/>
      <c r="I506"/>
      <c r="J506"/>
    </row>
    <row r="507" spans="1:10" x14ac:dyDescent="0.35">
      <c r="A507"/>
      <c r="B507"/>
      <c r="C507"/>
      <c r="D507"/>
      <c r="E507"/>
      <c r="F507"/>
      <c r="G507"/>
      <c r="H507"/>
      <c r="I507"/>
      <c r="J507"/>
    </row>
    <row r="508" spans="1:10" x14ac:dyDescent="0.35">
      <c r="A508"/>
      <c r="B508"/>
      <c r="C508"/>
      <c r="D508"/>
      <c r="E508"/>
      <c r="F508"/>
      <c r="G508"/>
      <c r="H508"/>
      <c r="I508"/>
      <c r="J508"/>
    </row>
    <row r="509" spans="1:10" x14ac:dyDescent="0.35">
      <c r="A509"/>
      <c r="B509"/>
      <c r="C509"/>
      <c r="D509"/>
      <c r="E509"/>
      <c r="F509"/>
      <c r="G509"/>
      <c r="H509"/>
      <c r="I509"/>
      <c r="J509"/>
    </row>
    <row r="510" spans="1:10" x14ac:dyDescent="0.35">
      <c r="A510"/>
      <c r="B510"/>
      <c r="C510"/>
      <c r="D510"/>
      <c r="E510"/>
      <c r="F510"/>
      <c r="G510"/>
      <c r="H510"/>
      <c r="I510"/>
      <c r="J510"/>
    </row>
    <row r="511" spans="1:10" x14ac:dyDescent="0.35">
      <c r="A511"/>
      <c r="B511"/>
      <c r="C511"/>
      <c r="D511"/>
      <c r="E511"/>
      <c r="F511"/>
      <c r="G511"/>
      <c r="H511"/>
      <c r="I511"/>
      <c r="J511"/>
    </row>
    <row r="512" spans="1:10" x14ac:dyDescent="0.35">
      <c r="A512"/>
      <c r="B512"/>
      <c r="C512"/>
      <c r="D512"/>
      <c r="E512"/>
      <c r="F512"/>
      <c r="G512"/>
      <c r="H512"/>
      <c r="I512"/>
      <c r="J512"/>
    </row>
    <row r="513" spans="1:10" x14ac:dyDescent="0.35">
      <c r="A513"/>
      <c r="B513"/>
      <c r="C513"/>
      <c r="D513"/>
      <c r="E513"/>
      <c r="F513"/>
      <c r="G513"/>
      <c r="H513"/>
      <c r="I513"/>
      <c r="J513"/>
    </row>
    <row r="514" spans="1:10" x14ac:dyDescent="0.35">
      <c r="A514"/>
      <c r="B514"/>
      <c r="C514"/>
      <c r="D514"/>
      <c r="E514"/>
      <c r="F514"/>
      <c r="G514"/>
      <c r="H514"/>
      <c r="I514"/>
      <c r="J514"/>
    </row>
    <row r="515" spans="1:10" x14ac:dyDescent="0.35">
      <c r="A515"/>
      <c r="B515"/>
      <c r="C515"/>
      <c r="D515"/>
      <c r="E515"/>
      <c r="F515"/>
      <c r="G515"/>
      <c r="H515"/>
      <c r="I515"/>
      <c r="J515"/>
    </row>
    <row r="516" spans="1:10" x14ac:dyDescent="0.35">
      <c r="A516"/>
      <c r="B516"/>
      <c r="C516"/>
      <c r="D516"/>
      <c r="E516"/>
      <c r="F516"/>
      <c r="G516"/>
      <c r="H516"/>
      <c r="I516"/>
      <c r="J516"/>
    </row>
    <row r="517" spans="1:10" x14ac:dyDescent="0.35">
      <c r="A517"/>
      <c r="B517"/>
      <c r="C517"/>
      <c r="D517"/>
      <c r="E517"/>
      <c r="F517"/>
      <c r="G517"/>
      <c r="H517"/>
      <c r="I517"/>
      <c r="J517"/>
    </row>
    <row r="518" spans="1:10" x14ac:dyDescent="0.35">
      <c r="A518"/>
      <c r="B518"/>
      <c r="C518"/>
      <c r="D518"/>
      <c r="E518"/>
      <c r="F518"/>
      <c r="G518"/>
      <c r="H518"/>
      <c r="I518"/>
      <c r="J518"/>
    </row>
    <row r="519" spans="1:10" x14ac:dyDescent="0.35">
      <c r="A519"/>
      <c r="B519"/>
      <c r="C519"/>
      <c r="D519"/>
      <c r="E519"/>
      <c r="F519"/>
      <c r="G519"/>
      <c r="H519"/>
      <c r="I519"/>
      <c r="J519"/>
    </row>
    <row r="520" spans="1:10" x14ac:dyDescent="0.35">
      <c r="A520"/>
      <c r="B520"/>
      <c r="C520"/>
      <c r="D520"/>
      <c r="E520"/>
      <c r="F520"/>
      <c r="G520"/>
      <c r="H520"/>
      <c r="I520"/>
      <c r="J520"/>
    </row>
    <row r="521" spans="1:10" x14ac:dyDescent="0.35">
      <c r="A521"/>
      <c r="B521"/>
      <c r="C521"/>
      <c r="D521"/>
      <c r="E521"/>
      <c r="F521"/>
      <c r="G521"/>
      <c r="H521"/>
      <c r="I521"/>
      <c r="J521"/>
    </row>
    <row r="522" spans="1:10" x14ac:dyDescent="0.35">
      <c r="A522"/>
      <c r="B522"/>
      <c r="C522"/>
      <c r="D522"/>
      <c r="E522"/>
      <c r="F522"/>
      <c r="G522"/>
      <c r="H522"/>
      <c r="I522"/>
      <c r="J522"/>
    </row>
    <row r="523" spans="1:10" x14ac:dyDescent="0.35">
      <c r="A523"/>
      <c r="B523"/>
      <c r="C523"/>
      <c r="D523"/>
      <c r="E523"/>
      <c r="F523"/>
      <c r="G523"/>
      <c r="H523"/>
      <c r="I523"/>
      <c r="J523"/>
    </row>
    <row r="524" spans="1:10" x14ac:dyDescent="0.35">
      <c r="A524"/>
      <c r="B524"/>
      <c r="C524"/>
      <c r="D524"/>
      <c r="E524"/>
      <c r="F524"/>
      <c r="G524"/>
      <c r="H524"/>
      <c r="I524"/>
      <c r="J524"/>
    </row>
    <row r="525" spans="1:10" x14ac:dyDescent="0.35">
      <c r="A525"/>
      <c r="B525"/>
      <c r="C525"/>
      <c r="D525"/>
      <c r="E525"/>
      <c r="F525"/>
      <c r="G525"/>
      <c r="H525"/>
      <c r="I525"/>
      <c r="J525"/>
    </row>
    <row r="526" spans="1:10" x14ac:dyDescent="0.35">
      <c r="A526"/>
      <c r="B526"/>
      <c r="C526"/>
      <c r="D526"/>
      <c r="E526"/>
      <c r="F526"/>
      <c r="G526"/>
      <c r="H526"/>
      <c r="I526"/>
      <c r="J526"/>
    </row>
    <row r="527" spans="1:10" x14ac:dyDescent="0.35">
      <c r="A527"/>
      <c r="B527"/>
      <c r="C527"/>
      <c r="D527"/>
      <c r="E527"/>
      <c r="F527"/>
      <c r="G527"/>
      <c r="H527"/>
      <c r="I527"/>
      <c r="J527"/>
    </row>
    <row r="528" spans="1:10" x14ac:dyDescent="0.35">
      <c r="A528"/>
      <c r="B528"/>
      <c r="C528"/>
      <c r="D528"/>
      <c r="E528"/>
      <c r="F528"/>
      <c r="G528"/>
      <c r="H528"/>
      <c r="I528"/>
      <c r="J528"/>
    </row>
    <row r="529" spans="1:10" x14ac:dyDescent="0.35">
      <c r="A529"/>
      <c r="B529"/>
      <c r="C529"/>
      <c r="D529"/>
      <c r="E529"/>
      <c r="F529"/>
      <c r="G529"/>
      <c r="H529"/>
      <c r="I529"/>
      <c r="J529"/>
    </row>
    <row r="530" spans="1:10" x14ac:dyDescent="0.35">
      <c r="A530"/>
      <c r="B530"/>
      <c r="C530"/>
      <c r="D530"/>
      <c r="E530"/>
      <c r="F530"/>
      <c r="G530"/>
      <c r="H530"/>
      <c r="I530"/>
      <c r="J530"/>
    </row>
    <row r="531" spans="1:10" x14ac:dyDescent="0.35">
      <c r="A531"/>
      <c r="B531"/>
      <c r="C531"/>
      <c r="D531"/>
      <c r="E531"/>
      <c r="F531"/>
      <c r="G531"/>
      <c r="H531"/>
      <c r="I531"/>
      <c r="J531"/>
    </row>
    <row r="532" spans="1:10" x14ac:dyDescent="0.35">
      <c r="A532"/>
      <c r="B532"/>
      <c r="C532"/>
      <c r="D532"/>
      <c r="E532"/>
      <c r="F532"/>
      <c r="G532"/>
      <c r="H532"/>
      <c r="I532"/>
      <c r="J532"/>
    </row>
    <row r="533" spans="1:10" x14ac:dyDescent="0.35">
      <c r="A533"/>
      <c r="B533"/>
      <c r="C533"/>
      <c r="D533"/>
      <c r="E533"/>
      <c r="F533"/>
      <c r="G533"/>
      <c r="H533"/>
      <c r="I533"/>
      <c r="J533"/>
    </row>
    <row r="534" spans="1:10" x14ac:dyDescent="0.35">
      <c r="A534"/>
      <c r="B534"/>
      <c r="C534"/>
      <c r="D534"/>
      <c r="E534"/>
      <c r="F534"/>
      <c r="G534"/>
      <c r="H534"/>
      <c r="I534"/>
      <c r="J534"/>
    </row>
    <row r="535" spans="1:10" x14ac:dyDescent="0.35">
      <c r="A535"/>
      <c r="B535"/>
      <c r="C535"/>
      <c r="D535"/>
      <c r="E535"/>
      <c r="F535"/>
      <c r="G535"/>
      <c r="H535"/>
      <c r="I535"/>
      <c r="J535"/>
    </row>
    <row r="536" spans="1:10" x14ac:dyDescent="0.35">
      <c r="A536"/>
      <c r="B536"/>
      <c r="C536"/>
      <c r="D536"/>
      <c r="E536"/>
      <c r="F536"/>
      <c r="G536"/>
      <c r="H536"/>
      <c r="I536"/>
      <c r="J536"/>
    </row>
    <row r="537" spans="1:10" x14ac:dyDescent="0.35">
      <c r="A537"/>
      <c r="B537"/>
      <c r="C537"/>
      <c r="D537"/>
      <c r="E537"/>
      <c r="F537"/>
      <c r="G537"/>
      <c r="H537"/>
      <c r="I537"/>
      <c r="J537"/>
    </row>
    <row r="538" spans="1:10" x14ac:dyDescent="0.35">
      <c r="A538"/>
      <c r="B538"/>
      <c r="C538"/>
      <c r="D538"/>
      <c r="E538"/>
      <c r="F538"/>
      <c r="G538"/>
      <c r="H538"/>
      <c r="I538"/>
      <c r="J538"/>
    </row>
    <row r="539" spans="1:10" x14ac:dyDescent="0.35">
      <c r="A539"/>
      <c r="B539"/>
      <c r="C539"/>
      <c r="D539"/>
      <c r="E539"/>
      <c r="F539"/>
      <c r="G539"/>
      <c r="H539"/>
      <c r="I539"/>
      <c r="J539"/>
    </row>
    <row r="540" spans="1:10" x14ac:dyDescent="0.35">
      <c r="A540"/>
      <c r="B540"/>
      <c r="C540"/>
      <c r="D540"/>
      <c r="E540"/>
      <c r="F540"/>
      <c r="G540"/>
      <c r="H540"/>
      <c r="I540"/>
      <c r="J540"/>
    </row>
    <row r="541" spans="1:10" x14ac:dyDescent="0.35">
      <c r="A541"/>
      <c r="B541"/>
      <c r="C541"/>
      <c r="D541"/>
      <c r="E541"/>
      <c r="F541"/>
      <c r="G541"/>
      <c r="H541"/>
      <c r="I541"/>
      <c r="J541"/>
    </row>
    <row r="542" spans="1:10" x14ac:dyDescent="0.35">
      <c r="A542"/>
      <c r="B542"/>
      <c r="C542"/>
      <c r="D542"/>
      <c r="E542"/>
      <c r="F542"/>
      <c r="G542"/>
      <c r="H542"/>
      <c r="I542"/>
      <c r="J542"/>
    </row>
    <row r="543" spans="1:10" x14ac:dyDescent="0.35">
      <c r="A543"/>
      <c r="B543"/>
      <c r="C543"/>
      <c r="D543"/>
      <c r="E543"/>
      <c r="F543"/>
      <c r="G543"/>
      <c r="H543"/>
      <c r="I543"/>
      <c r="J543"/>
    </row>
    <row r="544" spans="1:10" x14ac:dyDescent="0.35">
      <c r="A544"/>
      <c r="B544"/>
      <c r="C544"/>
      <c r="D544"/>
      <c r="E544"/>
      <c r="F544"/>
      <c r="G544"/>
      <c r="H544"/>
      <c r="I544"/>
      <c r="J544"/>
    </row>
    <row r="545" spans="1:10" x14ac:dyDescent="0.35">
      <c r="A545"/>
      <c r="B545"/>
      <c r="C545"/>
      <c r="D545"/>
      <c r="E545"/>
      <c r="F545"/>
      <c r="G545"/>
      <c r="H545"/>
      <c r="I545"/>
      <c r="J545"/>
    </row>
    <row r="546" spans="1:10" x14ac:dyDescent="0.35">
      <c r="A546"/>
      <c r="B546"/>
      <c r="C546"/>
      <c r="D546"/>
      <c r="E546"/>
      <c r="F546"/>
      <c r="G546"/>
      <c r="H546"/>
      <c r="I546"/>
      <c r="J546"/>
    </row>
    <row r="547" spans="1:10" x14ac:dyDescent="0.35">
      <c r="A547"/>
      <c r="B547"/>
      <c r="C547"/>
      <c r="D547"/>
      <c r="E547"/>
      <c r="F547"/>
      <c r="G547"/>
      <c r="H547"/>
      <c r="I547"/>
      <c r="J547"/>
    </row>
    <row r="548" spans="1:10" x14ac:dyDescent="0.35">
      <c r="A548"/>
      <c r="B548"/>
      <c r="C548"/>
      <c r="D548"/>
      <c r="E548"/>
      <c r="F548"/>
      <c r="G548"/>
      <c r="H548"/>
      <c r="I548"/>
      <c r="J548"/>
    </row>
    <row r="549" spans="1:10" x14ac:dyDescent="0.35">
      <c r="A549"/>
      <c r="B549"/>
      <c r="C549"/>
      <c r="D549"/>
      <c r="E549"/>
      <c r="F549"/>
      <c r="G549"/>
      <c r="H549"/>
      <c r="I549"/>
      <c r="J549"/>
    </row>
    <row r="550" spans="1:10" x14ac:dyDescent="0.35">
      <c r="A550"/>
      <c r="B550"/>
      <c r="C550"/>
      <c r="D550"/>
      <c r="E550"/>
      <c r="F550"/>
      <c r="G550"/>
      <c r="H550"/>
      <c r="I550"/>
      <c r="J550"/>
    </row>
    <row r="551" spans="1:10" x14ac:dyDescent="0.35">
      <c r="A551"/>
      <c r="B551"/>
      <c r="C551"/>
      <c r="D551"/>
      <c r="E551"/>
      <c r="F551"/>
      <c r="G551"/>
      <c r="H551"/>
      <c r="I551"/>
      <c r="J551"/>
    </row>
    <row r="552" spans="1:10" x14ac:dyDescent="0.35">
      <c r="A552"/>
      <c r="B552"/>
      <c r="C552"/>
      <c r="D552"/>
      <c r="E552"/>
      <c r="F552"/>
      <c r="G552"/>
      <c r="H552"/>
      <c r="I552"/>
      <c r="J552"/>
    </row>
    <row r="553" spans="1:10" x14ac:dyDescent="0.35">
      <c r="A553"/>
      <c r="B553"/>
      <c r="C553"/>
      <c r="D553"/>
      <c r="E553"/>
      <c r="F553"/>
      <c r="G553"/>
      <c r="H553"/>
      <c r="I553"/>
      <c r="J553"/>
    </row>
    <row r="554" spans="1:10" x14ac:dyDescent="0.35">
      <c r="A554"/>
      <c r="B554"/>
      <c r="C554"/>
      <c r="D554"/>
      <c r="E554"/>
      <c r="F554"/>
      <c r="G554"/>
      <c r="H554"/>
      <c r="I554"/>
      <c r="J554"/>
    </row>
    <row r="555" spans="1:10" x14ac:dyDescent="0.35">
      <c r="A555"/>
      <c r="B555"/>
      <c r="C555"/>
      <c r="D555"/>
      <c r="E555"/>
      <c r="F555"/>
      <c r="G555"/>
      <c r="H555"/>
      <c r="I555"/>
      <c r="J555"/>
    </row>
    <row r="556" spans="1:10" x14ac:dyDescent="0.35">
      <c r="A556"/>
      <c r="B556"/>
      <c r="C556"/>
      <c r="D556"/>
      <c r="E556"/>
      <c r="F556"/>
      <c r="G556"/>
      <c r="H556"/>
      <c r="I556"/>
      <c r="J556"/>
    </row>
    <row r="557" spans="1:10" x14ac:dyDescent="0.35">
      <c r="A557"/>
      <c r="B557"/>
      <c r="C557"/>
      <c r="D557"/>
      <c r="E557"/>
      <c r="F557"/>
      <c r="G557"/>
      <c r="H557"/>
      <c r="I557"/>
      <c r="J557"/>
    </row>
    <row r="558" spans="1:10" x14ac:dyDescent="0.35">
      <c r="A558"/>
      <c r="B558"/>
      <c r="C558"/>
      <c r="D558"/>
      <c r="E558"/>
      <c r="F558"/>
      <c r="G558"/>
      <c r="H558"/>
      <c r="I558"/>
      <c r="J558"/>
    </row>
    <row r="559" spans="1:10" x14ac:dyDescent="0.35">
      <c r="A559"/>
      <c r="B559"/>
      <c r="C559"/>
      <c r="D559"/>
      <c r="E559"/>
      <c r="F559"/>
      <c r="G559"/>
      <c r="H559"/>
      <c r="I559"/>
      <c r="J559"/>
    </row>
    <row r="560" spans="1:10" x14ac:dyDescent="0.35">
      <c r="A560"/>
      <c r="B560"/>
      <c r="C560"/>
      <c r="D560"/>
      <c r="E560"/>
      <c r="F560"/>
      <c r="G560"/>
      <c r="H560"/>
      <c r="I560"/>
      <c r="J560"/>
    </row>
    <row r="561" spans="1:10" x14ac:dyDescent="0.35">
      <c r="A561"/>
      <c r="B561"/>
      <c r="C561"/>
      <c r="D561"/>
      <c r="E561"/>
      <c r="F561"/>
      <c r="G561"/>
      <c r="H561"/>
      <c r="I561"/>
      <c r="J561"/>
    </row>
    <row r="562" spans="1:10" x14ac:dyDescent="0.35">
      <c r="A562"/>
      <c r="B562"/>
      <c r="C562"/>
      <c r="D562"/>
      <c r="E562"/>
      <c r="F562"/>
      <c r="G562"/>
      <c r="H562"/>
      <c r="I562"/>
      <c r="J562"/>
    </row>
    <row r="563" spans="1:10" x14ac:dyDescent="0.35">
      <c r="A563"/>
      <c r="B563"/>
      <c r="C563"/>
      <c r="D563"/>
      <c r="E563"/>
      <c r="F563"/>
      <c r="G563"/>
      <c r="H563"/>
      <c r="I563"/>
      <c r="J563"/>
    </row>
    <row r="564" spans="1:10" x14ac:dyDescent="0.35">
      <c r="A564"/>
      <c r="B564"/>
      <c r="C564"/>
      <c r="D564"/>
      <c r="E564"/>
      <c r="F564"/>
      <c r="G564"/>
      <c r="H564"/>
      <c r="I564"/>
      <c r="J564"/>
    </row>
    <row r="565" spans="1:10" x14ac:dyDescent="0.35">
      <c r="A565"/>
      <c r="B565"/>
      <c r="C565"/>
      <c r="D565"/>
      <c r="E565"/>
      <c r="F565"/>
      <c r="G565"/>
      <c r="H565"/>
      <c r="I565"/>
      <c r="J565"/>
    </row>
    <row r="566" spans="1:10" x14ac:dyDescent="0.35">
      <c r="A566"/>
      <c r="B566"/>
      <c r="C566"/>
      <c r="D566"/>
      <c r="E566"/>
      <c r="F566"/>
      <c r="G566"/>
      <c r="H566"/>
      <c r="I566"/>
      <c r="J566"/>
    </row>
    <row r="567" spans="1:10" x14ac:dyDescent="0.35">
      <c r="A567"/>
      <c r="B567"/>
      <c r="C567"/>
      <c r="D567"/>
      <c r="E567"/>
      <c r="F567"/>
      <c r="G567"/>
      <c r="H567"/>
      <c r="I567"/>
      <c r="J567"/>
    </row>
    <row r="568" spans="1:10" x14ac:dyDescent="0.35">
      <c r="A568"/>
      <c r="B568"/>
      <c r="C568"/>
      <c r="D568"/>
      <c r="E568"/>
      <c r="F568"/>
      <c r="G568"/>
      <c r="H568"/>
      <c r="I568"/>
      <c r="J568"/>
    </row>
    <row r="569" spans="1:10" x14ac:dyDescent="0.35">
      <c r="A569"/>
      <c r="B569"/>
      <c r="C569"/>
      <c r="D569"/>
      <c r="E569"/>
      <c r="F569"/>
      <c r="G569"/>
      <c r="H569"/>
      <c r="I569"/>
      <c r="J569"/>
    </row>
    <row r="570" spans="1:10" x14ac:dyDescent="0.35">
      <c r="A570"/>
      <c r="B570"/>
      <c r="C570"/>
      <c r="D570"/>
      <c r="E570"/>
      <c r="F570"/>
      <c r="G570"/>
      <c r="H570"/>
      <c r="I570"/>
      <c r="J570"/>
    </row>
    <row r="571" spans="1:10" x14ac:dyDescent="0.35">
      <c r="A571"/>
      <c r="B571"/>
      <c r="C571"/>
      <c r="D571"/>
      <c r="E571"/>
      <c r="F571"/>
      <c r="G571"/>
      <c r="H571"/>
      <c r="I571"/>
      <c r="J571"/>
    </row>
    <row r="572" spans="1:10" x14ac:dyDescent="0.35">
      <c r="A572"/>
      <c r="B572"/>
      <c r="C572"/>
      <c r="D572"/>
      <c r="E572"/>
      <c r="F572"/>
      <c r="G572"/>
      <c r="H572"/>
      <c r="I572"/>
      <c r="J572"/>
    </row>
    <row r="573" spans="1:10" x14ac:dyDescent="0.35">
      <c r="A573"/>
      <c r="B573"/>
      <c r="C573"/>
      <c r="D573"/>
      <c r="E573"/>
      <c r="F573"/>
      <c r="G573"/>
      <c r="H573"/>
      <c r="I573"/>
      <c r="J573"/>
    </row>
    <row r="574" spans="1:10" x14ac:dyDescent="0.35">
      <c r="A574"/>
      <c r="B574"/>
      <c r="C574"/>
      <c r="D574"/>
      <c r="E574"/>
      <c r="F574"/>
      <c r="G574"/>
      <c r="H574"/>
      <c r="I574"/>
      <c r="J574"/>
    </row>
    <row r="575" spans="1:10" x14ac:dyDescent="0.35">
      <c r="A575"/>
      <c r="B575"/>
      <c r="C575"/>
      <c r="D575"/>
      <c r="E575"/>
      <c r="F575"/>
      <c r="G575"/>
      <c r="H575"/>
      <c r="I575"/>
      <c r="J575"/>
    </row>
    <row r="576" spans="1:10" x14ac:dyDescent="0.35">
      <c r="A576"/>
      <c r="B576"/>
      <c r="C576"/>
      <c r="D576"/>
      <c r="E576"/>
      <c r="F576"/>
      <c r="G576"/>
      <c r="H576"/>
      <c r="I576"/>
      <c r="J576"/>
    </row>
    <row r="577" spans="1:10" x14ac:dyDescent="0.35">
      <c r="A577"/>
      <c r="B577"/>
      <c r="C577"/>
      <c r="D577"/>
      <c r="E577"/>
      <c r="F577"/>
      <c r="G577"/>
      <c r="H577"/>
      <c r="I577"/>
      <c r="J577"/>
    </row>
    <row r="578" spans="1:10" x14ac:dyDescent="0.35">
      <c r="A578"/>
      <c r="B578"/>
      <c r="C578"/>
      <c r="D578"/>
      <c r="E578"/>
      <c r="F578"/>
      <c r="G578"/>
      <c r="H578"/>
      <c r="I578"/>
      <c r="J578"/>
    </row>
    <row r="579" spans="1:10" x14ac:dyDescent="0.35">
      <c r="A579"/>
      <c r="B579"/>
      <c r="C579"/>
      <c r="D579"/>
      <c r="E579"/>
      <c r="F579"/>
      <c r="G579"/>
      <c r="H579"/>
      <c r="I579"/>
      <c r="J579"/>
    </row>
    <row r="580" spans="1:10" x14ac:dyDescent="0.35">
      <c r="A580"/>
      <c r="B580"/>
      <c r="C580"/>
      <c r="D580"/>
      <c r="E580"/>
      <c r="F580"/>
      <c r="G580"/>
      <c r="H580"/>
      <c r="I580"/>
      <c r="J580"/>
    </row>
    <row r="581" spans="1:10" x14ac:dyDescent="0.35">
      <c r="A581"/>
      <c r="B581"/>
      <c r="C581"/>
      <c r="D581"/>
      <c r="E581"/>
      <c r="F581"/>
      <c r="G581"/>
      <c r="H581"/>
      <c r="I581"/>
      <c r="J581"/>
    </row>
    <row r="582" spans="1:10" x14ac:dyDescent="0.35">
      <c r="A582"/>
      <c r="B582"/>
      <c r="C582"/>
      <c r="D582"/>
      <c r="E582"/>
      <c r="F582"/>
      <c r="G582"/>
      <c r="H582"/>
      <c r="I582"/>
      <c r="J582"/>
    </row>
    <row r="583" spans="1:10" x14ac:dyDescent="0.35">
      <c r="A583"/>
      <c r="B583"/>
      <c r="C583"/>
      <c r="D583"/>
      <c r="E583"/>
      <c r="F583"/>
      <c r="G583"/>
      <c r="H583"/>
      <c r="I583"/>
      <c r="J583"/>
    </row>
    <row r="584" spans="1:10" x14ac:dyDescent="0.35">
      <c r="A584"/>
      <c r="B584"/>
      <c r="C584"/>
      <c r="D584"/>
      <c r="E584"/>
      <c r="F584"/>
      <c r="G584"/>
      <c r="H584"/>
      <c r="I584"/>
      <c r="J584"/>
    </row>
    <row r="585" spans="1:10" x14ac:dyDescent="0.35">
      <c r="A585"/>
      <c r="B585"/>
      <c r="C585"/>
      <c r="D585"/>
      <c r="E585"/>
      <c r="F585"/>
      <c r="G585"/>
      <c r="H585"/>
      <c r="I585"/>
      <c r="J585"/>
    </row>
    <row r="586" spans="1:10" x14ac:dyDescent="0.35">
      <c r="A586"/>
      <c r="B586"/>
      <c r="C586"/>
      <c r="D586"/>
      <c r="E586"/>
      <c r="F586"/>
      <c r="G586"/>
      <c r="H586"/>
      <c r="I586"/>
      <c r="J586"/>
    </row>
    <row r="587" spans="1:10" x14ac:dyDescent="0.35">
      <c r="A587"/>
      <c r="B587"/>
      <c r="C587"/>
      <c r="D587"/>
      <c r="E587"/>
      <c r="F587"/>
      <c r="G587"/>
      <c r="H587"/>
      <c r="I587"/>
      <c r="J587"/>
    </row>
    <row r="588" spans="1:10" x14ac:dyDescent="0.35">
      <c r="A588"/>
      <c r="B588"/>
      <c r="C588"/>
      <c r="D588"/>
      <c r="E588"/>
      <c r="F588"/>
      <c r="G588"/>
      <c r="H588"/>
      <c r="I588"/>
      <c r="J588"/>
    </row>
    <row r="589" spans="1:10" x14ac:dyDescent="0.35">
      <c r="A589"/>
      <c r="B589"/>
      <c r="C589"/>
      <c r="D589"/>
      <c r="E589"/>
      <c r="F589"/>
      <c r="G589"/>
      <c r="H589"/>
      <c r="I589"/>
      <c r="J589"/>
    </row>
    <row r="590" spans="1:10" x14ac:dyDescent="0.35">
      <c r="A590"/>
      <c r="B590"/>
      <c r="C590"/>
      <c r="D590"/>
      <c r="E590"/>
      <c r="F590"/>
      <c r="G590"/>
      <c r="H590"/>
      <c r="I590"/>
      <c r="J590"/>
    </row>
    <row r="591" spans="1:10" x14ac:dyDescent="0.35">
      <c r="A591"/>
      <c r="B591"/>
      <c r="C591"/>
      <c r="D591"/>
      <c r="E591"/>
      <c r="F591"/>
      <c r="G591"/>
      <c r="H591"/>
      <c r="I591"/>
      <c r="J591"/>
    </row>
    <row r="592" spans="1:10" x14ac:dyDescent="0.35">
      <c r="A592"/>
      <c r="B592"/>
      <c r="C592"/>
      <c r="D592"/>
      <c r="E592"/>
      <c r="F592"/>
      <c r="G592"/>
      <c r="H592"/>
      <c r="I592"/>
      <c r="J592"/>
    </row>
    <row r="593" spans="1:10" x14ac:dyDescent="0.35">
      <c r="A593"/>
      <c r="B593"/>
      <c r="C593"/>
      <c r="D593"/>
      <c r="E593"/>
      <c r="F593"/>
      <c r="G593"/>
      <c r="H593"/>
      <c r="I593"/>
      <c r="J593"/>
    </row>
    <row r="594" spans="1:10" x14ac:dyDescent="0.35">
      <c r="A594"/>
      <c r="B594"/>
      <c r="C594"/>
      <c r="D594"/>
      <c r="E594"/>
      <c r="F594"/>
      <c r="G594"/>
      <c r="H594"/>
      <c r="I594"/>
      <c r="J594"/>
    </row>
    <row r="595" spans="1:10" x14ac:dyDescent="0.35">
      <c r="A595"/>
      <c r="B595"/>
      <c r="C595"/>
      <c r="D595"/>
      <c r="E595"/>
      <c r="F595"/>
      <c r="G595"/>
      <c r="H595"/>
      <c r="I595"/>
      <c r="J595"/>
    </row>
    <row r="596" spans="1:10" x14ac:dyDescent="0.35">
      <c r="A596"/>
      <c r="B596"/>
      <c r="C596"/>
      <c r="D596"/>
      <c r="E596"/>
      <c r="F596"/>
      <c r="G596"/>
      <c r="H596"/>
      <c r="I596"/>
      <c r="J596"/>
    </row>
    <row r="597" spans="1:10" x14ac:dyDescent="0.35">
      <c r="A597"/>
      <c r="B597"/>
      <c r="C597"/>
      <c r="D597"/>
      <c r="E597"/>
      <c r="F597"/>
      <c r="G597"/>
      <c r="H597"/>
      <c r="I597"/>
      <c r="J597"/>
    </row>
    <row r="598" spans="1:10" x14ac:dyDescent="0.35">
      <c r="A598"/>
      <c r="B598"/>
      <c r="C598"/>
      <c r="D598"/>
      <c r="E598"/>
      <c r="F598"/>
      <c r="G598"/>
      <c r="H598"/>
      <c r="I598"/>
      <c r="J598"/>
    </row>
    <row r="599" spans="1:10" x14ac:dyDescent="0.35">
      <c r="A599"/>
      <c r="B599"/>
      <c r="C599"/>
      <c r="D599"/>
      <c r="E599"/>
      <c r="F599"/>
      <c r="G599"/>
      <c r="H599"/>
      <c r="I599"/>
      <c r="J599"/>
    </row>
    <row r="600" spans="1:10" x14ac:dyDescent="0.35">
      <c r="A600"/>
      <c r="B600"/>
      <c r="C600"/>
      <c r="D600"/>
      <c r="E600"/>
      <c r="F600"/>
      <c r="G600"/>
      <c r="H600"/>
      <c r="I600"/>
      <c r="J600"/>
    </row>
    <row r="601" spans="1:10" x14ac:dyDescent="0.35">
      <c r="A601"/>
      <c r="B601"/>
      <c r="C601"/>
      <c r="D601"/>
      <c r="E601"/>
      <c r="F601"/>
      <c r="G601"/>
      <c r="H601"/>
      <c r="I601"/>
      <c r="J601"/>
    </row>
    <row r="602" spans="1:10" x14ac:dyDescent="0.35">
      <c r="A602"/>
      <c r="B602"/>
      <c r="C602"/>
      <c r="D602"/>
      <c r="E602"/>
      <c r="F602"/>
      <c r="G602"/>
      <c r="H602"/>
      <c r="I602"/>
      <c r="J602"/>
    </row>
    <row r="603" spans="1:10" x14ac:dyDescent="0.35">
      <c r="A603"/>
      <c r="B603"/>
      <c r="C603"/>
      <c r="D603"/>
      <c r="E603"/>
      <c r="F603"/>
      <c r="G603"/>
      <c r="H603"/>
      <c r="I603"/>
      <c r="J603"/>
    </row>
    <row r="604" spans="1:10" x14ac:dyDescent="0.35">
      <c r="A604"/>
      <c r="B604"/>
      <c r="C604"/>
      <c r="D604"/>
      <c r="E604"/>
      <c r="F604"/>
      <c r="G604"/>
      <c r="H604"/>
      <c r="I604"/>
      <c r="J604"/>
    </row>
    <row r="605" spans="1:10" x14ac:dyDescent="0.35">
      <c r="A605"/>
      <c r="B605"/>
      <c r="C605"/>
      <c r="D605"/>
      <c r="E605"/>
      <c r="F605"/>
      <c r="G605"/>
      <c r="H605"/>
      <c r="I605"/>
      <c r="J605"/>
    </row>
    <row r="606" spans="1:10" x14ac:dyDescent="0.35">
      <c r="A606"/>
      <c r="B606"/>
      <c r="C606"/>
      <c r="D606"/>
      <c r="E606"/>
      <c r="F606"/>
      <c r="G606"/>
      <c r="H606"/>
      <c r="I606"/>
      <c r="J606"/>
    </row>
    <row r="607" spans="1:10" x14ac:dyDescent="0.35">
      <c r="A607"/>
      <c r="B607"/>
      <c r="C607"/>
      <c r="D607"/>
      <c r="E607"/>
      <c r="F607"/>
      <c r="G607"/>
      <c r="H607"/>
      <c r="I607"/>
      <c r="J607"/>
    </row>
    <row r="608" spans="1:10" x14ac:dyDescent="0.35">
      <c r="A608"/>
      <c r="B608"/>
      <c r="C608"/>
      <c r="D608"/>
      <c r="E608"/>
      <c r="F608"/>
      <c r="G608"/>
      <c r="H608"/>
      <c r="I608"/>
      <c r="J608"/>
    </row>
    <row r="609" spans="1:10" x14ac:dyDescent="0.35">
      <c r="A609"/>
      <c r="B609"/>
      <c r="C609"/>
      <c r="D609"/>
      <c r="E609"/>
      <c r="F609"/>
      <c r="G609"/>
      <c r="H609"/>
      <c r="I609"/>
      <c r="J609"/>
    </row>
    <row r="610" spans="1:10" x14ac:dyDescent="0.35">
      <c r="A610"/>
      <c r="B610"/>
      <c r="C610"/>
      <c r="D610"/>
      <c r="E610"/>
      <c r="F610"/>
      <c r="G610"/>
      <c r="H610"/>
      <c r="I610"/>
      <c r="J610"/>
    </row>
    <row r="611" spans="1:10" x14ac:dyDescent="0.35">
      <c r="A611"/>
      <c r="B611"/>
      <c r="C611"/>
      <c r="D611"/>
      <c r="E611"/>
      <c r="F611"/>
      <c r="G611"/>
      <c r="H611"/>
      <c r="I611"/>
      <c r="J611"/>
    </row>
    <row r="612" spans="1:10" x14ac:dyDescent="0.35">
      <c r="A612"/>
      <c r="B612"/>
      <c r="C612"/>
      <c r="D612"/>
      <c r="E612"/>
      <c r="F612"/>
      <c r="G612"/>
      <c r="H612"/>
      <c r="I612"/>
      <c r="J612"/>
    </row>
    <row r="613" spans="1:10" x14ac:dyDescent="0.35">
      <c r="A613"/>
      <c r="B613"/>
      <c r="C613"/>
      <c r="D613"/>
      <c r="E613"/>
      <c r="F613"/>
      <c r="G613"/>
      <c r="H613"/>
      <c r="I613"/>
      <c r="J613"/>
    </row>
    <row r="614" spans="1:10" x14ac:dyDescent="0.35">
      <c r="A614"/>
      <c r="B614"/>
      <c r="C614"/>
      <c r="D614"/>
      <c r="E614"/>
      <c r="F614"/>
      <c r="G614"/>
      <c r="H614"/>
      <c r="I614"/>
      <c r="J614"/>
    </row>
    <row r="615" spans="1:10" x14ac:dyDescent="0.35">
      <c r="A615"/>
      <c r="B615"/>
      <c r="C615"/>
      <c r="D615"/>
      <c r="E615"/>
      <c r="F615"/>
      <c r="G615"/>
      <c r="H615"/>
      <c r="I615"/>
      <c r="J615"/>
    </row>
    <row r="616" spans="1:10" x14ac:dyDescent="0.35">
      <c r="A616"/>
      <c r="B616"/>
      <c r="C616"/>
      <c r="D616"/>
      <c r="E616"/>
      <c r="F616"/>
      <c r="G616"/>
      <c r="H616"/>
      <c r="I616"/>
      <c r="J616"/>
    </row>
    <row r="617" spans="1:10" x14ac:dyDescent="0.35">
      <c r="A617"/>
      <c r="B617"/>
      <c r="C617"/>
      <c r="D617"/>
      <c r="E617"/>
      <c r="F617"/>
      <c r="G617"/>
      <c r="H617"/>
      <c r="I617"/>
      <c r="J617"/>
    </row>
    <row r="618" spans="1:10" x14ac:dyDescent="0.35">
      <c r="A618"/>
      <c r="B618"/>
      <c r="C618"/>
      <c r="D618"/>
      <c r="E618"/>
      <c r="F618"/>
      <c r="G618"/>
      <c r="H618"/>
      <c r="I618"/>
      <c r="J618"/>
    </row>
    <row r="619" spans="1:10" x14ac:dyDescent="0.35">
      <c r="A619"/>
      <c r="B619"/>
      <c r="C619"/>
      <c r="D619"/>
      <c r="E619"/>
      <c r="F619"/>
      <c r="G619"/>
      <c r="H619"/>
      <c r="I619"/>
      <c r="J619"/>
    </row>
    <row r="620" spans="1:10" x14ac:dyDescent="0.35">
      <c r="A620"/>
      <c r="B620"/>
      <c r="C620"/>
      <c r="D620"/>
      <c r="E620"/>
      <c r="F620"/>
      <c r="G620"/>
      <c r="H620"/>
      <c r="I620"/>
      <c r="J620"/>
    </row>
    <row r="621" spans="1:10" x14ac:dyDescent="0.35">
      <c r="A621"/>
      <c r="B621"/>
      <c r="C621"/>
      <c r="D621"/>
      <c r="E621"/>
      <c r="F621"/>
      <c r="G621"/>
      <c r="H621"/>
      <c r="I621"/>
      <c r="J621"/>
    </row>
    <row r="622" spans="1:10" x14ac:dyDescent="0.35">
      <c r="A622"/>
      <c r="B622"/>
      <c r="C622"/>
      <c r="D622"/>
      <c r="E622"/>
      <c r="F622"/>
      <c r="G622"/>
      <c r="H622"/>
      <c r="I622"/>
      <c r="J622"/>
    </row>
    <row r="623" spans="1:10" x14ac:dyDescent="0.35">
      <c r="A623"/>
      <c r="B623"/>
      <c r="C623"/>
      <c r="D623"/>
      <c r="E623"/>
      <c r="F623"/>
      <c r="G623"/>
      <c r="H623"/>
      <c r="I623"/>
      <c r="J623"/>
    </row>
    <row r="624" spans="1:10" x14ac:dyDescent="0.35">
      <c r="A624"/>
      <c r="B624"/>
      <c r="C624"/>
      <c r="D624"/>
      <c r="E624"/>
      <c r="F624"/>
      <c r="G624"/>
      <c r="H624"/>
      <c r="I624"/>
      <c r="J624"/>
    </row>
    <row r="625" spans="1:10" x14ac:dyDescent="0.35">
      <c r="A625"/>
      <c r="B625"/>
      <c r="C625"/>
      <c r="D625"/>
      <c r="E625"/>
      <c r="F625"/>
      <c r="G625"/>
      <c r="H625"/>
      <c r="I625"/>
      <c r="J625"/>
    </row>
    <row r="626" spans="1:10" x14ac:dyDescent="0.35">
      <c r="A626"/>
      <c r="B626"/>
      <c r="C626"/>
      <c r="D626"/>
      <c r="E626"/>
      <c r="F626"/>
      <c r="G626"/>
      <c r="H626"/>
      <c r="I626"/>
      <c r="J626"/>
    </row>
    <row r="627" spans="1:10" x14ac:dyDescent="0.35">
      <c r="A627"/>
      <c r="B627"/>
      <c r="C627"/>
      <c r="D627"/>
      <c r="E627"/>
      <c r="F627"/>
      <c r="G627"/>
      <c r="H627"/>
      <c r="I627"/>
      <c r="J627"/>
    </row>
    <row r="628" spans="1:10" x14ac:dyDescent="0.35">
      <c r="A628"/>
      <c r="B628"/>
      <c r="C628"/>
      <c r="D628"/>
      <c r="E628"/>
      <c r="F628"/>
      <c r="G628"/>
      <c r="H628"/>
      <c r="I628"/>
      <c r="J628"/>
    </row>
    <row r="629" spans="1:10" x14ac:dyDescent="0.35">
      <c r="A629"/>
      <c r="B629"/>
      <c r="C629"/>
      <c r="D629"/>
      <c r="E629"/>
      <c r="F629"/>
      <c r="G629"/>
      <c r="H629"/>
      <c r="I629"/>
      <c r="J629"/>
    </row>
    <row r="630" spans="1:10" x14ac:dyDescent="0.35">
      <c r="A630"/>
      <c r="B630"/>
      <c r="C630"/>
      <c r="D630"/>
      <c r="E630"/>
      <c r="F630"/>
      <c r="G630"/>
      <c r="H630"/>
      <c r="I630"/>
      <c r="J630"/>
    </row>
    <row r="631" spans="1:10" x14ac:dyDescent="0.35">
      <c r="A631"/>
      <c r="B631"/>
      <c r="C631"/>
      <c r="D631"/>
      <c r="E631"/>
      <c r="F631"/>
      <c r="G631"/>
      <c r="H631"/>
      <c r="I631"/>
      <c r="J631"/>
    </row>
    <row r="632" spans="1:10" x14ac:dyDescent="0.35">
      <c r="A632"/>
      <c r="B632"/>
      <c r="C632"/>
      <c r="D632"/>
      <c r="E632"/>
      <c r="F632"/>
      <c r="G632"/>
      <c r="H632"/>
      <c r="I632"/>
      <c r="J632"/>
    </row>
    <row r="633" spans="1:10" x14ac:dyDescent="0.35">
      <c r="A633"/>
      <c r="B633"/>
      <c r="C633"/>
      <c r="D633"/>
      <c r="E633"/>
      <c r="F633"/>
      <c r="G633"/>
      <c r="H633"/>
      <c r="I633"/>
      <c r="J633"/>
    </row>
    <row r="634" spans="1:10" x14ac:dyDescent="0.35">
      <c r="A634"/>
      <c r="B634"/>
      <c r="C634"/>
      <c r="D634"/>
      <c r="E634"/>
      <c r="F634"/>
      <c r="G634"/>
      <c r="H634"/>
      <c r="I634"/>
      <c r="J634"/>
    </row>
    <row r="635" spans="1:10" x14ac:dyDescent="0.35">
      <c r="A635"/>
      <c r="B635"/>
      <c r="C635"/>
      <c r="D635"/>
      <c r="E635"/>
      <c r="F635"/>
      <c r="G635"/>
      <c r="H635"/>
      <c r="I635"/>
      <c r="J635"/>
    </row>
    <row r="636" spans="1:10" x14ac:dyDescent="0.35">
      <c r="A636"/>
      <c r="B636"/>
      <c r="C636"/>
      <c r="D636"/>
      <c r="E636"/>
      <c r="F636"/>
      <c r="G636"/>
      <c r="H636"/>
      <c r="I636"/>
      <c r="J636"/>
    </row>
    <row r="637" spans="1:10" x14ac:dyDescent="0.35">
      <c r="A637"/>
      <c r="B637"/>
      <c r="C637"/>
      <c r="D637"/>
      <c r="E637"/>
      <c r="F637"/>
      <c r="G637"/>
      <c r="H637"/>
      <c r="I637"/>
      <c r="J637"/>
    </row>
    <row r="638" spans="1:10" x14ac:dyDescent="0.35">
      <c r="A638"/>
      <c r="B638"/>
      <c r="C638"/>
      <c r="D638"/>
      <c r="E638"/>
      <c r="F638"/>
      <c r="G638"/>
      <c r="H638"/>
      <c r="I638"/>
      <c r="J638"/>
    </row>
    <row r="639" spans="1:10" x14ac:dyDescent="0.35">
      <c r="A639"/>
      <c r="B639"/>
      <c r="C639"/>
      <c r="D639"/>
      <c r="E639"/>
      <c r="F639"/>
      <c r="G639"/>
      <c r="H639"/>
      <c r="I639"/>
      <c r="J639"/>
    </row>
    <row r="640" spans="1:10" x14ac:dyDescent="0.35">
      <c r="A640"/>
      <c r="B640"/>
      <c r="C640"/>
      <c r="D640"/>
      <c r="E640"/>
      <c r="F640"/>
      <c r="G640"/>
      <c r="H640"/>
      <c r="I640"/>
      <c r="J640"/>
    </row>
    <row r="641" spans="1:10" x14ac:dyDescent="0.35">
      <c r="A641"/>
      <c r="B641"/>
      <c r="C641"/>
      <c r="D641"/>
      <c r="E641"/>
      <c r="F641"/>
      <c r="G641"/>
      <c r="H641"/>
      <c r="I641"/>
      <c r="J641"/>
    </row>
    <row r="642" spans="1:10" x14ac:dyDescent="0.35">
      <c r="A642"/>
      <c r="B642"/>
      <c r="C642"/>
      <c r="D642"/>
      <c r="E642"/>
      <c r="F642"/>
      <c r="G642"/>
      <c r="H642"/>
      <c r="I642"/>
      <c r="J642"/>
    </row>
    <row r="643" spans="1:10" x14ac:dyDescent="0.35">
      <c r="A643"/>
      <c r="B643"/>
      <c r="C643"/>
      <c r="D643"/>
      <c r="E643"/>
      <c r="F643"/>
      <c r="G643"/>
      <c r="H643"/>
      <c r="I643"/>
      <c r="J643"/>
    </row>
    <row r="644" spans="1:10" x14ac:dyDescent="0.35">
      <c r="A644"/>
      <c r="B644"/>
      <c r="C644"/>
      <c r="D644"/>
      <c r="E644"/>
      <c r="F644"/>
      <c r="G644"/>
      <c r="H644"/>
      <c r="I644"/>
      <c r="J644"/>
    </row>
    <row r="645" spans="1:10" x14ac:dyDescent="0.35">
      <c r="A645"/>
      <c r="B645"/>
      <c r="C645"/>
      <c r="D645"/>
      <c r="E645"/>
      <c r="F645"/>
      <c r="G645"/>
      <c r="H645"/>
      <c r="I645"/>
      <c r="J645"/>
    </row>
    <row r="646" spans="1:10" x14ac:dyDescent="0.35">
      <c r="A646"/>
      <c r="B646"/>
      <c r="C646"/>
      <c r="D646"/>
      <c r="E646"/>
      <c r="F646"/>
      <c r="G646"/>
      <c r="H646"/>
      <c r="I646"/>
      <c r="J646"/>
    </row>
    <row r="647" spans="1:10" x14ac:dyDescent="0.35">
      <c r="A647"/>
      <c r="B647"/>
      <c r="C647"/>
      <c r="D647"/>
      <c r="E647"/>
      <c r="F647"/>
      <c r="G647"/>
      <c r="H647"/>
      <c r="I647"/>
      <c r="J647"/>
    </row>
    <row r="648" spans="1:10" x14ac:dyDescent="0.35">
      <c r="A648"/>
      <c r="B648"/>
      <c r="C648"/>
      <c r="D648"/>
      <c r="E648"/>
      <c r="F648"/>
      <c r="G648"/>
      <c r="H648"/>
      <c r="I648"/>
      <c r="J648"/>
    </row>
    <row r="649" spans="1:10" x14ac:dyDescent="0.35">
      <c r="A649"/>
      <c r="B649"/>
      <c r="C649"/>
      <c r="D649"/>
      <c r="E649"/>
      <c r="F649"/>
      <c r="G649"/>
      <c r="H649"/>
      <c r="I649"/>
      <c r="J649"/>
    </row>
    <row r="650" spans="1:10" x14ac:dyDescent="0.35">
      <c r="A650"/>
      <c r="B650"/>
      <c r="C650"/>
      <c r="D650"/>
      <c r="E650"/>
      <c r="F650"/>
      <c r="G650"/>
      <c r="H650"/>
      <c r="I650"/>
      <c r="J650"/>
    </row>
    <row r="651" spans="1:10" x14ac:dyDescent="0.35">
      <c r="A651"/>
      <c r="B651"/>
      <c r="C651"/>
      <c r="D651"/>
      <c r="E651"/>
      <c r="F651"/>
      <c r="G651"/>
      <c r="H651"/>
      <c r="I651"/>
      <c r="J651"/>
    </row>
    <row r="652" spans="1:10" x14ac:dyDescent="0.35">
      <c r="A652"/>
      <c r="B652"/>
      <c r="C652"/>
      <c r="D652"/>
      <c r="E652"/>
      <c r="F652"/>
      <c r="G652"/>
      <c r="H652"/>
      <c r="I652"/>
      <c r="J652"/>
    </row>
    <row r="653" spans="1:10" x14ac:dyDescent="0.35">
      <c r="A653"/>
      <c r="B653"/>
      <c r="C653"/>
      <c r="D653"/>
      <c r="E653"/>
      <c r="F653"/>
      <c r="G653"/>
      <c r="H653"/>
      <c r="I653"/>
      <c r="J653"/>
    </row>
    <row r="654" spans="1:10" x14ac:dyDescent="0.35">
      <c r="A654"/>
      <c r="B654"/>
      <c r="C654"/>
      <c r="D654"/>
      <c r="E654"/>
      <c r="F654"/>
      <c r="G654"/>
      <c r="H654"/>
      <c r="I654"/>
      <c r="J654"/>
    </row>
    <row r="655" spans="1:10" x14ac:dyDescent="0.35">
      <c r="A655"/>
      <c r="B655"/>
      <c r="C655"/>
      <c r="D655"/>
      <c r="E655"/>
      <c r="F655"/>
      <c r="G655"/>
      <c r="H655"/>
      <c r="I655"/>
      <c r="J655"/>
    </row>
    <row r="656" spans="1:10" x14ac:dyDescent="0.35">
      <c r="A656"/>
      <c r="B656"/>
      <c r="C656"/>
      <c r="D656"/>
      <c r="E656"/>
      <c r="F656"/>
      <c r="G656"/>
      <c r="H656"/>
      <c r="I656"/>
      <c r="J656"/>
    </row>
    <row r="657" spans="1:10" x14ac:dyDescent="0.35">
      <c r="A657"/>
      <c r="B657"/>
      <c r="C657"/>
      <c r="D657"/>
      <c r="E657"/>
      <c r="F657"/>
      <c r="G657"/>
      <c r="H657"/>
      <c r="I657"/>
      <c r="J657"/>
    </row>
    <row r="658" spans="1:10" x14ac:dyDescent="0.35">
      <c r="A658"/>
      <c r="B658"/>
      <c r="C658"/>
      <c r="D658"/>
      <c r="E658"/>
      <c r="F658"/>
      <c r="G658"/>
      <c r="H658"/>
      <c r="I658"/>
      <c r="J658"/>
    </row>
    <row r="659" spans="1:10" x14ac:dyDescent="0.35">
      <c r="A659"/>
      <c r="B659"/>
      <c r="C659"/>
      <c r="D659"/>
      <c r="E659"/>
      <c r="F659"/>
      <c r="G659"/>
      <c r="H659"/>
      <c r="I659"/>
      <c r="J659"/>
    </row>
    <row r="660" spans="1:10" x14ac:dyDescent="0.35">
      <c r="A660"/>
      <c r="B660"/>
      <c r="C660"/>
      <c r="D660"/>
      <c r="E660"/>
      <c r="F660"/>
      <c r="G660"/>
      <c r="H660"/>
      <c r="I660"/>
      <c r="J660"/>
    </row>
    <row r="661" spans="1:10" x14ac:dyDescent="0.35">
      <c r="A661"/>
      <c r="B661"/>
      <c r="C661"/>
      <c r="D661"/>
      <c r="E661"/>
      <c r="F661"/>
      <c r="G661"/>
      <c r="H661"/>
      <c r="I661"/>
      <c r="J661"/>
    </row>
    <row r="662" spans="1:10" x14ac:dyDescent="0.35">
      <c r="A662"/>
      <c r="B662"/>
      <c r="C662"/>
      <c r="D662"/>
      <c r="E662"/>
      <c r="F662"/>
      <c r="G662"/>
      <c r="H662"/>
      <c r="I662"/>
      <c r="J662"/>
    </row>
    <row r="663" spans="1:10" x14ac:dyDescent="0.35">
      <c r="A663"/>
      <c r="B663"/>
      <c r="C663"/>
      <c r="D663"/>
      <c r="E663"/>
      <c r="F663"/>
      <c r="G663"/>
      <c r="H663"/>
      <c r="I663"/>
      <c r="J663"/>
    </row>
    <row r="664" spans="1:10" x14ac:dyDescent="0.35">
      <c r="A664"/>
      <c r="B664"/>
      <c r="C664"/>
      <c r="D664"/>
      <c r="E664"/>
      <c r="F664"/>
      <c r="G664"/>
      <c r="H664"/>
      <c r="I664"/>
      <c r="J664"/>
    </row>
    <row r="665" spans="1:10" x14ac:dyDescent="0.35">
      <c r="A665"/>
      <c r="B665"/>
      <c r="C665"/>
      <c r="D665"/>
      <c r="E665"/>
      <c r="F665"/>
      <c r="G665"/>
      <c r="H665"/>
      <c r="I665"/>
      <c r="J665"/>
    </row>
    <row r="666" spans="1:10" x14ac:dyDescent="0.35">
      <c r="A666"/>
      <c r="B666"/>
      <c r="C666"/>
      <c r="D666"/>
      <c r="E666"/>
      <c r="F666"/>
      <c r="G666"/>
      <c r="H666"/>
      <c r="I666"/>
      <c r="J666"/>
    </row>
    <row r="667" spans="1:10" x14ac:dyDescent="0.35">
      <c r="A667"/>
      <c r="B667"/>
      <c r="C667"/>
      <c r="D667"/>
      <c r="E667"/>
      <c r="F667"/>
      <c r="G667"/>
      <c r="H667"/>
      <c r="I667"/>
      <c r="J667"/>
    </row>
    <row r="668" spans="1:10" x14ac:dyDescent="0.35">
      <c r="A668"/>
      <c r="B668"/>
      <c r="C668"/>
      <c r="D668"/>
      <c r="E668"/>
      <c r="F668"/>
      <c r="G668"/>
      <c r="H668"/>
      <c r="I668"/>
      <c r="J668"/>
    </row>
    <row r="669" spans="1:10" x14ac:dyDescent="0.35">
      <c r="A669"/>
      <c r="B669"/>
      <c r="C669"/>
      <c r="D669"/>
      <c r="E669"/>
      <c r="F669"/>
      <c r="G669"/>
      <c r="H669"/>
      <c r="I669"/>
      <c r="J669"/>
    </row>
    <row r="670" spans="1:10" x14ac:dyDescent="0.35">
      <c r="A670"/>
      <c r="B670"/>
      <c r="C670"/>
      <c r="D670"/>
      <c r="E670"/>
      <c r="F670"/>
      <c r="G670"/>
      <c r="H670"/>
      <c r="I670"/>
      <c r="J670"/>
    </row>
    <row r="671" spans="1:10" x14ac:dyDescent="0.35">
      <c r="A671"/>
      <c r="B671"/>
      <c r="C671"/>
      <c r="D671"/>
      <c r="E671"/>
      <c r="F671"/>
      <c r="G671"/>
      <c r="H671"/>
      <c r="I671"/>
      <c r="J671"/>
    </row>
    <row r="672" spans="1:10" x14ac:dyDescent="0.35">
      <c r="A672"/>
      <c r="B672"/>
      <c r="C672"/>
      <c r="D672"/>
      <c r="E672"/>
      <c r="F672"/>
      <c r="G672"/>
      <c r="H672"/>
      <c r="I672"/>
      <c r="J672"/>
    </row>
    <row r="673" spans="1:10" x14ac:dyDescent="0.35">
      <c r="A673"/>
      <c r="B673"/>
      <c r="C673"/>
      <c r="D673"/>
      <c r="E673"/>
      <c r="F673"/>
      <c r="G673"/>
      <c r="H673"/>
      <c r="I673"/>
      <c r="J673"/>
    </row>
    <row r="674" spans="1:10" x14ac:dyDescent="0.35">
      <c r="A674"/>
      <c r="B674"/>
      <c r="C674"/>
      <c r="D674"/>
      <c r="E674"/>
      <c r="F674"/>
      <c r="G674"/>
      <c r="H674"/>
      <c r="I674"/>
      <c r="J674"/>
    </row>
    <row r="675" spans="1:10" x14ac:dyDescent="0.35">
      <c r="A675"/>
      <c r="B675"/>
      <c r="C675"/>
      <c r="D675"/>
      <c r="E675"/>
      <c r="F675"/>
      <c r="G675"/>
      <c r="H675"/>
      <c r="I675"/>
      <c r="J675"/>
    </row>
    <row r="676" spans="1:10" x14ac:dyDescent="0.35">
      <c r="A676"/>
      <c r="B676"/>
      <c r="C676"/>
      <c r="D676"/>
      <c r="E676"/>
      <c r="F676"/>
      <c r="G676"/>
      <c r="H676"/>
      <c r="I676"/>
      <c r="J676"/>
    </row>
    <row r="677" spans="1:10" x14ac:dyDescent="0.35">
      <c r="A677"/>
      <c r="B677"/>
      <c r="C677"/>
      <c r="D677"/>
      <c r="E677"/>
      <c r="F677"/>
      <c r="G677"/>
      <c r="H677"/>
      <c r="I677"/>
      <c r="J677"/>
    </row>
    <row r="678" spans="1:10" x14ac:dyDescent="0.35">
      <c r="A678"/>
      <c r="B678"/>
      <c r="C678"/>
      <c r="D678"/>
      <c r="E678"/>
      <c r="F678"/>
      <c r="G678"/>
      <c r="H678"/>
      <c r="I678"/>
      <c r="J678"/>
    </row>
    <row r="679" spans="1:10" x14ac:dyDescent="0.35">
      <c r="A679"/>
      <c r="B679"/>
      <c r="C679"/>
      <c r="D679"/>
      <c r="E679"/>
      <c r="F679"/>
      <c r="G679"/>
      <c r="H679"/>
      <c r="I679"/>
      <c r="J679"/>
    </row>
    <row r="680" spans="1:10" x14ac:dyDescent="0.35">
      <c r="A680"/>
      <c r="B680"/>
      <c r="C680"/>
      <c r="D680"/>
      <c r="E680"/>
      <c r="F680"/>
      <c r="G680"/>
      <c r="H680"/>
      <c r="I680"/>
      <c r="J680"/>
    </row>
    <row r="681" spans="1:10" x14ac:dyDescent="0.35">
      <c r="A681"/>
      <c r="B681"/>
      <c r="C681"/>
      <c r="D681"/>
      <c r="E681"/>
      <c r="F681"/>
      <c r="G681"/>
      <c r="H681"/>
      <c r="I681"/>
      <c r="J681"/>
    </row>
    <row r="682" spans="1:10" x14ac:dyDescent="0.35">
      <c r="A682"/>
      <c r="B682"/>
      <c r="C682"/>
      <c r="D682"/>
      <c r="E682"/>
      <c r="F682"/>
      <c r="G682"/>
      <c r="H682"/>
      <c r="I682"/>
      <c r="J682"/>
    </row>
    <row r="683" spans="1:10" x14ac:dyDescent="0.35">
      <c r="A683"/>
      <c r="B683"/>
      <c r="C683"/>
      <c r="D683"/>
      <c r="E683"/>
      <c r="F683"/>
      <c r="G683"/>
      <c r="H683"/>
      <c r="I683"/>
      <c r="J683"/>
    </row>
    <row r="684" spans="1:10" x14ac:dyDescent="0.35">
      <c r="A684"/>
      <c r="B684"/>
      <c r="C684"/>
      <c r="D684"/>
      <c r="E684"/>
      <c r="F684"/>
      <c r="G684"/>
      <c r="H684"/>
      <c r="I684"/>
      <c r="J684"/>
    </row>
    <row r="685" spans="1:10" x14ac:dyDescent="0.35">
      <c r="A685"/>
      <c r="B685"/>
      <c r="C685"/>
      <c r="D685"/>
      <c r="E685"/>
      <c r="F685"/>
      <c r="G685"/>
      <c r="H685"/>
      <c r="I685"/>
      <c r="J685"/>
    </row>
    <row r="686" spans="1:10" x14ac:dyDescent="0.35">
      <c r="A686"/>
      <c r="B686"/>
      <c r="C686"/>
      <c r="D686"/>
      <c r="E686"/>
      <c r="F686"/>
      <c r="G686"/>
      <c r="H686"/>
      <c r="I686"/>
      <c r="J686"/>
    </row>
    <row r="687" spans="1:10" x14ac:dyDescent="0.35">
      <c r="A687"/>
      <c r="B687"/>
      <c r="C687"/>
      <c r="D687"/>
      <c r="E687"/>
      <c r="F687"/>
      <c r="G687"/>
      <c r="H687"/>
      <c r="I687"/>
      <c r="J687"/>
    </row>
    <row r="688" spans="1:10" x14ac:dyDescent="0.35">
      <c r="A688"/>
      <c r="B688"/>
      <c r="C688"/>
      <c r="D688"/>
      <c r="E688"/>
      <c r="F688"/>
      <c r="G688"/>
      <c r="H688"/>
      <c r="I688"/>
      <c r="J688"/>
    </row>
    <row r="689" spans="1:10" x14ac:dyDescent="0.35">
      <c r="A689"/>
      <c r="B689"/>
      <c r="C689"/>
      <c r="D689"/>
      <c r="E689"/>
      <c r="F689"/>
      <c r="G689"/>
      <c r="H689"/>
      <c r="I689"/>
      <c r="J689"/>
    </row>
    <row r="690" spans="1:10" x14ac:dyDescent="0.35">
      <c r="A690"/>
      <c r="B690"/>
      <c r="C690"/>
      <c r="D690"/>
      <c r="E690"/>
      <c r="F690"/>
      <c r="G690"/>
      <c r="H690"/>
      <c r="I690"/>
      <c r="J690"/>
    </row>
    <row r="691" spans="1:10" x14ac:dyDescent="0.35">
      <c r="A691"/>
      <c r="B691"/>
      <c r="C691"/>
      <c r="D691"/>
      <c r="E691"/>
      <c r="F691"/>
      <c r="G691"/>
      <c r="H691"/>
      <c r="I691"/>
      <c r="J691"/>
    </row>
    <row r="692" spans="1:10" x14ac:dyDescent="0.35">
      <c r="A692"/>
      <c r="B692"/>
      <c r="C692"/>
      <c r="D692"/>
      <c r="E692"/>
      <c r="F692"/>
      <c r="G692"/>
      <c r="H692"/>
      <c r="I692"/>
      <c r="J692"/>
    </row>
    <row r="693" spans="1:10" x14ac:dyDescent="0.35">
      <c r="A693"/>
      <c r="B693"/>
      <c r="C693"/>
      <c r="D693"/>
      <c r="E693"/>
      <c r="F693"/>
      <c r="G693"/>
      <c r="H693"/>
      <c r="I693"/>
      <c r="J693"/>
    </row>
    <row r="694" spans="1:10" x14ac:dyDescent="0.35">
      <c r="A694"/>
      <c r="B694"/>
      <c r="C694"/>
      <c r="D694"/>
      <c r="E694"/>
      <c r="F694"/>
      <c r="G694"/>
      <c r="H694"/>
      <c r="I694"/>
      <c r="J694"/>
    </row>
    <row r="695" spans="1:10" x14ac:dyDescent="0.35">
      <c r="A695"/>
      <c r="B695"/>
      <c r="C695"/>
      <c r="D695"/>
      <c r="E695"/>
      <c r="F695"/>
      <c r="G695"/>
      <c r="H695"/>
      <c r="I695"/>
      <c r="J695"/>
    </row>
    <row r="696" spans="1:10" x14ac:dyDescent="0.35">
      <c r="A696"/>
      <c r="B696"/>
      <c r="C696"/>
      <c r="D696"/>
      <c r="E696"/>
      <c r="F696"/>
      <c r="G696"/>
      <c r="H696"/>
      <c r="I696"/>
      <c r="J696"/>
    </row>
    <row r="697" spans="1:10" x14ac:dyDescent="0.35">
      <c r="A697"/>
      <c r="B697"/>
      <c r="C697"/>
      <c r="D697"/>
      <c r="E697"/>
      <c r="F697"/>
      <c r="G697"/>
      <c r="H697"/>
      <c r="I697"/>
      <c r="J697"/>
    </row>
    <row r="698" spans="1:10" x14ac:dyDescent="0.35">
      <c r="A698"/>
      <c r="B698"/>
      <c r="C698"/>
      <c r="D698"/>
      <c r="E698"/>
      <c r="F698"/>
      <c r="G698"/>
      <c r="H698"/>
      <c r="I698"/>
      <c r="J698"/>
    </row>
    <row r="699" spans="1:10" x14ac:dyDescent="0.35">
      <c r="A699"/>
      <c r="B699"/>
      <c r="C699"/>
      <c r="D699"/>
      <c r="E699"/>
      <c r="F699"/>
      <c r="G699"/>
      <c r="H699"/>
      <c r="I699"/>
      <c r="J699"/>
    </row>
    <row r="700" spans="1:10" x14ac:dyDescent="0.35">
      <c r="A700"/>
      <c r="B700"/>
      <c r="C700"/>
      <c r="D700"/>
      <c r="E700"/>
      <c r="F700"/>
      <c r="G700"/>
      <c r="H700"/>
      <c r="I700"/>
      <c r="J700"/>
    </row>
    <row r="701" spans="1:10" x14ac:dyDescent="0.35">
      <c r="A701"/>
      <c r="B701"/>
      <c r="C701"/>
      <c r="D701"/>
      <c r="E701"/>
      <c r="F701"/>
      <c r="G701"/>
      <c r="H701"/>
      <c r="I701"/>
      <c r="J701"/>
    </row>
    <row r="702" spans="1:10" x14ac:dyDescent="0.35">
      <c r="A702"/>
      <c r="B702"/>
      <c r="C702"/>
      <c r="D702"/>
      <c r="E702"/>
      <c r="F702"/>
      <c r="G702"/>
      <c r="H702"/>
      <c r="I702"/>
      <c r="J702"/>
    </row>
    <row r="703" spans="1:10" x14ac:dyDescent="0.35">
      <c r="A703"/>
      <c r="B703"/>
      <c r="C703"/>
      <c r="D703"/>
      <c r="E703"/>
      <c r="F703"/>
      <c r="G703"/>
      <c r="H703"/>
      <c r="I703"/>
      <c r="J703"/>
    </row>
    <row r="704" spans="1:10" x14ac:dyDescent="0.35">
      <c r="A704"/>
      <c r="B704"/>
      <c r="C704"/>
      <c r="D704"/>
      <c r="E704"/>
      <c r="F704"/>
      <c r="G704"/>
      <c r="H704"/>
      <c r="I704"/>
      <c r="J704"/>
    </row>
    <row r="705" spans="1:10" x14ac:dyDescent="0.35">
      <c r="A705"/>
      <c r="B705"/>
      <c r="C705"/>
      <c r="D705"/>
      <c r="E705"/>
      <c r="F705"/>
      <c r="G705"/>
      <c r="H705"/>
      <c r="I705"/>
      <c r="J705"/>
    </row>
    <row r="706" spans="1:10" x14ac:dyDescent="0.35">
      <c r="A706"/>
      <c r="B706"/>
      <c r="C706"/>
      <c r="D706"/>
      <c r="E706"/>
      <c r="F706"/>
      <c r="G706"/>
      <c r="H706"/>
      <c r="I706"/>
      <c r="J706"/>
    </row>
    <row r="707" spans="1:10" x14ac:dyDescent="0.35">
      <c r="A707"/>
      <c r="B707"/>
      <c r="C707"/>
      <c r="D707"/>
      <c r="E707"/>
      <c r="F707"/>
      <c r="G707"/>
      <c r="H707"/>
      <c r="I707"/>
      <c r="J707"/>
    </row>
    <row r="708" spans="1:10" x14ac:dyDescent="0.35">
      <c r="A708"/>
      <c r="B708"/>
      <c r="C708"/>
      <c r="D708"/>
      <c r="E708"/>
      <c r="F708"/>
      <c r="G708"/>
      <c r="H708"/>
      <c r="I708"/>
      <c r="J708"/>
    </row>
    <row r="709" spans="1:10" x14ac:dyDescent="0.35">
      <c r="A709"/>
      <c r="B709"/>
      <c r="C709"/>
      <c r="D709"/>
      <c r="E709"/>
      <c r="F709"/>
      <c r="G709"/>
      <c r="H709"/>
      <c r="I709"/>
      <c r="J709"/>
    </row>
    <row r="710" spans="1:10" x14ac:dyDescent="0.35">
      <c r="A710"/>
      <c r="B710"/>
      <c r="C710"/>
      <c r="D710"/>
      <c r="E710"/>
      <c r="F710"/>
      <c r="G710"/>
      <c r="H710"/>
      <c r="I710"/>
      <c r="J710"/>
    </row>
    <row r="711" spans="1:10" x14ac:dyDescent="0.35">
      <c r="A711"/>
      <c r="B711"/>
      <c r="C711"/>
      <c r="D711"/>
      <c r="E711"/>
      <c r="F711"/>
      <c r="G711"/>
      <c r="H711"/>
      <c r="I711"/>
      <c r="J711"/>
    </row>
    <row r="712" spans="1:10" x14ac:dyDescent="0.35">
      <c r="A712"/>
      <c r="B712"/>
      <c r="C712"/>
      <c r="D712"/>
      <c r="E712"/>
      <c r="F712"/>
      <c r="G712"/>
      <c r="H712"/>
      <c r="I712"/>
      <c r="J712"/>
    </row>
    <row r="713" spans="1:10" x14ac:dyDescent="0.35">
      <c r="A713"/>
      <c r="B713"/>
      <c r="C713"/>
      <c r="D713"/>
      <c r="E713"/>
      <c r="F713"/>
      <c r="G713"/>
      <c r="H713"/>
      <c r="I713"/>
      <c r="J713"/>
    </row>
    <row r="714" spans="1:10" x14ac:dyDescent="0.35">
      <c r="A714"/>
      <c r="B714"/>
      <c r="C714"/>
      <c r="D714"/>
      <c r="E714"/>
      <c r="F714"/>
      <c r="G714"/>
      <c r="H714"/>
      <c r="I714"/>
      <c r="J714"/>
    </row>
    <row r="715" spans="1:10" x14ac:dyDescent="0.35">
      <c r="A715"/>
      <c r="B715"/>
      <c r="C715"/>
      <c r="D715"/>
      <c r="E715"/>
      <c r="F715"/>
      <c r="G715"/>
      <c r="H715"/>
      <c r="I715"/>
      <c r="J715"/>
    </row>
    <row r="716" spans="1:10" x14ac:dyDescent="0.35">
      <c r="A716"/>
      <c r="B716"/>
      <c r="C716"/>
      <c r="D716"/>
      <c r="E716"/>
      <c r="F716"/>
      <c r="G716"/>
      <c r="H716"/>
      <c r="I716"/>
      <c r="J716"/>
    </row>
    <row r="717" spans="1:10" x14ac:dyDescent="0.35">
      <c r="A717"/>
      <c r="B717"/>
      <c r="C717"/>
      <c r="D717"/>
      <c r="E717"/>
      <c r="F717"/>
      <c r="G717"/>
      <c r="H717"/>
      <c r="I717"/>
      <c r="J717"/>
    </row>
    <row r="718" spans="1:10" x14ac:dyDescent="0.35">
      <c r="A718"/>
      <c r="B718"/>
      <c r="C718"/>
      <c r="D718"/>
      <c r="E718"/>
      <c r="F718"/>
      <c r="G718"/>
      <c r="H718"/>
      <c r="I718"/>
      <c r="J718"/>
    </row>
    <row r="719" spans="1:10" x14ac:dyDescent="0.35">
      <c r="A719"/>
      <c r="B719"/>
      <c r="C719"/>
      <c r="D719"/>
      <c r="E719"/>
      <c r="F719"/>
      <c r="G719"/>
      <c r="H719"/>
      <c r="I719"/>
      <c r="J719"/>
    </row>
    <row r="720" spans="1:10" x14ac:dyDescent="0.35">
      <c r="A720"/>
      <c r="B720"/>
      <c r="C720"/>
      <c r="D720"/>
      <c r="E720"/>
      <c r="F720"/>
      <c r="G720"/>
      <c r="H720"/>
      <c r="I720"/>
      <c r="J720"/>
    </row>
    <row r="721" spans="1:10" x14ac:dyDescent="0.35">
      <c r="A721"/>
      <c r="B721"/>
      <c r="C721"/>
      <c r="D721"/>
      <c r="E721"/>
      <c r="F721"/>
      <c r="G721"/>
      <c r="H721"/>
      <c r="I721"/>
      <c r="J721"/>
    </row>
    <row r="722" spans="1:10" x14ac:dyDescent="0.35">
      <c r="A722"/>
      <c r="B722"/>
      <c r="C722"/>
      <c r="D722"/>
      <c r="E722"/>
      <c r="F722"/>
      <c r="G722"/>
      <c r="H722"/>
      <c r="I722"/>
      <c r="J722"/>
    </row>
    <row r="723" spans="1:10" x14ac:dyDescent="0.35">
      <c r="A723"/>
      <c r="B723"/>
      <c r="C723"/>
      <c r="D723"/>
      <c r="E723"/>
      <c r="F723"/>
      <c r="G723"/>
      <c r="H723"/>
      <c r="I723"/>
      <c r="J723"/>
    </row>
    <row r="724" spans="1:10" x14ac:dyDescent="0.35">
      <c r="A724"/>
      <c r="B724"/>
      <c r="C724"/>
      <c r="D724"/>
      <c r="E724"/>
      <c r="F724"/>
      <c r="G724"/>
      <c r="H724"/>
      <c r="I724"/>
      <c r="J724"/>
    </row>
    <row r="725" spans="1:10" x14ac:dyDescent="0.35">
      <c r="A725"/>
      <c r="B725"/>
      <c r="C725"/>
      <c r="D725"/>
      <c r="E725"/>
      <c r="F725"/>
      <c r="G725"/>
      <c r="H725"/>
      <c r="I725"/>
      <c r="J725"/>
    </row>
    <row r="726" spans="1:10" x14ac:dyDescent="0.35">
      <c r="A726"/>
      <c r="B726"/>
      <c r="C726"/>
      <c r="D726"/>
      <c r="E726"/>
      <c r="F726"/>
      <c r="G726"/>
      <c r="H726"/>
      <c r="I726"/>
      <c r="J726"/>
    </row>
    <row r="727" spans="1:10" x14ac:dyDescent="0.35">
      <c r="A727"/>
      <c r="B727"/>
      <c r="C727"/>
      <c r="D727"/>
      <c r="E727"/>
      <c r="F727"/>
      <c r="G727"/>
      <c r="H727"/>
      <c r="I727"/>
      <c r="J727"/>
    </row>
    <row r="728" spans="1:10" x14ac:dyDescent="0.35">
      <c r="A728"/>
      <c r="B728"/>
      <c r="C728"/>
      <c r="D728"/>
      <c r="E728"/>
      <c r="F728"/>
      <c r="G728"/>
      <c r="H728"/>
      <c r="I728"/>
      <c r="J728"/>
    </row>
    <row r="729" spans="1:10" x14ac:dyDescent="0.35">
      <c r="A729"/>
      <c r="B729"/>
      <c r="C729"/>
      <c r="D729"/>
      <c r="E729"/>
      <c r="F729"/>
      <c r="G729"/>
      <c r="H729"/>
      <c r="I729"/>
      <c r="J729"/>
    </row>
    <row r="730" spans="1:10" x14ac:dyDescent="0.35">
      <c r="A730"/>
      <c r="B730"/>
      <c r="C730"/>
      <c r="D730"/>
      <c r="E730"/>
      <c r="F730"/>
      <c r="G730"/>
      <c r="H730"/>
      <c r="I730"/>
      <c r="J730"/>
    </row>
    <row r="731" spans="1:10" x14ac:dyDescent="0.35">
      <c r="A731"/>
      <c r="B731"/>
      <c r="C731"/>
      <c r="D731"/>
      <c r="E731"/>
      <c r="F731"/>
      <c r="G731"/>
      <c r="H731"/>
      <c r="I731"/>
      <c r="J731"/>
    </row>
    <row r="732" spans="1:10" x14ac:dyDescent="0.35">
      <c r="A732"/>
      <c r="B732"/>
      <c r="C732"/>
      <c r="D732"/>
      <c r="E732"/>
      <c r="F732"/>
      <c r="G732"/>
      <c r="H732"/>
      <c r="I732"/>
      <c r="J732"/>
    </row>
    <row r="733" spans="1:10" x14ac:dyDescent="0.35">
      <c r="A733"/>
      <c r="B733"/>
      <c r="C733"/>
      <c r="D733"/>
      <c r="E733"/>
      <c r="F733"/>
      <c r="G733"/>
      <c r="H733"/>
      <c r="I733"/>
      <c r="J733"/>
    </row>
    <row r="734" spans="1:10" x14ac:dyDescent="0.35">
      <c r="A734"/>
      <c r="B734"/>
      <c r="C734"/>
      <c r="D734"/>
      <c r="E734"/>
      <c r="F734"/>
      <c r="G734"/>
      <c r="H734"/>
      <c r="I734"/>
      <c r="J734"/>
    </row>
    <row r="735" spans="1:10" x14ac:dyDescent="0.35">
      <c r="A735"/>
      <c r="B735"/>
      <c r="C735"/>
      <c r="D735"/>
      <c r="E735"/>
      <c r="F735"/>
      <c r="G735"/>
      <c r="H735"/>
      <c r="I735"/>
      <c r="J735"/>
    </row>
    <row r="736" spans="1:10" x14ac:dyDescent="0.35">
      <c r="A736"/>
      <c r="B736"/>
      <c r="C736"/>
      <c r="D736"/>
      <c r="E736"/>
      <c r="F736"/>
      <c r="G736"/>
      <c r="H736"/>
      <c r="I736"/>
      <c r="J736"/>
    </row>
    <row r="737" spans="1:10" x14ac:dyDescent="0.35">
      <c r="A737"/>
      <c r="B737"/>
      <c r="C737"/>
      <c r="D737"/>
      <c r="E737"/>
      <c r="F737"/>
      <c r="G737"/>
      <c r="H737"/>
      <c r="I737"/>
      <c r="J737"/>
    </row>
    <row r="738" spans="1:10" x14ac:dyDescent="0.35">
      <c r="A738"/>
      <c r="B738"/>
      <c r="C738"/>
      <c r="D738"/>
      <c r="E738"/>
      <c r="F738"/>
      <c r="G738"/>
      <c r="H738"/>
      <c r="I738"/>
      <c r="J738"/>
    </row>
    <row r="739" spans="1:10" x14ac:dyDescent="0.35">
      <c r="A739"/>
      <c r="B739"/>
      <c r="C739"/>
      <c r="D739"/>
      <c r="E739"/>
      <c r="F739"/>
      <c r="G739"/>
      <c r="H739"/>
      <c r="I739"/>
      <c r="J739"/>
    </row>
    <row r="740" spans="1:10" x14ac:dyDescent="0.35">
      <c r="A740"/>
      <c r="B740"/>
      <c r="C740"/>
      <c r="D740"/>
      <c r="E740"/>
      <c r="F740"/>
      <c r="G740"/>
      <c r="H740"/>
      <c r="I740"/>
      <c r="J740"/>
    </row>
    <row r="741" spans="1:10" x14ac:dyDescent="0.35">
      <c r="A741"/>
      <c r="B741"/>
      <c r="C741"/>
      <c r="D741"/>
      <c r="E741"/>
      <c r="F741"/>
      <c r="G741"/>
      <c r="H741"/>
      <c r="I741"/>
      <c r="J741"/>
    </row>
    <row r="742" spans="1:10" x14ac:dyDescent="0.35">
      <c r="A742"/>
      <c r="B742"/>
      <c r="C742"/>
      <c r="D742"/>
      <c r="E742"/>
      <c r="F742"/>
      <c r="G742"/>
      <c r="H742"/>
      <c r="I742"/>
      <c r="J742"/>
    </row>
    <row r="743" spans="1:10" x14ac:dyDescent="0.35">
      <c r="A743"/>
      <c r="B743"/>
      <c r="C743"/>
      <c r="D743"/>
      <c r="E743"/>
      <c r="F743"/>
      <c r="G743"/>
      <c r="H743"/>
      <c r="I743"/>
      <c r="J743"/>
    </row>
    <row r="744" spans="1:10" x14ac:dyDescent="0.35">
      <c r="A744"/>
      <c r="B744"/>
      <c r="C744"/>
      <c r="D744"/>
      <c r="E744"/>
      <c r="F744"/>
      <c r="G744"/>
      <c r="H744"/>
      <c r="I744"/>
      <c r="J744"/>
    </row>
    <row r="745" spans="1:10" x14ac:dyDescent="0.35">
      <c r="A745"/>
      <c r="B745"/>
      <c r="C745"/>
      <c r="D745"/>
      <c r="E745"/>
      <c r="F745"/>
      <c r="G745"/>
      <c r="H745"/>
      <c r="I745"/>
      <c r="J745"/>
    </row>
    <row r="746" spans="1:10" x14ac:dyDescent="0.35">
      <c r="A746"/>
      <c r="B746"/>
      <c r="C746"/>
      <c r="D746"/>
      <c r="E746"/>
      <c r="F746"/>
      <c r="G746"/>
      <c r="H746"/>
      <c r="I746"/>
      <c r="J746"/>
    </row>
    <row r="747" spans="1:10" x14ac:dyDescent="0.35">
      <c r="A747"/>
      <c r="B747"/>
      <c r="C747"/>
      <c r="D747"/>
      <c r="E747"/>
      <c r="F747"/>
      <c r="G747"/>
      <c r="H747"/>
      <c r="I747"/>
      <c r="J747"/>
    </row>
    <row r="748" spans="1:10" x14ac:dyDescent="0.35">
      <c r="A748"/>
      <c r="B748"/>
      <c r="C748"/>
      <c r="D748"/>
      <c r="E748"/>
      <c r="F748"/>
      <c r="G748"/>
      <c r="H748"/>
      <c r="I748"/>
      <c r="J748"/>
    </row>
    <row r="749" spans="1:10" x14ac:dyDescent="0.35">
      <c r="A749"/>
      <c r="B749"/>
      <c r="C749"/>
      <c r="D749"/>
      <c r="E749"/>
      <c r="F749"/>
      <c r="G749"/>
      <c r="H749"/>
      <c r="I749"/>
      <c r="J749"/>
    </row>
    <row r="750" spans="1:10" x14ac:dyDescent="0.35">
      <c r="A750"/>
      <c r="B750"/>
      <c r="C750"/>
      <c r="D750"/>
      <c r="E750"/>
      <c r="F750"/>
      <c r="G750"/>
      <c r="H750"/>
      <c r="I750"/>
      <c r="J750"/>
    </row>
    <row r="751" spans="1:10" x14ac:dyDescent="0.35">
      <c r="A751"/>
      <c r="B751"/>
      <c r="C751"/>
      <c r="D751"/>
      <c r="E751"/>
      <c r="F751"/>
      <c r="G751"/>
      <c r="H751"/>
      <c r="I751"/>
      <c r="J751"/>
    </row>
    <row r="752" spans="1:10" x14ac:dyDescent="0.35">
      <c r="A752"/>
      <c r="B752"/>
      <c r="C752"/>
      <c r="D752"/>
      <c r="E752"/>
      <c r="F752"/>
      <c r="G752"/>
      <c r="H752"/>
      <c r="I752"/>
      <c r="J752"/>
    </row>
    <row r="753" spans="1:10" x14ac:dyDescent="0.35">
      <c r="A753"/>
      <c r="B753"/>
      <c r="C753"/>
      <c r="D753"/>
      <c r="E753"/>
      <c r="F753"/>
      <c r="G753"/>
      <c r="H753"/>
      <c r="I753"/>
      <c r="J753"/>
    </row>
    <row r="754" spans="1:10" x14ac:dyDescent="0.35">
      <c r="A754"/>
      <c r="B754"/>
      <c r="C754"/>
      <c r="D754"/>
      <c r="E754"/>
      <c r="F754"/>
      <c r="G754"/>
      <c r="H754"/>
      <c r="I754"/>
      <c r="J754"/>
    </row>
    <row r="755" spans="1:10" x14ac:dyDescent="0.35">
      <c r="A755"/>
      <c r="B755"/>
      <c r="C755"/>
      <c r="D755"/>
      <c r="E755"/>
      <c r="F755"/>
      <c r="G755"/>
      <c r="H755"/>
      <c r="I755"/>
      <c r="J755"/>
    </row>
    <row r="756" spans="1:10" x14ac:dyDescent="0.35">
      <c r="A756"/>
      <c r="B756"/>
      <c r="C756"/>
      <c r="D756"/>
      <c r="E756"/>
      <c r="F756"/>
      <c r="G756"/>
      <c r="H756"/>
      <c r="I756"/>
      <c r="J756"/>
    </row>
    <row r="757" spans="1:10" x14ac:dyDescent="0.35">
      <c r="A757"/>
      <c r="B757"/>
      <c r="C757"/>
      <c r="D757"/>
      <c r="E757"/>
      <c r="F757"/>
      <c r="G757"/>
      <c r="H757"/>
      <c r="I757"/>
      <c r="J757"/>
    </row>
    <row r="758" spans="1:10" x14ac:dyDescent="0.35">
      <c r="A758"/>
      <c r="B758"/>
      <c r="C758"/>
      <c r="D758"/>
      <c r="E758"/>
      <c r="F758"/>
      <c r="G758"/>
      <c r="H758"/>
      <c r="I758"/>
      <c r="J758"/>
    </row>
    <row r="759" spans="1:10" x14ac:dyDescent="0.35">
      <c r="A759"/>
      <c r="B759"/>
      <c r="C759"/>
      <c r="D759"/>
      <c r="E759"/>
      <c r="F759"/>
      <c r="G759"/>
      <c r="H759"/>
      <c r="I759"/>
      <c r="J759"/>
    </row>
    <row r="760" spans="1:10" x14ac:dyDescent="0.35">
      <c r="A760"/>
      <c r="B760"/>
      <c r="C760"/>
      <c r="D760"/>
      <c r="E760"/>
      <c r="F760"/>
      <c r="G760"/>
      <c r="H760"/>
      <c r="I760"/>
      <c r="J760"/>
    </row>
    <row r="761" spans="1:10" x14ac:dyDescent="0.35">
      <c r="A761"/>
      <c r="B761"/>
      <c r="C761"/>
      <c r="D761"/>
      <c r="E761"/>
      <c r="F761"/>
      <c r="G761"/>
      <c r="H761"/>
      <c r="I761"/>
      <c r="J761"/>
    </row>
    <row r="762" spans="1:10" x14ac:dyDescent="0.35">
      <c r="A762"/>
      <c r="B762"/>
      <c r="C762"/>
      <c r="D762"/>
      <c r="E762"/>
      <c r="F762"/>
      <c r="G762"/>
      <c r="H762"/>
      <c r="I762"/>
      <c r="J762"/>
    </row>
    <row r="763" spans="1:10" x14ac:dyDescent="0.35">
      <c r="A763"/>
      <c r="B763"/>
      <c r="C763"/>
      <c r="D763"/>
      <c r="E763"/>
      <c r="F763"/>
      <c r="G763"/>
      <c r="H763"/>
      <c r="I763"/>
      <c r="J763"/>
    </row>
    <row r="764" spans="1:10" x14ac:dyDescent="0.35">
      <c r="A764"/>
      <c r="B764"/>
      <c r="C764"/>
      <c r="D764"/>
      <c r="E764"/>
      <c r="F764"/>
      <c r="G764"/>
      <c r="H764"/>
      <c r="I764"/>
      <c r="J764"/>
    </row>
    <row r="765" spans="1:10" x14ac:dyDescent="0.35">
      <c r="A765"/>
      <c r="B765"/>
      <c r="C765"/>
      <c r="D765"/>
      <c r="E765"/>
      <c r="F765"/>
      <c r="G765"/>
      <c r="H765"/>
      <c r="I765"/>
      <c r="J765"/>
    </row>
    <row r="766" spans="1:10" x14ac:dyDescent="0.35">
      <c r="A766"/>
      <c r="B766"/>
      <c r="C766"/>
      <c r="D766"/>
      <c r="E766"/>
      <c r="F766"/>
      <c r="G766"/>
      <c r="H766"/>
      <c r="I766"/>
      <c r="J766"/>
    </row>
    <row r="767" spans="1:10" x14ac:dyDescent="0.35">
      <c r="A767"/>
      <c r="B767"/>
      <c r="C767"/>
      <c r="D767"/>
      <c r="E767"/>
      <c r="F767"/>
      <c r="G767"/>
      <c r="H767"/>
      <c r="I767"/>
      <c r="J767"/>
    </row>
    <row r="768" spans="1:10" x14ac:dyDescent="0.35">
      <c r="A768"/>
      <c r="B768"/>
      <c r="C768"/>
      <c r="D768"/>
      <c r="E768"/>
      <c r="F768"/>
      <c r="G768"/>
      <c r="H768"/>
      <c r="I768"/>
      <c r="J768"/>
    </row>
    <row r="769" spans="1:10" x14ac:dyDescent="0.35">
      <c r="A769"/>
      <c r="B769"/>
      <c r="C769"/>
      <c r="D769"/>
      <c r="E769"/>
      <c r="F769"/>
      <c r="G769"/>
      <c r="H769"/>
      <c r="I769"/>
      <c r="J769"/>
    </row>
    <row r="770" spans="1:10" x14ac:dyDescent="0.35">
      <c r="A770"/>
      <c r="B770"/>
      <c r="C770"/>
      <c r="D770"/>
      <c r="E770"/>
      <c r="F770"/>
      <c r="G770"/>
      <c r="H770"/>
      <c r="I770"/>
      <c r="J770"/>
    </row>
    <row r="771" spans="1:10" x14ac:dyDescent="0.35">
      <c r="A771"/>
      <c r="B771"/>
      <c r="C771"/>
      <c r="D771"/>
      <c r="E771"/>
      <c r="F771"/>
      <c r="G771"/>
      <c r="H771"/>
      <c r="I771"/>
      <c r="J771"/>
    </row>
    <row r="772" spans="1:10" x14ac:dyDescent="0.35">
      <c r="A772"/>
      <c r="B772"/>
      <c r="C772"/>
      <c r="D772"/>
      <c r="E772"/>
      <c r="F772"/>
      <c r="G772"/>
      <c r="H772"/>
      <c r="I772"/>
      <c r="J772"/>
    </row>
    <row r="773" spans="1:10" x14ac:dyDescent="0.35">
      <c r="A773"/>
      <c r="B773"/>
      <c r="C773"/>
      <c r="D773"/>
      <c r="E773"/>
      <c r="F773"/>
      <c r="G773"/>
      <c r="H773"/>
      <c r="I773"/>
      <c r="J773"/>
    </row>
    <row r="774" spans="1:10" x14ac:dyDescent="0.35">
      <c r="A774"/>
      <c r="B774"/>
      <c r="C774"/>
      <c r="D774"/>
      <c r="E774"/>
      <c r="F774"/>
      <c r="G774"/>
      <c r="H774"/>
      <c r="I774"/>
      <c r="J774"/>
    </row>
    <row r="775" spans="1:10" x14ac:dyDescent="0.35">
      <c r="A775"/>
      <c r="B775"/>
      <c r="C775"/>
      <c r="D775"/>
      <c r="E775"/>
      <c r="F775"/>
      <c r="G775"/>
      <c r="H775"/>
      <c r="I775"/>
      <c r="J775"/>
    </row>
    <row r="776" spans="1:10" x14ac:dyDescent="0.35">
      <c r="A776"/>
      <c r="B776"/>
      <c r="C776"/>
      <c r="D776"/>
      <c r="E776"/>
      <c r="F776"/>
      <c r="G776"/>
      <c r="H776"/>
      <c r="I776"/>
      <c r="J776"/>
    </row>
    <row r="777" spans="1:10" x14ac:dyDescent="0.35">
      <c r="A777"/>
      <c r="B777"/>
      <c r="C777"/>
      <c r="D777"/>
      <c r="E777"/>
      <c r="F777"/>
      <c r="G777"/>
      <c r="H777"/>
      <c r="I777"/>
      <c r="J777"/>
    </row>
    <row r="778" spans="1:10" x14ac:dyDescent="0.35">
      <c r="A778"/>
      <c r="B778"/>
      <c r="C778"/>
      <c r="D778"/>
      <c r="E778"/>
      <c r="F778"/>
      <c r="G778"/>
      <c r="H778"/>
      <c r="I778"/>
      <c r="J778"/>
    </row>
    <row r="779" spans="1:10" x14ac:dyDescent="0.35">
      <c r="A779"/>
      <c r="B779"/>
      <c r="C779"/>
      <c r="D779"/>
      <c r="E779"/>
      <c r="F779"/>
      <c r="G779"/>
      <c r="H779"/>
      <c r="I779"/>
      <c r="J779"/>
    </row>
    <row r="780" spans="1:10" x14ac:dyDescent="0.35">
      <c r="A780"/>
      <c r="B780"/>
      <c r="C780"/>
      <c r="D780"/>
      <c r="E780"/>
      <c r="F780"/>
      <c r="G780"/>
      <c r="H780"/>
      <c r="I780"/>
      <c r="J780"/>
    </row>
    <row r="781" spans="1:10" x14ac:dyDescent="0.35">
      <c r="A781"/>
      <c r="B781"/>
      <c r="C781"/>
      <c r="D781"/>
      <c r="E781"/>
      <c r="F781"/>
      <c r="G781"/>
      <c r="H781"/>
      <c r="I781"/>
      <c r="J781"/>
    </row>
    <row r="782" spans="1:10" x14ac:dyDescent="0.35">
      <c r="A782"/>
      <c r="B782"/>
      <c r="C782"/>
      <c r="D782"/>
      <c r="E782"/>
      <c r="F782"/>
      <c r="G782"/>
      <c r="H782"/>
      <c r="I782"/>
      <c r="J782"/>
    </row>
    <row r="783" spans="1:10" x14ac:dyDescent="0.35">
      <c r="A783"/>
      <c r="B783"/>
      <c r="C783"/>
      <c r="D783"/>
      <c r="E783"/>
      <c r="F783"/>
      <c r="G783"/>
      <c r="H783"/>
      <c r="I783"/>
      <c r="J783"/>
    </row>
    <row r="784" spans="1:10" x14ac:dyDescent="0.35">
      <c r="A784"/>
      <c r="B784"/>
      <c r="C784"/>
      <c r="D784"/>
      <c r="E784"/>
      <c r="F784"/>
      <c r="G784"/>
      <c r="H784"/>
      <c r="I784"/>
      <c r="J784"/>
    </row>
    <row r="785" spans="1:10" x14ac:dyDescent="0.35">
      <c r="A785"/>
      <c r="B785"/>
      <c r="C785"/>
      <c r="D785"/>
      <c r="E785"/>
      <c r="F785"/>
      <c r="G785"/>
      <c r="H785"/>
      <c r="I785"/>
      <c r="J785"/>
    </row>
    <row r="786" spans="1:10" x14ac:dyDescent="0.35">
      <c r="A786"/>
      <c r="B786"/>
      <c r="C786"/>
      <c r="D786"/>
      <c r="E786"/>
      <c r="F786"/>
      <c r="G786"/>
      <c r="H786"/>
      <c r="I786"/>
      <c r="J786"/>
    </row>
    <row r="787" spans="1:10" x14ac:dyDescent="0.35">
      <c r="A787"/>
      <c r="B787"/>
      <c r="C787"/>
      <c r="D787"/>
      <c r="E787"/>
      <c r="F787"/>
      <c r="G787"/>
      <c r="H787"/>
      <c r="I787"/>
      <c r="J787"/>
    </row>
    <row r="788" spans="1:10" x14ac:dyDescent="0.35">
      <c r="A788"/>
      <c r="B788"/>
      <c r="C788"/>
      <c r="D788"/>
      <c r="E788"/>
      <c r="F788"/>
      <c r="G788"/>
      <c r="H788"/>
      <c r="I788"/>
      <c r="J788"/>
    </row>
    <row r="789" spans="1:10" x14ac:dyDescent="0.35">
      <c r="A789"/>
      <c r="B789"/>
      <c r="C789"/>
      <c r="D789"/>
      <c r="E789"/>
      <c r="F789"/>
      <c r="G789"/>
      <c r="H789"/>
      <c r="I789"/>
      <c r="J789"/>
    </row>
    <row r="790" spans="1:10" x14ac:dyDescent="0.35">
      <c r="A790"/>
      <c r="B790"/>
      <c r="C790"/>
      <c r="D790"/>
      <c r="E790"/>
      <c r="F790"/>
      <c r="G790"/>
      <c r="H790"/>
      <c r="I790"/>
      <c r="J790"/>
    </row>
    <row r="791" spans="1:10" x14ac:dyDescent="0.35">
      <c r="A791"/>
      <c r="B791"/>
      <c r="C791"/>
      <c r="D791"/>
      <c r="E791"/>
      <c r="F791"/>
      <c r="G791"/>
      <c r="H791"/>
      <c r="I791"/>
      <c r="J791"/>
    </row>
    <row r="792" spans="1:10" x14ac:dyDescent="0.35">
      <c r="A792"/>
      <c r="B792"/>
      <c r="C792"/>
      <c r="D792"/>
      <c r="E792"/>
      <c r="F792"/>
      <c r="G792"/>
      <c r="H792"/>
      <c r="I792"/>
      <c r="J792"/>
    </row>
    <row r="793" spans="1:10" x14ac:dyDescent="0.35">
      <c r="A793"/>
      <c r="B793"/>
      <c r="C793"/>
      <c r="D793"/>
      <c r="E793"/>
      <c r="F793"/>
      <c r="G793"/>
      <c r="H793"/>
      <c r="I793"/>
      <c r="J793"/>
    </row>
    <row r="794" spans="1:10" x14ac:dyDescent="0.35">
      <c r="A794"/>
      <c r="B794"/>
      <c r="C794"/>
      <c r="D794"/>
      <c r="E794"/>
      <c r="F794"/>
      <c r="G794"/>
      <c r="H794"/>
      <c r="I794"/>
      <c r="J794"/>
    </row>
    <row r="795" spans="1:10" x14ac:dyDescent="0.35">
      <c r="A795"/>
      <c r="B795"/>
      <c r="C795"/>
      <c r="D795"/>
      <c r="E795"/>
      <c r="F795"/>
      <c r="G795"/>
      <c r="H795"/>
      <c r="I795"/>
      <c r="J795"/>
    </row>
    <row r="796" spans="1:10" x14ac:dyDescent="0.35">
      <c r="A796"/>
      <c r="B796"/>
      <c r="C796"/>
      <c r="D796"/>
      <c r="E796"/>
      <c r="F796"/>
      <c r="G796"/>
      <c r="H796"/>
      <c r="I796"/>
      <c r="J796"/>
    </row>
    <row r="797" spans="1:10" x14ac:dyDescent="0.35">
      <c r="A797"/>
      <c r="B797"/>
      <c r="C797"/>
      <c r="D797"/>
      <c r="E797"/>
      <c r="F797"/>
      <c r="G797"/>
      <c r="H797"/>
      <c r="I797"/>
      <c r="J797"/>
    </row>
    <row r="798" spans="1:10" x14ac:dyDescent="0.35">
      <c r="A798"/>
      <c r="B798"/>
      <c r="C798"/>
      <c r="D798"/>
      <c r="E798"/>
      <c r="F798"/>
      <c r="G798"/>
      <c r="H798"/>
      <c r="I798"/>
      <c r="J798"/>
    </row>
    <row r="799" spans="1:10" x14ac:dyDescent="0.35">
      <c r="A799"/>
      <c r="B799"/>
      <c r="C799"/>
      <c r="D799"/>
      <c r="E799"/>
      <c r="F799"/>
      <c r="G799"/>
      <c r="H799"/>
      <c r="I799"/>
      <c r="J799"/>
    </row>
    <row r="800" spans="1:10" x14ac:dyDescent="0.35">
      <c r="A800"/>
      <c r="B800"/>
      <c r="C800"/>
      <c r="D800"/>
      <c r="E800"/>
      <c r="F800"/>
      <c r="G800"/>
      <c r="H800"/>
      <c r="I800"/>
      <c r="J800"/>
    </row>
    <row r="801" spans="1:10" x14ac:dyDescent="0.35">
      <c r="A801"/>
      <c r="B801"/>
      <c r="C801"/>
      <c r="D801"/>
      <c r="E801"/>
      <c r="F801"/>
      <c r="G801"/>
      <c r="H801"/>
      <c r="I801"/>
      <c r="J801"/>
    </row>
    <row r="802" spans="1:10" x14ac:dyDescent="0.35">
      <c r="A802"/>
      <c r="B802"/>
      <c r="C802"/>
      <c r="D802"/>
      <c r="E802"/>
      <c r="F802"/>
      <c r="G802"/>
      <c r="H802"/>
      <c r="I802"/>
      <c r="J802"/>
    </row>
    <row r="803" spans="1:10" x14ac:dyDescent="0.35">
      <c r="A803"/>
      <c r="B803"/>
      <c r="C803"/>
      <c r="D803"/>
      <c r="E803"/>
      <c r="F803"/>
      <c r="G803"/>
      <c r="H803"/>
      <c r="I803"/>
      <c r="J803"/>
    </row>
    <row r="804" spans="1:10" x14ac:dyDescent="0.35">
      <c r="A804"/>
      <c r="B804"/>
      <c r="C804"/>
      <c r="D804"/>
      <c r="E804"/>
      <c r="F804"/>
      <c r="G804"/>
      <c r="H804"/>
      <c r="I804"/>
      <c r="J804"/>
    </row>
    <row r="805" spans="1:10" x14ac:dyDescent="0.35">
      <c r="A805"/>
      <c r="B805"/>
      <c r="C805"/>
      <c r="D805"/>
      <c r="E805"/>
      <c r="F805"/>
      <c r="G805"/>
      <c r="H805"/>
      <c r="I805"/>
      <c r="J805"/>
    </row>
    <row r="806" spans="1:10" x14ac:dyDescent="0.35">
      <c r="A806"/>
      <c r="B806"/>
      <c r="C806"/>
      <c r="D806"/>
      <c r="E806"/>
      <c r="F806"/>
      <c r="G806"/>
      <c r="H806"/>
      <c r="I806"/>
      <c r="J806"/>
    </row>
    <row r="807" spans="1:10" x14ac:dyDescent="0.35">
      <c r="A807"/>
      <c r="B807"/>
      <c r="C807"/>
      <c r="D807"/>
      <c r="E807"/>
      <c r="F807"/>
      <c r="G807"/>
      <c r="H807"/>
      <c r="I807"/>
      <c r="J807"/>
    </row>
    <row r="808" spans="1:10" x14ac:dyDescent="0.35">
      <c r="A808"/>
      <c r="B808"/>
      <c r="C808"/>
      <c r="D808"/>
      <c r="E808"/>
      <c r="F808"/>
      <c r="G808"/>
      <c r="H808"/>
      <c r="I808"/>
      <c r="J808"/>
    </row>
    <row r="809" spans="1:10" x14ac:dyDescent="0.35">
      <c r="A809"/>
      <c r="B809"/>
      <c r="C809"/>
      <c r="D809"/>
      <c r="E809"/>
      <c r="F809"/>
      <c r="G809"/>
      <c r="H809"/>
      <c r="I809"/>
      <c r="J809"/>
    </row>
    <row r="810" spans="1:10" x14ac:dyDescent="0.35">
      <c r="A810"/>
      <c r="B810"/>
      <c r="C810"/>
      <c r="D810"/>
      <c r="E810"/>
      <c r="F810"/>
      <c r="G810"/>
      <c r="H810"/>
      <c r="I810"/>
      <c r="J810"/>
    </row>
    <row r="811" spans="1:10" x14ac:dyDescent="0.35">
      <c r="A811"/>
      <c r="B811"/>
      <c r="C811"/>
      <c r="D811"/>
      <c r="E811"/>
      <c r="F811"/>
      <c r="G811"/>
      <c r="H811"/>
      <c r="I811"/>
      <c r="J811"/>
    </row>
    <row r="812" spans="1:10" x14ac:dyDescent="0.35">
      <c r="A812"/>
      <c r="B812"/>
      <c r="C812"/>
      <c r="D812"/>
      <c r="E812"/>
      <c r="F812"/>
      <c r="G812"/>
      <c r="H812"/>
      <c r="I812"/>
      <c r="J812"/>
    </row>
    <row r="813" spans="1:10" x14ac:dyDescent="0.35">
      <c r="A813"/>
      <c r="B813"/>
      <c r="C813"/>
      <c r="D813"/>
      <c r="E813"/>
      <c r="F813"/>
      <c r="G813"/>
      <c r="H813"/>
      <c r="I813"/>
      <c r="J813"/>
    </row>
    <row r="814" spans="1:10" x14ac:dyDescent="0.35">
      <c r="A814"/>
      <c r="B814"/>
      <c r="C814"/>
      <c r="D814"/>
      <c r="E814"/>
      <c r="F814"/>
      <c r="G814"/>
      <c r="H814"/>
      <c r="I814"/>
      <c r="J814"/>
    </row>
    <row r="815" spans="1:10" x14ac:dyDescent="0.35">
      <c r="A815"/>
      <c r="B815"/>
      <c r="C815"/>
      <c r="D815"/>
      <c r="E815"/>
      <c r="F815"/>
      <c r="G815"/>
      <c r="H815"/>
      <c r="I815"/>
      <c r="J815"/>
    </row>
    <row r="816" spans="1:10" x14ac:dyDescent="0.35">
      <c r="A816"/>
      <c r="B816"/>
      <c r="C816"/>
      <c r="D816"/>
      <c r="E816"/>
      <c r="F816"/>
      <c r="G816"/>
      <c r="H816"/>
      <c r="I816"/>
      <c r="J816"/>
    </row>
    <row r="817" spans="1:10" x14ac:dyDescent="0.35">
      <c r="A817"/>
      <c r="B817"/>
      <c r="C817"/>
      <c r="D817"/>
      <c r="E817"/>
      <c r="F817"/>
      <c r="G817"/>
      <c r="H817"/>
      <c r="I817"/>
      <c r="J817"/>
    </row>
    <row r="818" spans="1:10" x14ac:dyDescent="0.35">
      <c r="A818"/>
      <c r="B818"/>
      <c r="C818"/>
      <c r="D818"/>
      <c r="E818"/>
      <c r="F818"/>
      <c r="G818"/>
      <c r="H818"/>
      <c r="I818"/>
      <c r="J818"/>
    </row>
    <row r="819" spans="1:10" x14ac:dyDescent="0.35">
      <c r="A819"/>
      <c r="B819"/>
      <c r="C819"/>
      <c r="D819"/>
      <c r="E819"/>
      <c r="F819"/>
      <c r="G819"/>
      <c r="H819"/>
      <c r="I819"/>
      <c r="J819"/>
    </row>
    <row r="820" spans="1:10" x14ac:dyDescent="0.35">
      <c r="A820"/>
      <c r="B820"/>
      <c r="C820"/>
      <c r="D820"/>
      <c r="E820"/>
      <c r="F820"/>
      <c r="G820"/>
      <c r="H820"/>
      <c r="I820"/>
      <c r="J820"/>
    </row>
    <row r="821" spans="1:10" x14ac:dyDescent="0.35">
      <c r="A821"/>
      <c r="B821"/>
      <c r="C821"/>
      <c r="D821"/>
      <c r="E821"/>
      <c r="F821"/>
      <c r="G821"/>
      <c r="H821"/>
      <c r="I821"/>
      <c r="J821"/>
    </row>
    <row r="822" spans="1:10" x14ac:dyDescent="0.35">
      <c r="A822"/>
      <c r="B822"/>
      <c r="C822"/>
      <c r="D822"/>
      <c r="E822"/>
      <c r="F822"/>
      <c r="G822"/>
      <c r="H822"/>
      <c r="I822"/>
      <c r="J822"/>
    </row>
    <row r="823" spans="1:10" x14ac:dyDescent="0.35">
      <c r="A823"/>
      <c r="B823"/>
      <c r="C823"/>
      <c r="D823"/>
      <c r="E823"/>
      <c r="F823"/>
      <c r="G823"/>
      <c r="H823"/>
      <c r="I823"/>
      <c r="J823"/>
    </row>
    <row r="824" spans="1:10" x14ac:dyDescent="0.35">
      <c r="A824"/>
      <c r="B824"/>
      <c r="C824"/>
      <c r="D824"/>
      <c r="E824"/>
      <c r="F824"/>
      <c r="G824"/>
      <c r="H824"/>
      <c r="I824"/>
      <c r="J824"/>
    </row>
    <row r="825" spans="1:10" x14ac:dyDescent="0.35">
      <c r="A825"/>
      <c r="B825"/>
      <c r="C825"/>
      <c r="D825"/>
      <c r="E825"/>
      <c r="F825"/>
      <c r="G825"/>
      <c r="H825"/>
      <c r="I825"/>
      <c r="J825"/>
    </row>
    <row r="826" spans="1:10" x14ac:dyDescent="0.35">
      <c r="A826"/>
      <c r="B826"/>
      <c r="C826"/>
      <c r="D826"/>
      <c r="E826"/>
      <c r="F826"/>
      <c r="G826"/>
      <c r="H826"/>
      <c r="I826"/>
      <c r="J826"/>
    </row>
    <row r="827" spans="1:10" x14ac:dyDescent="0.35">
      <c r="A827"/>
      <c r="B827"/>
      <c r="C827"/>
      <c r="D827"/>
      <c r="E827"/>
      <c r="F827"/>
      <c r="G827"/>
      <c r="H827"/>
      <c r="I827"/>
      <c r="J827"/>
    </row>
    <row r="828" spans="1:10" x14ac:dyDescent="0.35">
      <c r="A828"/>
      <c r="B828"/>
      <c r="C828"/>
      <c r="D828"/>
      <c r="E828"/>
      <c r="F828"/>
      <c r="G828"/>
      <c r="H828"/>
      <c r="I828"/>
      <c r="J828"/>
    </row>
    <row r="829" spans="1:10" x14ac:dyDescent="0.35">
      <c r="A829"/>
      <c r="B829"/>
      <c r="C829"/>
      <c r="D829"/>
      <c r="E829"/>
      <c r="F829"/>
      <c r="G829"/>
      <c r="H829"/>
      <c r="I829"/>
      <c r="J829"/>
    </row>
    <row r="830" spans="1:10" x14ac:dyDescent="0.35">
      <c r="A830"/>
      <c r="B830"/>
      <c r="C830"/>
      <c r="D830"/>
      <c r="E830"/>
      <c r="F830"/>
      <c r="G830"/>
      <c r="H830"/>
      <c r="I830"/>
      <c r="J830"/>
    </row>
    <row r="831" spans="1:10" x14ac:dyDescent="0.35">
      <c r="A831"/>
      <c r="B831"/>
      <c r="C831"/>
      <c r="D831"/>
      <c r="E831"/>
      <c r="F831"/>
      <c r="G831"/>
      <c r="H831"/>
      <c r="I831"/>
      <c r="J831"/>
    </row>
    <row r="832" spans="1:10" x14ac:dyDescent="0.35">
      <c r="A832"/>
      <c r="B832"/>
      <c r="C832"/>
      <c r="D832"/>
      <c r="E832"/>
      <c r="F832"/>
      <c r="G832"/>
      <c r="H832"/>
      <c r="I832"/>
      <c r="J832"/>
    </row>
    <row r="833" spans="1:10" x14ac:dyDescent="0.35">
      <c r="A833"/>
      <c r="B833"/>
      <c r="C833"/>
      <c r="D833"/>
      <c r="E833"/>
      <c r="F833"/>
      <c r="G833"/>
      <c r="H833"/>
      <c r="I833"/>
      <c r="J833"/>
    </row>
    <row r="834" spans="1:10" x14ac:dyDescent="0.35">
      <c r="A834"/>
      <c r="B834"/>
      <c r="C834"/>
      <c r="D834"/>
      <c r="E834"/>
      <c r="F834"/>
      <c r="G834"/>
      <c r="H834"/>
      <c r="I834"/>
      <c r="J834"/>
    </row>
    <row r="835" spans="1:10" x14ac:dyDescent="0.35">
      <c r="A835"/>
      <c r="B835"/>
      <c r="C835"/>
      <c r="D835"/>
      <c r="E835"/>
      <c r="F835"/>
      <c r="G835"/>
      <c r="H835"/>
      <c r="I835"/>
      <c r="J835"/>
    </row>
    <row r="836" spans="1:10" x14ac:dyDescent="0.35">
      <c r="A836"/>
      <c r="B836"/>
      <c r="C836"/>
      <c r="D836"/>
      <c r="E836"/>
      <c r="F836"/>
      <c r="G836"/>
      <c r="H836"/>
      <c r="I836"/>
      <c r="J836"/>
    </row>
    <row r="837" spans="1:10" x14ac:dyDescent="0.35">
      <c r="A837"/>
      <c r="B837"/>
      <c r="C837"/>
      <c r="D837"/>
      <c r="E837"/>
      <c r="F837"/>
      <c r="G837"/>
      <c r="H837"/>
      <c r="I837"/>
      <c r="J837"/>
    </row>
    <row r="838" spans="1:10" x14ac:dyDescent="0.35">
      <c r="A838"/>
      <c r="B838"/>
      <c r="C838"/>
      <c r="D838"/>
      <c r="E838"/>
      <c r="F838"/>
      <c r="G838"/>
      <c r="H838"/>
      <c r="I838"/>
      <c r="J838"/>
    </row>
    <row r="839" spans="1:10" x14ac:dyDescent="0.35">
      <c r="A839"/>
      <c r="B839"/>
      <c r="C839"/>
      <c r="D839"/>
      <c r="E839"/>
      <c r="F839"/>
      <c r="G839"/>
      <c r="H839"/>
      <c r="I839"/>
      <c r="J839"/>
    </row>
    <row r="840" spans="1:10" x14ac:dyDescent="0.35">
      <c r="A840"/>
      <c r="B840"/>
      <c r="C840"/>
      <c r="D840"/>
      <c r="E840"/>
      <c r="F840"/>
      <c r="G840"/>
      <c r="H840"/>
      <c r="I840"/>
      <c r="J840"/>
    </row>
    <row r="841" spans="1:10" x14ac:dyDescent="0.35">
      <c r="A841"/>
      <c r="B841"/>
      <c r="C841"/>
      <c r="D841"/>
      <c r="E841"/>
      <c r="F841"/>
      <c r="G841"/>
      <c r="H841"/>
      <c r="I841"/>
      <c r="J841"/>
    </row>
    <row r="842" spans="1:10" x14ac:dyDescent="0.35">
      <c r="A842"/>
      <c r="B842"/>
      <c r="C842"/>
      <c r="D842"/>
      <c r="E842"/>
      <c r="F842"/>
      <c r="G842"/>
      <c r="H842"/>
      <c r="I842"/>
      <c r="J842"/>
    </row>
    <row r="843" spans="1:10" x14ac:dyDescent="0.35">
      <c r="A843"/>
      <c r="B843"/>
      <c r="C843"/>
      <c r="D843"/>
      <c r="E843"/>
      <c r="F843"/>
      <c r="G843"/>
      <c r="H843"/>
      <c r="I843"/>
      <c r="J843"/>
    </row>
    <row r="844" spans="1:10" x14ac:dyDescent="0.35">
      <c r="A844"/>
      <c r="B844"/>
      <c r="C844"/>
      <c r="D844"/>
      <c r="E844"/>
      <c r="F844"/>
      <c r="G844"/>
      <c r="H844"/>
      <c r="I844"/>
      <c r="J844"/>
    </row>
    <row r="845" spans="1:10" x14ac:dyDescent="0.35">
      <c r="A845"/>
      <c r="B845"/>
      <c r="C845"/>
      <c r="D845"/>
      <c r="E845"/>
      <c r="F845"/>
      <c r="G845"/>
      <c r="H845"/>
      <c r="I845"/>
      <c r="J845"/>
    </row>
    <row r="846" spans="1:10" x14ac:dyDescent="0.35">
      <c r="A846"/>
      <c r="B846"/>
      <c r="C846"/>
      <c r="D846"/>
      <c r="E846"/>
      <c r="F846"/>
      <c r="G846"/>
      <c r="H846"/>
      <c r="I846"/>
      <c r="J846"/>
    </row>
    <row r="847" spans="1:10" x14ac:dyDescent="0.35">
      <c r="A847"/>
      <c r="B847"/>
      <c r="C847"/>
      <c r="D847"/>
      <c r="E847"/>
      <c r="F847"/>
      <c r="G847"/>
      <c r="H847"/>
      <c r="I847"/>
      <c r="J847"/>
    </row>
    <row r="848" spans="1:10" x14ac:dyDescent="0.35">
      <c r="A848"/>
      <c r="B848"/>
      <c r="C848"/>
      <c r="D848"/>
      <c r="E848"/>
      <c r="F848"/>
      <c r="G848"/>
      <c r="H848"/>
      <c r="I848"/>
      <c r="J848"/>
    </row>
    <row r="849" spans="1:10" x14ac:dyDescent="0.35">
      <c r="A849"/>
      <c r="B849"/>
      <c r="C849"/>
      <c r="D849"/>
      <c r="E849"/>
      <c r="F849"/>
      <c r="G849"/>
      <c r="H849"/>
      <c r="I849"/>
      <c r="J849"/>
    </row>
    <row r="850" spans="1:10" x14ac:dyDescent="0.35">
      <c r="A850"/>
      <c r="B850"/>
      <c r="C850"/>
      <c r="D850"/>
      <c r="E850"/>
      <c r="F850"/>
      <c r="G850"/>
      <c r="H850"/>
      <c r="I850"/>
      <c r="J850"/>
    </row>
    <row r="851" spans="1:10" x14ac:dyDescent="0.35">
      <c r="A851"/>
      <c r="B851"/>
      <c r="C851"/>
      <c r="D851"/>
      <c r="E851"/>
      <c r="F851"/>
      <c r="G851"/>
      <c r="H851"/>
      <c r="I851"/>
      <c r="J851"/>
    </row>
    <row r="852" spans="1:10" x14ac:dyDescent="0.35">
      <c r="A852"/>
      <c r="B852"/>
      <c r="C852"/>
      <c r="D852"/>
      <c r="E852"/>
      <c r="F852"/>
      <c r="G852"/>
      <c r="H852"/>
      <c r="I852"/>
      <c r="J852"/>
    </row>
    <row r="853" spans="1:10" x14ac:dyDescent="0.35">
      <c r="A853"/>
      <c r="B853"/>
      <c r="C853"/>
      <c r="D853"/>
      <c r="E853"/>
      <c r="F853"/>
      <c r="G853"/>
      <c r="H853"/>
      <c r="I853"/>
      <c r="J853"/>
    </row>
    <row r="854" spans="1:10" x14ac:dyDescent="0.35">
      <c r="A854"/>
      <c r="B854"/>
      <c r="C854"/>
      <c r="D854"/>
      <c r="E854"/>
      <c r="F854"/>
      <c r="G854"/>
      <c r="H854"/>
      <c r="I854"/>
      <c r="J854"/>
    </row>
    <row r="855" spans="1:10" x14ac:dyDescent="0.35">
      <c r="A855"/>
      <c r="B855"/>
      <c r="C855"/>
      <c r="D855"/>
      <c r="E855"/>
      <c r="F855"/>
      <c r="G855"/>
      <c r="H855"/>
      <c r="I855"/>
      <c r="J855"/>
    </row>
    <row r="856" spans="1:10" x14ac:dyDescent="0.35">
      <c r="A856"/>
      <c r="B856"/>
      <c r="C856"/>
      <c r="D856"/>
      <c r="E856"/>
      <c r="F856"/>
      <c r="G856"/>
      <c r="H856"/>
      <c r="I856"/>
      <c r="J856"/>
    </row>
    <row r="857" spans="1:10" x14ac:dyDescent="0.35">
      <c r="A857"/>
      <c r="B857"/>
      <c r="C857"/>
      <c r="D857"/>
      <c r="E857"/>
      <c r="F857"/>
      <c r="G857"/>
      <c r="H857"/>
      <c r="I857"/>
      <c r="J857"/>
    </row>
    <row r="858" spans="1:10" x14ac:dyDescent="0.35">
      <c r="A858"/>
      <c r="B858"/>
      <c r="C858"/>
      <c r="D858"/>
      <c r="E858"/>
      <c r="F858"/>
      <c r="G858"/>
      <c r="H858"/>
      <c r="I858"/>
      <c r="J858"/>
    </row>
    <row r="859" spans="1:10" x14ac:dyDescent="0.35">
      <c r="A859"/>
      <c r="B859"/>
      <c r="C859"/>
      <c r="D859"/>
      <c r="E859"/>
      <c r="F859"/>
      <c r="G859"/>
      <c r="H859"/>
      <c r="I859"/>
      <c r="J859"/>
    </row>
    <row r="860" spans="1:10" x14ac:dyDescent="0.35">
      <c r="A860"/>
      <c r="B860"/>
      <c r="C860"/>
      <c r="D860"/>
      <c r="E860"/>
      <c r="F860"/>
      <c r="G860"/>
      <c r="H860"/>
      <c r="I860"/>
      <c r="J860"/>
    </row>
    <row r="861" spans="1:10" x14ac:dyDescent="0.35">
      <c r="A861"/>
      <c r="B861"/>
      <c r="C861"/>
      <c r="D861"/>
      <c r="E861"/>
      <c r="F861"/>
      <c r="G861"/>
      <c r="H861"/>
      <c r="I861"/>
      <c r="J861"/>
    </row>
    <row r="862" spans="1:10" x14ac:dyDescent="0.35">
      <c r="A862"/>
      <c r="B862"/>
      <c r="C862"/>
      <c r="D862"/>
      <c r="E862"/>
      <c r="F862"/>
      <c r="G862"/>
      <c r="H862"/>
      <c r="I862"/>
      <c r="J862"/>
    </row>
    <row r="863" spans="1:10" x14ac:dyDescent="0.35">
      <c r="A863"/>
      <c r="B863"/>
      <c r="C863"/>
      <c r="D863"/>
      <c r="E863"/>
      <c r="F863"/>
      <c r="G863"/>
      <c r="H863"/>
      <c r="I863"/>
      <c r="J863"/>
    </row>
    <row r="864" spans="1:10" x14ac:dyDescent="0.35">
      <c r="A864"/>
      <c r="B864"/>
      <c r="C864"/>
      <c r="D864"/>
      <c r="E864"/>
      <c r="F864"/>
      <c r="G864"/>
      <c r="H864"/>
      <c r="I864"/>
      <c r="J864"/>
    </row>
    <row r="865" spans="1:10" x14ac:dyDescent="0.35">
      <c r="A865"/>
      <c r="B865"/>
      <c r="C865"/>
      <c r="D865"/>
      <c r="E865"/>
      <c r="F865"/>
      <c r="G865"/>
      <c r="H865"/>
      <c r="I865"/>
      <c r="J865"/>
    </row>
    <row r="866" spans="1:10" x14ac:dyDescent="0.35">
      <c r="A866"/>
      <c r="B866"/>
      <c r="C866"/>
      <c r="D866"/>
      <c r="E866"/>
      <c r="F866"/>
      <c r="G866"/>
      <c r="H866"/>
      <c r="I866"/>
      <c r="J866"/>
    </row>
    <row r="867" spans="1:10" x14ac:dyDescent="0.35">
      <c r="A867"/>
      <c r="B867"/>
      <c r="C867"/>
      <c r="D867"/>
      <c r="E867"/>
      <c r="F867"/>
      <c r="G867"/>
      <c r="H867"/>
      <c r="I867"/>
      <c r="J867"/>
    </row>
    <row r="868" spans="1:10" x14ac:dyDescent="0.35">
      <c r="A868"/>
      <c r="B868"/>
      <c r="C868"/>
      <c r="D868"/>
      <c r="E868"/>
      <c r="F868"/>
      <c r="G868"/>
      <c r="H868"/>
      <c r="I868"/>
      <c r="J868"/>
    </row>
    <row r="869" spans="1:10" x14ac:dyDescent="0.35">
      <c r="A869"/>
      <c r="B869"/>
      <c r="C869"/>
      <c r="D869"/>
      <c r="E869"/>
      <c r="F869"/>
      <c r="G869"/>
      <c r="H869"/>
      <c r="I869"/>
      <c r="J869"/>
    </row>
    <row r="870" spans="1:10" x14ac:dyDescent="0.35">
      <c r="A870"/>
      <c r="B870"/>
      <c r="C870"/>
      <c r="D870"/>
      <c r="E870"/>
      <c r="F870"/>
      <c r="G870"/>
      <c r="H870"/>
      <c r="I870"/>
      <c r="J870"/>
    </row>
    <row r="871" spans="1:10" x14ac:dyDescent="0.35">
      <c r="A871"/>
      <c r="B871"/>
      <c r="C871"/>
      <c r="D871"/>
      <c r="E871"/>
      <c r="F871"/>
      <c r="G871"/>
      <c r="H871"/>
      <c r="I871"/>
      <c r="J871"/>
    </row>
    <row r="872" spans="1:10" x14ac:dyDescent="0.35">
      <c r="A872"/>
      <c r="B872"/>
      <c r="C872"/>
      <c r="D872"/>
      <c r="E872"/>
      <c r="F872"/>
      <c r="G872"/>
      <c r="H872"/>
      <c r="I872"/>
      <c r="J872"/>
    </row>
    <row r="873" spans="1:10" x14ac:dyDescent="0.35">
      <c r="A873"/>
      <c r="B873"/>
      <c r="C873"/>
      <c r="D873"/>
      <c r="E873"/>
      <c r="F873"/>
      <c r="G873"/>
      <c r="H873"/>
      <c r="I873"/>
      <c r="J873"/>
    </row>
    <row r="874" spans="1:10" x14ac:dyDescent="0.35">
      <c r="A874"/>
      <c r="B874"/>
      <c r="C874"/>
      <c r="D874"/>
      <c r="E874"/>
      <c r="F874"/>
      <c r="G874"/>
      <c r="H874"/>
      <c r="I874"/>
      <c r="J874"/>
    </row>
    <row r="875" spans="1:10" x14ac:dyDescent="0.35">
      <c r="A875"/>
      <c r="B875"/>
      <c r="C875"/>
      <c r="D875"/>
      <c r="E875"/>
      <c r="F875"/>
      <c r="G875"/>
      <c r="H875"/>
      <c r="I875"/>
      <c r="J875"/>
    </row>
    <row r="876" spans="1:10" x14ac:dyDescent="0.35">
      <c r="A876"/>
      <c r="B876"/>
      <c r="C876"/>
      <c r="D876"/>
      <c r="E876"/>
      <c r="F876"/>
      <c r="G876"/>
      <c r="H876"/>
      <c r="I876"/>
      <c r="J876"/>
    </row>
    <row r="877" spans="1:10" x14ac:dyDescent="0.35">
      <c r="A877"/>
      <c r="B877"/>
      <c r="C877"/>
      <c r="D877"/>
      <c r="E877"/>
      <c r="F877"/>
      <c r="G877"/>
      <c r="H877"/>
      <c r="I877"/>
      <c r="J877"/>
    </row>
    <row r="878" spans="1:10" x14ac:dyDescent="0.35">
      <c r="A878"/>
      <c r="B878"/>
      <c r="C878"/>
      <c r="D878"/>
      <c r="E878"/>
      <c r="F878"/>
      <c r="G878"/>
      <c r="H878"/>
      <c r="I878"/>
      <c r="J878"/>
    </row>
    <row r="879" spans="1:10" x14ac:dyDescent="0.35">
      <c r="A879"/>
      <c r="B879"/>
      <c r="C879"/>
      <c r="D879"/>
      <c r="E879"/>
      <c r="F879"/>
      <c r="G879"/>
      <c r="H879"/>
      <c r="I879"/>
      <c r="J879"/>
    </row>
    <row r="880" spans="1:10" x14ac:dyDescent="0.35">
      <c r="A880"/>
      <c r="B880"/>
      <c r="C880"/>
      <c r="D880"/>
      <c r="E880"/>
      <c r="F880"/>
      <c r="G880"/>
      <c r="H880"/>
      <c r="I880"/>
      <c r="J880"/>
    </row>
    <row r="881" spans="1:10" x14ac:dyDescent="0.35">
      <c r="A881"/>
      <c r="B881"/>
      <c r="C881"/>
      <c r="D881"/>
      <c r="E881"/>
      <c r="F881"/>
      <c r="G881"/>
      <c r="H881"/>
      <c r="I881"/>
      <c r="J881"/>
    </row>
    <row r="882" spans="1:10" x14ac:dyDescent="0.35">
      <c r="A882"/>
      <c r="B882"/>
      <c r="C882"/>
      <c r="D882"/>
      <c r="E882"/>
      <c r="F882"/>
      <c r="G882"/>
      <c r="H882"/>
      <c r="I882"/>
      <c r="J882"/>
    </row>
    <row r="883" spans="1:10" x14ac:dyDescent="0.35">
      <c r="A883"/>
      <c r="B883"/>
      <c r="C883"/>
      <c r="D883"/>
      <c r="E883"/>
      <c r="F883"/>
      <c r="G883"/>
      <c r="H883"/>
      <c r="I883"/>
      <c r="J883"/>
    </row>
    <row r="884" spans="1:10" x14ac:dyDescent="0.35">
      <c r="A884"/>
      <c r="B884"/>
      <c r="C884"/>
      <c r="D884"/>
      <c r="E884"/>
      <c r="F884"/>
      <c r="G884"/>
      <c r="H884"/>
      <c r="I884"/>
      <c r="J884"/>
    </row>
    <row r="885" spans="1:10" x14ac:dyDescent="0.35">
      <c r="A885"/>
      <c r="B885"/>
      <c r="C885"/>
      <c r="D885"/>
      <c r="E885"/>
      <c r="F885"/>
      <c r="G885"/>
      <c r="H885"/>
      <c r="I885"/>
      <c r="J885"/>
    </row>
    <row r="886" spans="1:10" x14ac:dyDescent="0.35">
      <c r="A886"/>
      <c r="B886"/>
      <c r="C886"/>
      <c r="D886"/>
      <c r="E886"/>
      <c r="F886"/>
      <c r="G886"/>
      <c r="H886"/>
      <c r="I886"/>
      <c r="J886"/>
    </row>
    <row r="887" spans="1:10" x14ac:dyDescent="0.35">
      <c r="A887"/>
      <c r="B887"/>
      <c r="C887"/>
      <c r="D887"/>
      <c r="E887"/>
      <c r="F887"/>
      <c r="G887"/>
      <c r="H887"/>
      <c r="I887"/>
      <c r="J887"/>
    </row>
    <row r="888" spans="1:10" x14ac:dyDescent="0.35">
      <c r="A888"/>
      <c r="B888"/>
      <c r="C888"/>
      <c r="D888"/>
      <c r="E888"/>
      <c r="F888"/>
      <c r="G888"/>
      <c r="H888"/>
      <c r="I888"/>
      <c r="J888"/>
    </row>
    <row r="889" spans="1:10" x14ac:dyDescent="0.35">
      <c r="A889"/>
      <c r="B889"/>
      <c r="C889"/>
      <c r="D889"/>
      <c r="E889"/>
      <c r="F889"/>
      <c r="G889"/>
      <c r="H889"/>
      <c r="I889"/>
      <c r="J889"/>
    </row>
    <row r="890" spans="1:10" x14ac:dyDescent="0.35">
      <c r="A890"/>
      <c r="B890"/>
      <c r="C890"/>
      <c r="D890"/>
      <c r="E890"/>
      <c r="F890"/>
      <c r="G890"/>
      <c r="H890"/>
      <c r="I890"/>
      <c r="J890"/>
    </row>
    <row r="891" spans="1:10" x14ac:dyDescent="0.35">
      <c r="A891"/>
      <c r="B891"/>
      <c r="C891"/>
      <c r="D891"/>
      <c r="E891"/>
      <c r="F891"/>
      <c r="G891"/>
      <c r="H891"/>
      <c r="I891"/>
      <c r="J891"/>
    </row>
    <row r="892" spans="1:10" x14ac:dyDescent="0.35">
      <c r="A892"/>
      <c r="B892"/>
      <c r="C892"/>
      <c r="D892"/>
      <c r="E892"/>
      <c r="F892"/>
      <c r="G892"/>
      <c r="H892"/>
      <c r="I892"/>
      <c r="J892"/>
    </row>
    <row r="893" spans="1:10" x14ac:dyDescent="0.35">
      <c r="A893"/>
      <c r="B893"/>
      <c r="C893"/>
      <c r="D893"/>
      <c r="E893"/>
      <c r="F893"/>
      <c r="G893"/>
      <c r="H893"/>
      <c r="I893"/>
      <c r="J893"/>
    </row>
    <row r="894" spans="1:10" x14ac:dyDescent="0.35">
      <c r="A894"/>
      <c r="B894"/>
      <c r="C894"/>
      <c r="D894"/>
      <c r="E894"/>
      <c r="F894"/>
      <c r="G894"/>
      <c r="H894"/>
      <c r="I894"/>
      <c r="J894"/>
    </row>
    <row r="895" spans="1:10" x14ac:dyDescent="0.35">
      <c r="A895"/>
      <c r="B895"/>
      <c r="C895"/>
      <c r="D895"/>
      <c r="E895"/>
      <c r="F895"/>
      <c r="G895"/>
      <c r="H895"/>
      <c r="I895"/>
      <c r="J895"/>
    </row>
    <row r="896" spans="1:10" x14ac:dyDescent="0.35">
      <c r="A896"/>
      <c r="B896"/>
      <c r="C896"/>
      <c r="D896"/>
      <c r="E896"/>
      <c r="F896"/>
      <c r="G896"/>
      <c r="H896"/>
      <c r="I896"/>
      <c r="J896"/>
    </row>
    <row r="897" spans="1:10" x14ac:dyDescent="0.35">
      <c r="A897"/>
      <c r="B897"/>
      <c r="C897"/>
      <c r="D897"/>
      <c r="E897"/>
      <c r="F897"/>
      <c r="G897"/>
      <c r="H897"/>
      <c r="I897"/>
      <c r="J897"/>
    </row>
    <row r="898" spans="1:10" x14ac:dyDescent="0.35">
      <c r="A898"/>
      <c r="B898"/>
      <c r="C898"/>
      <c r="D898"/>
      <c r="E898"/>
      <c r="F898"/>
      <c r="G898"/>
      <c r="H898"/>
      <c r="I898"/>
      <c r="J898"/>
    </row>
    <row r="899" spans="1:10" x14ac:dyDescent="0.35">
      <c r="A899"/>
      <c r="B899"/>
      <c r="C899"/>
      <c r="D899"/>
      <c r="E899"/>
      <c r="F899"/>
      <c r="G899"/>
      <c r="H899"/>
      <c r="I899"/>
      <c r="J899"/>
    </row>
    <row r="900" spans="1:10" x14ac:dyDescent="0.35">
      <c r="A900"/>
      <c r="B900"/>
      <c r="C900"/>
      <c r="D900"/>
      <c r="E900"/>
      <c r="F900"/>
      <c r="G900"/>
      <c r="H900"/>
      <c r="I900"/>
      <c r="J900"/>
    </row>
    <row r="901" spans="1:10" x14ac:dyDescent="0.35">
      <c r="A901"/>
      <c r="B901"/>
      <c r="C901"/>
      <c r="D901"/>
      <c r="E901"/>
      <c r="F901"/>
      <c r="G901"/>
      <c r="H901"/>
      <c r="I901"/>
      <c r="J901"/>
    </row>
    <row r="902" spans="1:10" x14ac:dyDescent="0.35">
      <c r="A902"/>
      <c r="B902"/>
      <c r="C902"/>
      <c r="D902"/>
      <c r="E902"/>
      <c r="F902"/>
      <c r="G902"/>
      <c r="H902"/>
      <c r="I902"/>
      <c r="J902"/>
    </row>
    <row r="903" spans="1:10" x14ac:dyDescent="0.35">
      <c r="A903"/>
      <c r="B903"/>
      <c r="C903"/>
      <c r="D903"/>
      <c r="E903"/>
      <c r="F903"/>
      <c r="G903"/>
      <c r="H903"/>
      <c r="I903"/>
      <c r="J903"/>
    </row>
    <row r="904" spans="1:10" x14ac:dyDescent="0.35">
      <c r="A904"/>
      <c r="B904"/>
      <c r="C904"/>
      <c r="D904"/>
      <c r="E904"/>
      <c r="F904"/>
      <c r="G904"/>
      <c r="H904"/>
      <c r="I904"/>
      <c r="J904"/>
    </row>
    <row r="905" spans="1:10" x14ac:dyDescent="0.35">
      <c r="A905"/>
      <c r="B905"/>
      <c r="C905"/>
      <c r="D905"/>
      <c r="E905"/>
      <c r="F905"/>
      <c r="G905"/>
      <c r="H905"/>
      <c r="I905"/>
      <c r="J905"/>
    </row>
    <row r="906" spans="1:10" x14ac:dyDescent="0.35">
      <c r="A906"/>
      <c r="B906"/>
      <c r="C906"/>
      <c r="D906"/>
      <c r="E906"/>
      <c r="F906"/>
      <c r="G906"/>
      <c r="H906"/>
      <c r="I906"/>
      <c r="J906"/>
    </row>
    <row r="907" spans="1:10" x14ac:dyDescent="0.35">
      <c r="A907"/>
      <c r="B907"/>
      <c r="C907"/>
      <c r="D907"/>
      <c r="E907"/>
      <c r="F907"/>
      <c r="G907"/>
      <c r="H907"/>
      <c r="I907"/>
      <c r="J907"/>
    </row>
    <row r="908" spans="1:10" x14ac:dyDescent="0.35">
      <c r="A908"/>
      <c r="B908"/>
      <c r="C908"/>
      <c r="D908"/>
      <c r="E908"/>
      <c r="F908"/>
      <c r="G908"/>
      <c r="H908"/>
      <c r="I908"/>
      <c r="J908"/>
    </row>
    <row r="909" spans="1:10" x14ac:dyDescent="0.35">
      <c r="A909"/>
      <c r="B909"/>
      <c r="C909"/>
      <c r="D909"/>
      <c r="E909"/>
      <c r="F909"/>
      <c r="G909"/>
      <c r="H909"/>
      <c r="I909"/>
      <c r="J909"/>
    </row>
    <row r="910" spans="1:10" x14ac:dyDescent="0.35">
      <c r="A910"/>
      <c r="B910"/>
      <c r="C910"/>
      <c r="D910"/>
      <c r="E910"/>
      <c r="F910"/>
      <c r="G910"/>
      <c r="H910"/>
      <c r="I910"/>
      <c r="J910"/>
    </row>
    <row r="911" spans="1:10" x14ac:dyDescent="0.35">
      <c r="A911"/>
      <c r="B911"/>
      <c r="C911"/>
      <c r="D911"/>
      <c r="E911"/>
      <c r="F911"/>
      <c r="G911"/>
      <c r="H911"/>
      <c r="I911"/>
      <c r="J911"/>
    </row>
    <row r="912" spans="1:10" x14ac:dyDescent="0.35">
      <c r="A912"/>
      <c r="B912"/>
      <c r="C912"/>
      <c r="D912"/>
      <c r="E912"/>
      <c r="F912"/>
      <c r="G912"/>
      <c r="H912"/>
      <c r="I912"/>
      <c r="J912"/>
    </row>
    <row r="913" spans="1:10" x14ac:dyDescent="0.35">
      <c r="A913"/>
      <c r="B913"/>
      <c r="C913"/>
      <c r="D913"/>
      <c r="E913"/>
      <c r="F913"/>
      <c r="G913"/>
      <c r="H913"/>
      <c r="I913"/>
      <c r="J913"/>
    </row>
    <row r="914" spans="1:10" x14ac:dyDescent="0.35">
      <c r="A914"/>
      <c r="B914"/>
      <c r="C914"/>
      <c r="D914"/>
      <c r="E914"/>
      <c r="F914"/>
      <c r="G914"/>
      <c r="H914"/>
      <c r="I914"/>
      <c r="J914"/>
    </row>
    <row r="915" spans="1:10" x14ac:dyDescent="0.35">
      <c r="A915"/>
      <c r="B915"/>
      <c r="C915"/>
      <c r="D915"/>
      <c r="E915"/>
      <c r="F915"/>
      <c r="G915"/>
      <c r="H915"/>
      <c r="I915"/>
      <c r="J915"/>
    </row>
    <row r="916" spans="1:10" x14ac:dyDescent="0.35">
      <c r="A916"/>
      <c r="B916"/>
      <c r="C916"/>
      <c r="D916"/>
      <c r="E916"/>
      <c r="F916"/>
      <c r="G916"/>
      <c r="H916"/>
      <c r="I916"/>
      <c r="J916"/>
    </row>
    <row r="917" spans="1:10" x14ac:dyDescent="0.35">
      <c r="A917"/>
      <c r="B917"/>
      <c r="C917"/>
      <c r="D917"/>
      <c r="E917"/>
      <c r="F917"/>
      <c r="G917"/>
      <c r="H917"/>
      <c r="I917"/>
      <c r="J917"/>
    </row>
    <row r="918" spans="1:10" x14ac:dyDescent="0.35">
      <c r="A918"/>
      <c r="B918"/>
      <c r="C918"/>
      <c r="D918"/>
      <c r="E918"/>
      <c r="F918"/>
      <c r="G918"/>
      <c r="H918"/>
      <c r="I918"/>
      <c r="J918"/>
    </row>
    <row r="919" spans="1:10" x14ac:dyDescent="0.35">
      <c r="A919"/>
      <c r="B919"/>
      <c r="C919"/>
      <c r="D919"/>
      <c r="E919"/>
      <c r="F919"/>
      <c r="G919"/>
      <c r="H919"/>
      <c r="I919"/>
      <c r="J919"/>
    </row>
    <row r="920" spans="1:10" x14ac:dyDescent="0.35">
      <c r="A920"/>
      <c r="B920"/>
      <c r="C920"/>
      <c r="D920"/>
      <c r="E920"/>
      <c r="F920"/>
      <c r="G920"/>
      <c r="H920"/>
      <c r="I920"/>
      <c r="J920"/>
    </row>
    <row r="921" spans="1:10" x14ac:dyDescent="0.35">
      <c r="A921"/>
      <c r="B921"/>
      <c r="C921"/>
      <c r="D921"/>
      <c r="E921"/>
      <c r="F921"/>
      <c r="G921"/>
      <c r="H921"/>
      <c r="I921"/>
      <c r="J921"/>
    </row>
    <row r="922" spans="1:10" x14ac:dyDescent="0.35">
      <c r="A922"/>
      <c r="B922"/>
      <c r="C922"/>
      <c r="D922"/>
      <c r="E922"/>
      <c r="F922"/>
      <c r="G922"/>
      <c r="H922"/>
      <c r="I922"/>
      <c r="J922"/>
    </row>
    <row r="923" spans="1:10" x14ac:dyDescent="0.35">
      <c r="A923"/>
      <c r="B923"/>
      <c r="C923"/>
      <c r="D923"/>
      <c r="E923"/>
      <c r="F923"/>
      <c r="G923"/>
      <c r="H923"/>
      <c r="I923"/>
      <c r="J923"/>
    </row>
    <row r="924" spans="1:10" x14ac:dyDescent="0.35">
      <c r="A924"/>
      <c r="B924"/>
      <c r="C924"/>
      <c r="D924"/>
      <c r="E924"/>
      <c r="F924"/>
      <c r="G924"/>
      <c r="H924"/>
      <c r="I924"/>
      <c r="J924"/>
    </row>
    <row r="925" spans="1:10" x14ac:dyDescent="0.35">
      <c r="A925"/>
      <c r="B925"/>
      <c r="C925"/>
      <c r="D925"/>
      <c r="E925"/>
      <c r="F925"/>
      <c r="G925"/>
      <c r="H925"/>
      <c r="I925"/>
      <c r="J925"/>
    </row>
    <row r="926" spans="1:10" x14ac:dyDescent="0.35">
      <c r="A926"/>
      <c r="B926"/>
      <c r="C926"/>
      <c r="D926"/>
      <c r="E926"/>
      <c r="F926"/>
      <c r="G926"/>
      <c r="H926"/>
      <c r="I926"/>
      <c r="J926"/>
    </row>
    <row r="927" spans="1:10" x14ac:dyDescent="0.35">
      <c r="A927"/>
      <c r="B927"/>
      <c r="C927"/>
      <c r="D927"/>
      <c r="E927"/>
      <c r="F927"/>
      <c r="G927"/>
      <c r="H927"/>
      <c r="I927"/>
      <c r="J927"/>
    </row>
    <row r="928" spans="1:10" x14ac:dyDescent="0.35">
      <c r="A928"/>
      <c r="B928"/>
      <c r="C928"/>
      <c r="D928"/>
      <c r="E928"/>
      <c r="F928"/>
      <c r="G928"/>
      <c r="H928"/>
      <c r="I928"/>
      <c r="J928"/>
    </row>
    <row r="929" spans="1:10" x14ac:dyDescent="0.35">
      <c r="A929"/>
      <c r="B929"/>
      <c r="C929"/>
      <c r="D929"/>
      <c r="E929"/>
      <c r="F929"/>
      <c r="G929"/>
      <c r="H929"/>
      <c r="I929"/>
      <c r="J929"/>
    </row>
    <row r="930" spans="1:10" x14ac:dyDescent="0.35">
      <c r="A930"/>
      <c r="B930"/>
      <c r="C930"/>
      <c r="D930"/>
      <c r="E930"/>
      <c r="F930"/>
      <c r="G930"/>
      <c r="H930"/>
      <c r="I930"/>
      <c r="J930"/>
    </row>
    <row r="931" spans="1:10" x14ac:dyDescent="0.35">
      <c r="A931"/>
      <c r="B931"/>
      <c r="C931"/>
      <c r="D931"/>
      <c r="E931"/>
      <c r="F931"/>
      <c r="G931"/>
      <c r="H931"/>
      <c r="I931"/>
      <c r="J931"/>
    </row>
    <row r="932" spans="1:10" x14ac:dyDescent="0.35">
      <c r="A932"/>
      <c r="B932"/>
      <c r="C932"/>
      <c r="D932"/>
      <c r="E932"/>
      <c r="F932"/>
      <c r="G932"/>
      <c r="H932"/>
      <c r="I932"/>
      <c r="J932"/>
    </row>
    <row r="933" spans="1:10" x14ac:dyDescent="0.35">
      <c r="A933"/>
      <c r="B933"/>
      <c r="C933"/>
      <c r="D933"/>
      <c r="E933"/>
      <c r="F933"/>
      <c r="G933"/>
      <c r="H933"/>
      <c r="I933"/>
      <c r="J933"/>
    </row>
    <row r="934" spans="1:10" x14ac:dyDescent="0.35">
      <c r="A934"/>
      <c r="B934"/>
      <c r="C934"/>
      <c r="D934"/>
      <c r="E934"/>
      <c r="F934"/>
      <c r="G934"/>
      <c r="H934"/>
      <c r="I934"/>
      <c r="J934"/>
    </row>
    <row r="935" spans="1:10" x14ac:dyDescent="0.35">
      <c r="A935"/>
      <c r="B935"/>
      <c r="C935"/>
      <c r="D935"/>
      <c r="E935"/>
      <c r="F935"/>
      <c r="G935"/>
      <c r="H935"/>
      <c r="I935"/>
      <c r="J935"/>
    </row>
    <row r="936" spans="1:10" x14ac:dyDescent="0.35">
      <c r="A936"/>
      <c r="B936"/>
      <c r="C936"/>
      <c r="D936"/>
      <c r="E936"/>
      <c r="F936"/>
      <c r="G936"/>
      <c r="H936"/>
      <c r="I936"/>
      <c r="J936"/>
    </row>
    <row r="937" spans="1:10" x14ac:dyDescent="0.35">
      <c r="A937"/>
      <c r="B937"/>
      <c r="C937"/>
      <c r="D937"/>
      <c r="E937"/>
      <c r="F937"/>
      <c r="G937"/>
      <c r="H937"/>
      <c r="I937"/>
      <c r="J937"/>
    </row>
    <row r="938" spans="1:10" x14ac:dyDescent="0.35">
      <c r="A938"/>
      <c r="B938"/>
      <c r="C938"/>
      <c r="D938"/>
      <c r="E938"/>
      <c r="F938"/>
      <c r="G938"/>
      <c r="H938"/>
      <c r="I938"/>
      <c r="J938"/>
    </row>
    <row r="939" spans="1:10" x14ac:dyDescent="0.35">
      <c r="A939"/>
      <c r="B939"/>
      <c r="C939"/>
      <c r="D939"/>
      <c r="E939"/>
      <c r="F939"/>
      <c r="G939"/>
      <c r="H939"/>
      <c r="I939"/>
      <c r="J939"/>
    </row>
    <row r="940" spans="1:10" x14ac:dyDescent="0.35">
      <c r="A940"/>
      <c r="B940"/>
      <c r="C940"/>
      <c r="D940"/>
      <c r="E940"/>
      <c r="F940"/>
      <c r="G940"/>
      <c r="H940"/>
      <c r="I940"/>
      <c r="J940"/>
    </row>
    <row r="941" spans="1:10" x14ac:dyDescent="0.35">
      <c r="A941"/>
      <c r="B941"/>
      <c r="C941"/>
      <c r="D941"/>
      <c r="E941"/>
      <c r="F941"/>
      <c r="G941"/>
      <c r="H941"/>
      <c r="I941"/>
      <c r="J941"/>
    </row>
    <row r="942" spans="1:10" x14ac:dyDescent="0.35">
      <c r="A942"/>
      <c r="B942"/>
      <c r="C942"/>
      <c r="D942"/>
      <c r="E942"/>
      <c r="F942"/>
      <c r="G942"/>
      <c r="H942"/>
      <c r="I942"/>
      <c r="J942"/>
    </row>
    <row r="943" spans="1:10" x14ac:dyDescent="0.35">
      <c r="A943"/>
      <c r="B943"/>
      <c r="C943"/>
      <c r="D943"/>
      <c r="E943"/>
      <c r="F943"/>
      <c r="G943"/>
      <c r="H943"/>
      <c r="I943"/>
      <c r="J943"/>
    </row>
    <row r="944" spans="1:10" x14ac:dyDescent="0.35">
      <c r="A944"/>
      <c r="B944"/>
      <c r="C944"/>
      <c r="D944"/>
      <c r="E944"/>
      <c r="F944"/>
      <c r="G944"/>
      <c r="H944"/>
      <c r="I944"/>
      <c r="J944"/>
    </row>
    <row r="945" spans="1:10" x14ac:dyDescent="0.35">
      <c r="A945"/>
      <c r="B945"/>
      <c r="C945"/>
      <c r="D945"/>
      <c r="E945"/>
      <c r="F945"/>
      <c r="G945"/>
      <c r="H945"/>
      <c r="I945"/>
      <c r="J945"/>
    </row>
    <row r="946" spans="1:10" x14ac:dyDescent="0.35">
      <c r="A946"/>
      <c r="B946"/>
      <c r="C946"/>
      <c r="D946"/>
      <c r="E946"/>
      <c r="F946"/>
      <c r="G946"/>
      <c r="H946"/>
      <c r="I946"/>
      <c r="J946"/>
    </row>
    <row r="947" spans="1:10" x14ac:dyDescent="0.35">
      <c r="A947"/>
      <c r="B947"/>
      <c r="C947"/>
      <c r="D947"/>
      <c r="E947"/>
      <c r="F947"/>
      <c r="G947"/>
      <c r="H947"/>
      <c r="I947"/>
      <c r="J947"/>
    </row>
    <row r="948" spans="1:10" x14ac:dyDescent="0.35">
      <c r="A948"/>
      <c r="B948"/>
      <c r="C948"/>
      <c r="D948"/>
      <c r="E948"/>
      <c r="F948"/>
      <c r="G948"/>
      <c r="H948"/>
      <c r="I948"/>
      <c r="J948"/>
    </row>
    <row r="949" spans="1:10" x14ac:dyDescent="0.35">
      <c r="A949"/>
      <c r="B949"/>
      <c r="C949"/>
      <c r="D949"/>
      <c r="E949"/>
      <c r="F949"/>
      <c r="G949"/>
      <c r="H949"/>
      <c r="I949"/>
      <c r="J949"/>
    </row>
    <row r="950" spans="1:10" x14ac:dyDescent="0.35">
      <c r="A950"/>
      <c r="B950"/>
      <c r="C950"/>
      <c r="D950"/>
      <c r="E950"/>
      <c r="F950"/>
      <c r="G950"/>
      <c r="H950"/>
      <c r="I950"/>
      <c r="J950"/>
    </row>
    <row r="951" spans="1:10" x14ac:dyDescent="0.35">
      <c r="A951"/>
      <c r="B951"/>
      <c r="C951"/>
      <c r="D951"/>
      <c r="E951"/>
      <c r="F951"/>
      <c r="G951"/>
      <c r="H951"/>
      <c r="I951"/>
      <c r="J951"/>
    </row>
    <row r="952" spans="1:10" x14ac:dyDescent="0.35">
      <c r="A952"/>
      <c r="B952"/>
      <c r="C952"/>
      <c r="D952"/>
      <c r="E952"/>
      <c r="F952"/>
      <c r="G952"/>
      <c r="H952"/>
      <c r="I952"/>
      <c r="J952"/>
    </row>
    <row r="953" spans="1:10" x14ac:dyDescent="0.35">
      <c r="A953"/>
      <c r="B953"/>
      <c r="C953"/>
      <c r="D953"/>
      <c r="E953"/>
      <c r="F953"/>
      <c r="G953"/>
      <c r="H953"/>
      <c r="I953"/>
      <c r="J953"/>
    </row>
    <row r="954" spans="1:10" x14ac:dyDescent="0.35">
      <c r="A954"/>
      <c r="B954"/>
      <c r="C954"/>
      <c r="D954"/>
      <c r="E954"/>
      <c r="F954"/>
      <c r="G954"/>
      <c r="H954"/>
      <c r="I954"/>
      <c r="J954"/>
    </row>
    <row r="955" spans="1:10" x14ac:dyDescent="0.35">
      <c r="A955"/>
      <c r="B955"/>
      <c r="C955"/>
      <c r="D955"/>
      <c r="E955"/>
      <c r="F955"/>
      <c r="G955"/>
      <c r="H955"/>
      <c r="I955"/>
      <c r="J955"/>
    </row>
    <row r="956" spans="1:10" x14ac:dyDescent="0.35">
      <c r="A956"/>
      <c r="B956"/>
      <c r="C956"/>
      <c r="D956"/>
      <c r="E956"/>
      <c r="F956"/>
      <c r="G956"/>
      <c r="H956"/>
      <c r="I956"/>
      <c r="J956"/>
    </row>
    <row r="957" spans="1:10" x14ac:dyDescent="0.35">
      <c r="A957"/>
      <c r="B957"/>
      <c r="C957"/>
      <c r="D957"/>
      <c r="E957"/>
      <c r="F957"/>
      <c r="G957"/>
      <c r="H957"/>
      <c r="I957"/>
      <c r="J957"/>
    </row>
    <row r="958" spans="1:10" x14ac:dyDescent="0.35">
      <c r="A958"/>
      <c r="B958"/>
      <c r="C958"/>
      <c r="D958"/>
      <c r="E958"/>
      <c r="F958"/>
      <c r="G958"/>
      <c r="H958"/>
      <c r="I958"/>
      <c r="J958"/>
    </row>
    <row r="959" spans="1:10" x14ac:dyDescent="0.35">
      <c r="A959"/>
      <c r="B959"/>
      <c r="C959"/>
      <c r="D959"/>
      <c r="E959"/>
      <c r="F959"/>
      <c r="G959"/>
      <c r="H959"/>
      <c r="I959"/>
      <c r="J959"/>
    </row>
    <row r="960" spans="1:10" x14ac:dyDescent="0.35">
      <c r="A960"/>
      <c r="B960"/>
      <c r="C960"/>
      <c r="D960"/>
      <c r="E960"/>
      <c r="F960"/>
      <c r="G960"/>
      <c r="H960"/>
      <c r="I960"/>
      <c r="J960"/>
    </row>
    <row r="961" spans="1:10" x14ac:dyDescent="0.35">
      <c r="A961"/>
      <c r="B961"/>
      <c r="C961"/>
      <c r="D961"/>
      <c r="E961"/>
      <c r="F961"/>
      <c r="G961"/>
      <c r="H961"/>
      <c r="I961"/>
      <c r="J961"/>
    </row>
    <row r="962" spans="1:10" x14ac:dyDescent="0.35">
      <c r="A962"/>
      <c r="B962"/>
      <c r="C962"/>
      <c r="D962"/>
      <c r="E962"/>
      <c r="F962"/>
      <c r="G962"/>
      <c r="H962"/>
      <c r="I962"/>
      <c r="J962"/>
    </row>
    <row r="963" spans="1:10" x14ac:dyDescent="0.35">
      <c r="A963"/>
      <c r="B963"/>
      <c r="C963"/>
      <c r="D963"/>
      <c r="E963"/>
      <c r="F963"/>
      <c r="G963"/>
      <c r="H963"/>
      <c r="I963"/>
      <c r="J963"/>
    </row>
    <row r="964" spans="1:10" x14ac:dyDescent="0.35">
      <c r="A964"/>
      <c r="B964"/>
      <c r="C964"/>
      <c r="D964"/>
      <c r="E964"/>
      <c r="F964"/>
      <c r="G964"/>
      <c r="H964"/>
      <c r="I964"/>
      <c r="J964"/>
    </row>
    <row r="965" spans="1:10" x14ac:dyDescent="0.35">
      <c r="A965"/>
      <c r="B965"/>
      <c r="C965"/>
      <c r="D965"/>
      <c r="E965"/>
      <c r="F965"/>
      <c r="G965"/>
      <c r="H965"/>
      <c r="I965"/>
      <c r="J965"/>
    </row>
    <row r="966" spans="1:10" x14ac:dyDescent="0.35">
      <c r="A966"/>
      <c r="B966"/>
      <c r="C966"/>
      <c r="D966"/>
      <c r="E966"/>
      <c r="F966"/>
      <c r="G966"/>
      <c r="H966"/>
      <c r="I966"/>
      <c r="J966"/>
    </row>
    <row r="967" spans="1:10" x14ac:dyDescent="0.35">
      <c r="A967"/>
      <c r="B967"/>
      <c r="C967"/>
      <c r="D967"/>
      <c r="E967"/>
      <c r="F967"/>
      <c r="G967"/>
      <c r="H967"/>
      <c r="I967"/>
      <c r="J967"/>
    </row>
    <row r="968" spans="1:10" x14ac:dyDescent="0.35">
      <c r="A968"/>
      <c r="B968"/>
      <c r="C968"/>
      <c r="D968"/>
      <c r="E968"/>
      <c r="F968"/>
      <c r="G968"/>
      <c r="H968"/>
      <c r="I968"/>
      <c r="J968"/>
    </row>
    <row r="969" spans="1:10" x14ac:dyDescent="0.35">
      <c r="A969"/>
      <c r="B969"/>
      <c r="C969"/>
      <c r="D969"/>
      <c r="E969"/>
      <c r="F969"/>
      <c r="G969"/>
      <c r="H969"/>
      <c r="I969"/>
      <c r="J969"/>
    </row>
    <row r="970" spans="1:10" x14ac:dyDescent="0.35">
      <c r="A970"/>
      <c r="B970"/>
      <c r="C970"/>
      <c r="D970"/>
      <c r="E970"/>
      <c r="F970"/>
      <c r="G970"/>
      <c r="H970"/>
      <c r="I970"/>
      <c r="J970"/>
    </row>
    <row r="971" spans="1:10" x14ac:dyDescent="0.35">
      <c r="A971"/>
      <c r="B971"/>
      <c r="C971"/>
      <c r="D971"/>
      <c r="E971"/>
      <c r="F971"/>
      <c r="G971"/>
      <c r="H971"/>
      <c r="I971"/>
      <c r="J971"/>
    </row>
    <row r="972" spans="1:10" x14ac:dyDescent="0.35">
      <c r="A972"/>
      <c r="B972"/>
      <c r="C972"/>
      <c r="D972"/>
      <c r="E972"/>
      <c r="F972"/>
      <c r="G972"/>
      <c r="H972"/>
      <c r="I972"/>
      <c r="J972"/>
    </row>
    <row r="973" spans="1:10" x14ac:dyDescent="0.35">
      <c r="A973"/>
      <c r="B973"/>
      <c r="C973"/>
      <c r="D973"/>
      <c r="E973"/>
      <c r="F973"/>
      <c r="G973"/>
      <c r="H973"/>
      <c r="I973"/>
      <c r="J973"/>
    </row>
    <row r="974" spans="1:10" x14ac:dyDescent="0.35">
      <c r="A974"/>
      <c r="B974"/>
      <c r="C974"/>
      <c r="D974"/>
      <c r="E974"/>
      <c r="F974"/>
      <c r="G974"/>
      <c r="H974"/>
      <c r="I974"/>
      <c r="J974"/>
    </row>
    <row r="975" spans="1:10" x14ac:dyDescent="0.35">
      <c r="A975"/>
      <c r="B975"/>
      <c r="C975"/>
      <c r="D975"/>
      <c r="E975"/>
      <c r="F975"/>
      <c r="G975"/>
      <c r="H975"/>
      <c r="I975"/>
      <c r="J975"/>
    </row>
    <row r="976" spans="1:10" x14ac:dyDescent="0.35">
      <c r="A976"/>
      <c r="B976"/>
      <c r="C976"/>
      <c r="D976"/>
      <c r="E976"/>
      <c r="F976"/>
      <c r="G976"/>
      <c r="H976"/>
      <c r="I976"/>
      <c r="J976"/>
    </row>
    <row r="977" spans="1:10" x14ac:dyDescent="0.35">
      <c r="A977"/>
      <c r="B977"/>
      <c r="C977"/>
      <c r="D977"/>
      <c r="E977"/>
      <c r="F977"/>
      <c r="G977"/>
      <c r="H977"/>
      <c r="I977"/>
      <c r="J977"/>
    </row>
    <row r="978" spans="1:10" x14ac:dyDescent="0.35">
      <c r="A978"/>
      <c r="B978"/>
      <c r="C978"/>
      <c r="D978"/>
      <c r="E978"/>
      <c r="F978"/>
      <c r="G978"/>
      <c r="H978"/>
      <c r="I978"/>
      <c r="J978"/>
    </row>
    <row r="979" spans="1:10" x14ac:dyDescent="0.35">
      <c r="A979"/>
      <c r="B979"/>
      <c r="C979"/>
      <c r="D979"/>
      <c r="E979"/>
      <c r="F979"/>
      <c r="G979"/>
      <c r="H979"/>
      <c r="I979"/>
      <c r="J979"/>
    </row>
    <row r="980" spans="1:10" x14ac:dyDescent="0.35">
      <c r="A980"/>
      <c r="B980"/>
      <c r="C980"/>
      <c r="D980"/>
      <c r="E980"/>
      <c r="F980"/>
      <c r="G980"/>
      <c r="H980"/>
      <c r="I980"/>
      <c r="J980"/>
    </row>
    <row r="981" spans="1:10" x14ac:dyDescent="0.35">
      <c r="A981"/>
      <c r="B981"/>
      <c r="C981"/>
      <c r="D981"/>
      <c r="E981"/>
      <c r="F981"/>
      <c r="G981"/>
      <c r="H981"/>
      <c r="I981"/>
      <c r="J981"/>
    </row>
    <row r="982" spans="1:10" x14ac:dyDescent="0.35">
      <c r="A982"/>
      <c r="B982"/>
      <c r="C982"/>
      <c r="D982"/>
      <c r="E982"/>
      <c r="F982"/>
      <c r="G982"/>
      <c r="H982"/>
      <c r="I982"/>
      <c r="J982"/>
    </row>
    <row r="983" spans="1:10" x14ac:dyDescent="0.35">
      <c r="A983"/>
      <c r="B983"/>
      <c r="C983"/>
      <c r="D983"/>
      <c r="E983"/>
      <c r="F983"/>
      <c r="G983"/>
      <c r="H983"/>
      <c r="I983"/>
      <c r="J983"/>
    </row>
    <row r="984" spans="1:10" x14ac:dyDescent="0.35">
      <c r="A984"/>
      <c r="B984"/>
      <c r="C984"/>
      <c r="D984"/>
      <c r="E984"/>
      <c r="F984"/>
      <c r="G984"/>
      <c r="H984"/>
      <c r="I984"/>
      <c r="J984"/>
    </row>
    <row r="985" spans="1:10" x14ac:dyDescent="0.35">
      <c r="A985"/>
      <c r="B985"/>
      <c r="C985"/>
      <c r="D985"/>
      <c r="E985"/>
      <c r="F985"/>
      <c r="G985"/>
      <c r="H985"/>
      <c r="I985"/>
      <c r="J985"/>
    </row>
    <row r="986" spans="1:10" x14ac:dyDescent="0.35">
      <c r="A986"/>
      <c r="B986"/>
      <c r="C986"/>
      <c r="D986"/>
      <c r="E986"/>
      <c r="F986"/>
      <c r="G986"/>
      <c r="H986"/>
      <c r="I986"/>
      <c r="J986"/>
    </row>
    <row r="987" spans="1:10" x14ac:dyDescent="0.35">
      <c r="A987"/>
      <c r="B987"/>
      <c r="C987"/>
      <c r="D987"/>
      <c r="E987"/>
      <c r="F987"/>
      <c r="G987"/>
      <c r="H987"/>
      <c r="I987"/>
      <c r="J987"/>
    </row>
    <row r="988" spans="1:10" x14ac:dyDescent="0.35">
      <c r="A988"/>
      <c r="B988"/>
      <c r="C988"/>
      <c r="D988"/>
      <c r="E988"/>
      <c r="F988"/>
      <c r="G988"/>
      <c r="H988"/>
      <c r="I988"/>
      <c r="J988"/>
    </row>
    <row r="989" spans="1:10" x14ac:dyDescent="0.35">
      <c r="A989"/>
      <c r="B989"/>
      <c r="C989"/>
      <c r="D989"/>
      <c r="E989"/>
      <c r="F989"/>
      <c r="G989"/>
      <c r="H989"/>
      <c r="I989"/>
      <c r="J989"/>
    </row>
    <row r="990" spans="1:10" x14ac:dyDescent="0.35">
      <c r="A990"/>
      <c r="B990"/>
      <c r="C990"/>
      <c r="D990"/>
      <c r="E990"/>
      <c r="F990"/>
      <c r="G990"/>
      <c r="H990"/>
      <c r="I990"/>
      <c r="J990"/>
    </row>
    <row r="991" spans="1:10" x14ac:dyDescent="0.35">
      <c r="A991"/>
      <c r="B991"/>
      <c r="C991"/>
      <c r="D991"/>
      <c r="E991"/>
      <c r="F991"/>
      <c r="G991"/>
      <c r="H991"/>
      <c r="I991"/>
      <c r="J991"/>
    </row>
    <row r="992" spans="1:10" x14ac:dyDescent="0.35">
      <c r="A992"/>
      <c r="B992"/>
      <c r="C992"/>
      <c r="D992"/>
      <c r="E992"/>
      <c r="F992"/>
      <c r="G992"/>
      <c r="H992"/>
      <c r="I992"/>
      <c r="J992"/>
    </row>
    <row r="993" spans="1:10" x14ac:dyDescent="0.35">
      <c r="A993"/>
      <c r="B993"/>
      <c r="C993"/>
      <c r="D993"/>
      <c r="E993"/>
      <c r="F993"/>
      <c r="G993"/>
      <c r="H993"/>
      <c r="I993"/>
      <c r="J993"/>
    </row>
    <row r="994" spans="1:10" x14ac:dyDescent="0.35">
      <c r="A994"/>
      <c r="B994"/>
      <c r="C994"/>
      <c r="D994"/>
      <c r="E994"/>
      <c r="F994"/>
      <c r="G994"/>
      <c r="H994"/>
      <c r="I994"/>
      <c r="J994"/>
    </row>
    <row r="995" spans="1:10" x14ac:dyDescent="0.35">
      <c r="A995"/>
      <c r="B995"/>
      <c r="C995"/>
      <c r="D995"/>
      <c r="E995"/>
      <c r="F995"/>
      <c r="G995"/>
      <c r="H995"/>
      <c r="I995"/>
      <c r="J995"/>
    </row>
    <row r="996" spans="1:10" x14ac:dyDescent="0.35">
      <c r="A996"/>
      <c r="B996"/>
      <c r="C996"/>
      <c r="D996"/>
      <c r="E996"/>
      <c r="F996"/>
      <c r="G996"/>
      <c r="H996"/>
      <c r="I996"/>
      <c r="J996"/>
    </row>
    <row r="997" spans="1:10" x14ac:dyDescent="0.35">
      <c r="A997"/>
      <c r="B997"/>
      <c r="C997"/>
      <c r="D997"/>
      <c r="E997"/>
      <c r="F997"/>
      <c r="G997"/>
      <c r="H997"/>
      <c r="I997"/>
      <c r="J997"/>
    </row>
    <row r="998" spans="1:10" x14ac:dyDescent="0.35">
      <c r="A998"/>
      <c r="B998"/>
      <c r="C998"/>
      <c r="D998"/>
      <c r="E998"/>
      <c r="F998"/>
      <c r="G998"/>
      <c r="H998"/>
      <c r="I998"/>
      <c r="J998"/>
    </row>
    <row r="999" spans="1:10" x14ac:dyDescent="0.35">
      <c r="A999"/>
      <c r="B999"/>
      <c r="C999"/>
      <c r="D999"/>
      <c r="E999"/>
      <c r="F999"/>
      <c r="G999"/>
      <c r="H999"/>
      <c r="I999"/>
      <c r="J999"/>
    </row>
    <row r="1000" spans="1:10" x14ac:dyDescent="0.35">
      <c r="A1000"/>
      <c r="B1000"/>
      <c r="C1000"/>
      <c r="D1000"/>
      <c r="E1000"/>
      <c r="F1000"/>
      <c r="G1000"/>
      <c r="H1000"/>
      <c r="I1000"/>
      <c r="J1000"/>
    </row>
    <row r="1001" spans="1:10" x14ac:dyDescent="0.35">
      <c r="A1001"/>
      <c r="B1001"/>
      <c r="C1001"/>
      <c r="D1001"/>
      <c r="E1001"/>
      <c r="F1001"/>
      <c r="G1001"/>
      <c r="H1001"/>
      <c r="I1001"/>
      <c r="J1001"/>
    </row>
    <row r="1002" spans="1:10" x14ac:dyDescent="0.35">
      <c r="A1002"/>
      <c r="B1002"/>
      <c r="C1002"/>
      <c r="D1002"/>
      <c r="E1002"/>
      <c r="F1002"/>
      <c r="G1002"/>
      <c r="H1002"/>
      <c r="I1002"/>
      <c r="J1002"/>
    </row>
    <row r="1003" spans="1:10" x14ac:dyDescent="0.35">
      <c r="A1003"/>
      <c r="B1003"/>
      <c r="C1003"/>
      <c r="D1003"/>
      <c r="E1003"/>
      <c r="F1003"/>
      <c r="G1003"/>
      <c r="H1003"/>
      <c r="I1003"/>
      <c r="J1003"/>
    </row>
    <row r="1004" spans="1:10" x14ac:dyDescent="0.35">
      <c r="A1004"/>
      <c r="B1004"/>
      <c r="C1004"/>
      <c r="D1004"/>
      <c r="E1004"/>
      <c r="F1004"/>
      <c r="G1004"/>
      <c r="H1004"/>
      <c r="I1004"/>
      <c r="J1004"/>
    </row>
    <row r="1005" spans="1:10" x14ac:dyDescent="0.35">
      <c r="A1005"/>
      <c r="B1005"/>
      <c r="C1005"/>
      <c r="D1005"/>
      <c r="E1005"/>
      <c r="F1005"/>
      <c r="G1005"/>
      <c r="H1005"/>
      <c r="I1005"/>
      <c r="J1005"/>
    </row>
    <row r="1006" spans="1:10" x14ac:dyDescent="0.35">
      <c r="A1006"/>
      <c r="B1006"/>
      <c r="C1006"/>
      <c r="D1006"/>
      <c r="E1006"/>
      <c r="F1006"/>
      <c r="G1006"/>
      <c r="H1006"/>
      <c r="I1006"/>
      <c r="J1006"/>
    </row>
    <row r="1007" spans="1:10" x14ac:dyDescent="0.35">
      <c r="A1007"/>
      <c r="B1007"/>
      <c r="C1007"/>
      <c r="D1007"/>
      <c r="E1007"/>
      <c r="F1007"/>
      <c r="G1007"/>
      <c r="H1007"/>
      <c r="I1007"/>
      <c r="J1007"/>
    </row>
    <row r="1008" spans="1:10" x14ac:dyDescent="0.35">
      <c r="A1008"/>
      <c r="B1008"/>
      <c r="C1008"/>
      <c r="D1008"/>
      <c r="E1008"/>
      <c r="F1008"/>
      <c r="G1008"/>
      <c r="H1008"/>
      <c r="I1008"/>
      <c r="J1008"/>
    </row>
    <row r="1009" spans="1:10" x14ac:dyDescent="0.35">
      <c r="A1009"/>
      <c r="B1009"/>
      <c r="C1009"/>
      <c r="D1009"/>
      <c r="E1009"/>
      <c r="F1009"/>
      <c r="G1009"/>
      <c r="H1009"/>
      <c r="I1009"/>
      <c r="J1009"/>
    </row>
    <row r="1010" spans="1:10" x14ac:dyDescent="0.35">
      <c r="A1010"/>
      <c r="B1010"/>
      <c r="C1010"/>
      <c r="D1010"/>
      <c r="E1010"/>
      <c r="F1010"/>
      <c r="G1010"/>
      <c r="H1010"/>
      <c r="I1010"/>
      <c r="J1010"/>
    </row>
    <row r="1011" spans="1:10" x14ac:dyDescent="0.35">
      <c r="A1011"/>
      <c r="B1011"/>
      <c r="C1011"/>
      <c r="D1011"/>
      <c r="E1011"/>
      <c r="F1011"/>
      <c r="G1011"/>
      <c r="H1011"/>
      <c r="I1011"/>
      <c r="J1011"/>
    </row>
    <row r="1012" spans="1:10" x14ac:dyDescent="0.35">
      <c r="A1012"/>
      <c r="B1012"/>
      <c r="C1012"/>
      <c r="D1012"/>
      <c r="E1012"/>
      <c r="F1012"/>
      <c r="G1012"/>
      <c r="H1012"/>
      <c r="I1012"/>
      <c r="J1012"/>
    </row>
    <row r="1013" spans="1:10" x14ac:dyDescent="0.35">
      <c r="A1013"/>
      <c r="B1013"/>
      <c r="C1013"/>
      <c r="D1013"/>
      <c r="E1013"/>
      <c r="F1013"/>
      <c r="G1013"/>
      <c r="H1013"/>
      <c r="I1013"/>
      <c r="J1013"/>
    </row>
    <row r="1014" spans="1:10" x14ac:dyDescent="0.35">
      <c r="A1014"/>
      <c r="B1014"/>
      <c r="C1014"/>
      <c r="D1014"/>
      <c r="E1014"/>
      <c r="F1014"/>
      <c r="G1014"/>
      <c r="H1014"/>
      <c r="I1014"/>
      <c r="J1014"/>
    </row>
    <row r="1015" spans="1:10" x14ac:dyDescent="0.35">
      <c r="A1015"/>
      <c r="B1015"/>
      <c r="C1015"/>
      <c r="D1015"/>
      <c r="E1015"/>
      <c r="F1015"/>
      <c r="G1015"/>
      <c r="H1015"/>
      <c r="I1015"/>
      <c r="J1015"/>
    </row>
    <row r="1016" spans="1:10" x14ac:dyDescent="0.35">
      <c r="A1016"/>
      <c r="B1016"/>
      <c r="C1016"/>
      <c r="D1016"/>
      <c r="E1016"/>
      <c r="F1016"/>
      <c r="G1016"/>
      <c r="H1016"/>
      <c r="I1016"/>
      <c r="J1016"/>
    </row>
    <row r="1017" spans="1:10" x14ac:dyDescent="0.35">
      <c r="A1017"/>
      <c r="B1017"/>
      <c r="C1017"/>
      <c r="D1017"/>
      <c r="E1017"/>
      <c r="F1017"/>
      <c r="G1017"/>
      <c r="H1017"/>
      <c r="I1017"/>
      <c r="J1017"/>
    </row>
    <row r="1018" spans="1:10" x14ac:dyDescent="0.35">
      <c r="A1018"/>
      <c r="B1018"/>
      <c r="C1018"/>
      <c r="D1018"/>
      <c r="E1018"/>
      <c r="F1018"/>
      <c r="G1018"/>
      <c r="H1018"/>
      <c r="I1018"/>
      <c r="J1018"/>
    </row>
    <row r="1019" spans="1:10" x14ac:dyDescent="0.35">
      <c r="A1019"/>
      <c r="B1019"/>
      <c r="C1019"/>
      <c r="D1019"/>
      <c r="E1019"/>
      <c r="F1019"/>
      <c r="G1019"/>
      <c r="H1019"/>
      <c r="I1019"/>
      <c r="J1019"/>
    </row>
    <row r="1020" spans="1:10" x14ac:dyDescent="0.35">
      <c r="A1020"/>
      <c r="B1020"/>
      <c r="C1020"/>
      <c r="D1020"/>
      <c r="E1020"/>
      <c r="F1020"/>
      <c r="G1020"/>
      <c r="H1020"/>
      <c r="I1020"/>
      <c r="J1020"/>
    </row>
    <row r="1021" spans="1:10" x14ac:dyDescent="0.35">
      <c r="A1021"/>
      <c r="B1021"/>
      <c r="C1021"/>
      <c r="D1021"/>
      <c r="E1021"/>
      <c r="F1021"/>
      <c r="G1021"/>
      <c r="H1021"/>
      <c r="I1021"/>
      <c r="J1021"/>
    </row>
    <row r="1022" spans="1:10" x14ac:dyDescent="0.35">
      <c r="A1022"/>
      <c r="B1022"/>
      <c r="C1022"/>
      <c r="D1022"/>
      <c r="E1022"/>
      <c r="F1022"/>
      <c r="G1022"/>
      <c r="H1022"/>
      <c r="I1022"/>
      <c r="J1022"/>
    </row>
    <row r="1023" spans="1:10" x14ac:dyDescent="0.35">
      <c r="A1023"/>
      <c r="B1023"/>
      <c r="C1023"/>
      <c r="D1023"/>
      <c r="E1023"/>
      <c r="F1023"/>
      <c r="G1023"/>
      <c r="H1023"/>
      <c r="I1023"/>
      <c r="J1023"/>
    </row>
    <row r="1024" spans="1:10" x14ac:dyDescent="0.35">
      <c r="A1024"/>
      <c r="B1024"/>
      <c r="C1024"/>
      <c r="D1024"/>
      <c r="E1024"/>
      <c r="F1024"/>
      <c r="G1024"/>
      <c r="H1024"/>
      <c r="I1024"/>
      <c r="J1024"/>
    </row>
    <row r="1025" spans="1:10" x14ac:dyDescent="0.35">
      <c r="A1025"/>
      <c r="B1025"/>
      <c r="C1025"/>
      <c r="D1025"/>
      <c r="E1025"/>
      <c r="F1025"/>
      <c r="G1025"/>
      <c r="H1025"/>
      <c r="I1025"/>
      <c r="J1025"/>
    </row>
    <row r="1026" spans="1:10" x14ac:dyDescent="0.35">
      <c r="A1026"/>
      <c r="B1026"/>
      <c r="C1026"/>
      <c r="D1026"/>
      <c r="E1026"/>
      <c r="F1026"/>
      <c r="G1026"/>
      <c r="H1026"/>
      <c r="I1026"/>
      <c r="J1026"/>
    </row>
    <row r="1027" spans="1:10" x14ac:dyDescent="0.35">
      <c r="A1027"/>
      <c r="B1027"/>
      <c r="C1027"/>
      <c r="D1027"/>
      <c r="E1027"/>
      <c r="F1027"/>
      <c r="G1027"/>
      <c r="H1027"/>
      <c r="I1027"/>
      <c r="J1027"/>
    </row>
    <row r="1028" spans="1:10" x14ac:dyDescent="0.35">
      <c r="A1028"/>
      <c r="B1028"/>
      <c r="C1028"/>
      <c r="D1028"/>
      <c r="E1028"/>
      <c r="F1028"/>
      <c r="G1028"/>
      <c r="H1028"/>
      <c r="I1028"/>
      <c r="J1028"/>
    </row>
    <row r="1029" spans="1:10" x14ac:dyDescent="0.35">
      <c r="A1029"/>
      <c r="B1029"/>
      <c r="C1029"/>
      <c r="D1029"/>
      <c r="E1029"/>
      <c r="F1029"/>
      <c r="G1029"/>
      <c r="H1029"/>
      <c r="I1029"/>
      <c r="J1029"/>
    </row>
    <row r="1030" spans="1:10" x14ac:dyDescent="0.35">
      <c r="A1030"/>
      <c r="B1030"/>
      <c r="C1030"/>
      <c r="D1030"/>
      <c r="E1030"/>
      <c r="F1030"/>
      <c r="G1030"/>
      <c r="H1030"/>
      <c r="I1030"/>
      <c r="J1030"/>
    </row>
    <row r="1031" spans="1:10" x14ac:dyDescent="0.35">
      <c r="A1031"/>
      <c r="B1031"/>
      <c r="C1031"/>
      <c r="D1031"/>
      <c r="E1031"/>
      <c r="F1031"/>
      <c r="G1031"/>
      <c r="H1031"/>
      <c r="I1031"/>
      <c r="J1031"/>
    </row>
    <row r="1032" spans="1:10" x14ac:dyDescent="0.35">
      <c r="A1032"/>
      <c r="B1032"/>
      <c r="C1032"/>
      <c r="D1032"/>
      <c r="E1032"/>
      <c r="F1032"/>
      <c r="G1032"/>
      <c r="H1032"/>
      <c r="I1032"/>
      <c r="J1032"/>
    </row>
    <row r="1033" spans="1:10" x14ac:dyDescent="0.35">
      <c r="A1033"/>
      <c r="B1033"/>
      <c r="C1033"/>
      <c r="D1033"/>
      <c r="E1033"/>
      <c r="F1033"/>
      <c r="G1033"/>
      <c r="H1033"/>
      <c r="I1033"/>
      <c r="J1033"/>
    </row>
    <row r="1034" spans="1:10" x14ac:dyDescent="0.35">
      <c r="A1034"/>
      <c r="B1034"/>
      <c r="C1034"/>
      <c r="D1034"/>
      <c r="E1034"/>
      <c r="F1034"/>
      <c r="G1034"/>
      <c r="H1034"/>
      <c r="I1034"/>
      <c r="J1034"/>
    </row>
    <row r="1035" spans="1:10" x14ac:dyDescent="0.35">
      <c r="A1035"/>
      <c r="B1035"/>
      <c r="C1035"/>
      <c r="D1035"/>
      <c r="E1035"/>
      <c r="F1035"/>
      <c r="G1035"/>
      <c r="H1035"/>
      <c r="I1035"/>
      <c r="J1035"/>
    </row>
    <row r="1036" spans="1:10" x14ac:dyDescent="0.35">
      <c r="A1036"/>
      <c r="B1036"/>
      <c r="C1036"/>
      <c r="D1036"/>
      <c r="E1036"/>
      <c r="F1036"/>
      <c r="G1036"/>
      <c r="H1036"/>
      <c r="I1036"/>
      <c r="J1036"/>
    </row>
    <row r="1037" spans="1:10" x14ac:dyDescent="0.35">
      <c r="A1037"/>
      <c r="B1037"/>
      <c r="C1037"/>
      <c r="D1037"/>
      <c r="E1037"/>
      <c r="F1037"/>
      <c r="G1037"/>
      <c r="H1037"/>
      <c r="I1037"/>
      <c r="J1037"/>
    </row>
    <row r="1038" spans="1:10" x14ac:dyDescent="0.35">
      <c r="A1038"/>
      <c r="B1038"/>
      <c r="C1038"/>
      <c r="D1038"/>
      <c r="E1038"/>
      <c r="F1038"/>
      <c r="G1038"/>
      <c r="H1038"/>
      <c r="I1038"/>
      <c r="J1038"/>
    </row>
    <row r="1039" spans="1:10" x14ac:dyDescent="0.35">
      <c r="A1039"/>
      <c r="B1039"/>
      <c r="C1039"/>
      <c r="D1039"/>
      <c r="E1039"/>
      <c r="F1039"/>
      <c r="G1039"/>
      <c r="H1039"/>
      <c r="I1039"/>
      <c r="J1039"/>
    </row>
    <row r="1040" spans="1:10" x14ac:dyDescent="0.35">
      <c r="A1040"/>
      <c r="B1040"/>
      <c r="C1040"/>
      <c r="D1040"/>
      <c r="E1040"/>
      <c r="F1040"/>
      <c r="G1040"/>
      <c r="H1040"/>
      <c r="I1040"/>
      <c r="J1040"/>
    </row>
    <row r="1041" spans="1:10" x14ac:dyDescent="0.35">
      <c r="A1041"/>
      <c r="B1041"/>
      <c r="C1041"/>
      <c r="D1041"/>
      <c r="E1041"/>
      <c r="F1041"/>
      <c r="G1041"/>
      <c r="H1041"/>
      <c r="I1041"/>
      <c r="J1041"/>
    </row>
    <row r="1042" spans="1:10" x14ac:dyDescent="0.35">
      <c r="A1042"/>
      <c r="B1042"/>
      <c r="C1042"/>
      <c r="D1042"/>
      <c r="E1042"/>
      <c r="F1042"/>
      <c r="G1042"/>
      <c r="H1042"/>
      <c r="I1042"/>
      <c r="J1042"/>
    </row>
    <row r="1043" spans="1:10" x14ac:dyDescent="0.35">
      <c r="A1043"/>
      <c r="B1043"/>
      <c r="C1043"/>
      <c r="D1043"/>
      <c r="E1043"/>
      <c r="F1043"/>
      <c r="G1043"/>
      <c r="H1043"/>
      <c r="I1043"/>
      <c r="J1043"/>
    </row>
    <row r="1044" spans="1:10" x14ac:dyDescent="0.35">
      <c r="A1044"/>
      <c r="B1044"/>
      <c r="C1044"/>
      <c r="D1044"/>
      <c r="E1044"/>
      <c r="F1044"/>
      <c r="G1044"/>
      <c r="H1044"/>
      <c r="I1044"/>
      <c r="J1044"/>
    </row>
    <row r="1045" spans="1:10" x14ac:dyDescent="0.35">
      <c r="A1045"/>
      <c r="B1045"/>
      <c r="C1045"/>
      <c r="D1045"/>
      <c r="E1045"/>
      <c r="F1045"/>
      <c r="G1045"/>
      <c r="H1045"/>
      <c r="I1045"/>
      <c r="J1045"/>
    </row>
    <row r="1046" spans="1:10" x14ac:dyDescent="0.35">
      <c r="A1046"/>
      <c r="B1046"/>
      <c r="C1046"/>
      <c r="D1046"/>
      <c r="E1046"/>
      <c r="F1046"/>
      <c r="G1046"/>
      <c r="H1046"/>
      <c r="I1046"/>
      <c r="J1046"/>
    </row>
    <row r="1047" spans="1:10" x14ac:dyDescent="0.35">
      <c r="A1047"/>
      <c r="B1047"/>
      <c r="C1047"/>
      <c r="D1047"/>
      <c r="E1047"/>
      <c r="F1047"/>
      <c r="G1047"/>
      <c r="H1047"/>
      <c r="I1047"/>
      <c r="J1047"/>
    </row>
    <row r="1048" spans="1:10" x14ac:dyDescent="0.35">
      <c r="A1048"/>
      <c r="B1048"/>
      <c r="C1048"/>
      <c r="D1048"/>
      <c r="E1048"/>
      <c r="F1048"/>
      <c r="G1048"/>
      <c r="H1048"/>
      <c r="I1048"/>
      <c r="J1048"/>
    </row>
    <row r="1049" spans="1:10" x14ac:dyDescent="0.35">
      <c r="A1049"/>
      <c r="B1049"/>
      <c r="C1049"/>
      <c r="D1049"/>
      <c r="E1049"/>
      <c r="F1049"/>
      <c r="G1049"/>
      <c r="H1049"/>
      <c r="I1049"/>
      <c r="J1049"/>
    </row>
    <row r="1050" spans="1:10" x14ac:dyDescent="0.35">
      <c r="A1050"/>
      <c r="B1050"/>
      <c r="C1050"/>
      <c r="D1050"/>
      <c r="E1050"/>
      <c r="F1050"/>
      <c r="G1050"/>
      <c r="H1050"/>
      <c r="I1050"/>
      <c r="J1050"/>
    </row>
    <row r="1051" spans="1:10" x14ac:dyDescent="0.35">
      <c r="A1051"/>
      <c r="B1051"/>
      <c r="C1051"/>
      <c r="D1051"/>
      <c r="E1051"/>
      <c r="F1051"/>
      <c r="G1051"/>
      <c r="H1051"/>
      <c r="I1051"/>
      <c r="J1051"/>
    </row>
    <row r="1052" spans="1:10" x14ac:dyDescent="0.35">
      <c r="A1052"/>
      <c r="B1052"/>
      <c r="C1052"/>
      <c r="D1052"/>
      <c r="E1052"/>
      <c r="F1052"/>
      <c r="G1052"/>
      <c r="H1052"/>
      <c r="I1052"/>
      <c r="J1052"/>
    </row>
    <row r="1053" spans="1:10" x14ac:dyDescent="0.35">
      <c r="A1053"/>
      <c r="B1053"/>
      <c r="C1053"/>
      <c r="D1053"/>
      <c r="E1053"/>
      <c r="F1053"/>
      <c r="G1053"/>
      <c r="H1053"/>
      <c r="I1053"/>
      <c r="J1053"/>
    </row>
    <row r="1054" spans="1:10" x14ac:dyDescent="0.35">
      <c r="A1054"/>
      <c r="B1054"/>
      <c r="C1054"/>
      <c r="D1054"/>
      <c r="E1054"/>
      <c r="F1054"/>
      <c r="G1054"/>
      <c r="H1054"/>
      <c r="I1054"/>
      <c r="J1054"/>
    </row>
    <row r="1055" spans="1:10" x14ac:dyDescent="0.35">
      <c r="A1055"/>
      <c r="B1055"/>
      <c r="C1055"/>
      <c r="D1055"/>
      <c r="E1055"/>
      <c r="F1055"/>
      <c r="G1055"/>
      <c r="H1055"/>
      <c r="I1055"/>
      <c r="J1055"/>
    </row>
    <row r="1056" spans="1:10" x14ac:dyDescent="0.35">
      <c r="A1056"/>
      <c r="B1056"/>
      <c r="C1056"/>
      <c r="D1056"/>
      <c r="E1056"/>
      <c r="F1056"/>
      <c r="G1056"/>
      <c r="H1056"/>
      <c r="I1056"/>
      <c r="J1056"/>
    </row>
    <row r="1057" spans="1:10" x14ac:dyDescent="0.35">
      <c r="A1057"/>
      <c r="B1057"/>
      <c r="C1057"/>
      <c r="D1057"/>
      <c r="E1057"/>
      <c r="F1057"/>
      <c r="G1057"/>
      <c r="H1057"/>
      <c r="I1057"/>
      <c r="J1057"/>
    </row>
    <row r="1058" spans="1:10" x14ac:dyDescent="0.35">
      <c r="A1058"/>
      <c r="B1058"/>
      <c r="C1058"/>
      <c r="D1058"/>
      <c r="E1058"/>
      <c r="F1058"/>
      <c r="G1058"/>
      <c r="H1058"/>
      <c r="I1058"/>
      <c r="J1058"/>
    </row>
    <row r="1059" spans="1:10" x14ac:dyDescent="0.35">
      <c r="A1059"/>
      <c r="B1059"/>
      <c r="C1059"/>
      <c r="D1059"/>
      <c r="E1059"/>
      <c r="F1059"/>
      <c r="G1059"/>
      <c r="H1059"/>
      <c r="I1059"/>
      <c r="J1059"/>
    </row>
    <row r="1060" spans="1:10" x14ac:dyDescent="0.35">
      <c r="A1060"/>
      <c r="B1060"/>
      <c r="C1060"/>
      <c r="D1060"/>
      <c r="E1060"/>
      <c r="F1060"/>
      <c r="G1060"/>
      <c r="H1060"/>
      <c r="I1060"/>
      <c r="J1060"/>
    </row>
    <row r="1061" spans="1:10" x14ac:dyDescent="0.35">
      <c r="A1061"/>
      <c r="B1061"/>
      <c r="C1061"/>
      <c r="D1061"/>
      <c r="E1061"/>
      <c r="F1061"/>
      <c r="G1061"/>
      <c r="H1061"/>
      <c r="I1061"/>
      <c r="J1061"/>
    </row>
    <row r="1062" spans="1:10" x14ac:dyDescent="0.35">
      <c r="A1062"/>
      <c r="B1062"/>
      <c r="C1062"/>
      <c r="D1062"/>
      <c r="E1062"/>
      <c r="F1062"/>
      <c r="G1062"/>
      <c r="H1062"/>
      <c r="I1062"/>
      <c r="J1062"/>
    </row>
    <row r="1063" spans="1:10" x14ac:dyDescent="0.35">
      <c r="A1063"/>
      <c r="B1063"/>
      <c r="C1063"/>
      <c r="D1063"/>
      <c r="E1063"/>
      <c r="F1063"/>
      <c r="G1063"/>
      <c r="H1063"/>
      <c r="I1063"/>
      <c r="J1063"/>
    </row>
    <row r="1064" spans="1:10" x14ac:dyDescent="0.35">
      <c r="A1064"/>
      <c r="B1064"/>
      <c r="C1064"/>
      <c r="D1064"/>
      <c r="E1064"/>
      <c r="F1064"/>
      <c r="G1064"/>
      <c r="H1064"/>
      <c r="I1064"/>
      <c r="J1064"/>
    </row>
    <row r="1065" spans="1:10" x14ac:dyDescent="0.35">
      <c r="A1065"/>
      <c r="B1065"/>
      <c r="C1065"/>
      <c r="D1065"/>
      <c r="E1065"/>
      <c r="F1065"/>
      <c r="G1065"/>
      <c r="H1065"/>
      <c r="I1065"/>
      <c r="J1065"/>
    </row>
    <row r="1066" spans="1:10" x14ac:dyDescent="0.35">
      <c r="A1066"/>
      <c r="B1066"/>
      <c r="C1066"/>
      <c r="D1066"/>
      <c r="E1066"/>
      <c r="F1066"/>
      <c r="G1066"/>
      <c r="H1066"/>
      <c r="I1066"/>
      <c r="J1066"/>
    </row>
    <row r="1067" spans="1:10" x14ac:dyDescent="0.35">
      <c r="A1067"/>
      <c r="B1067"/>
      <c r="C1067"/>
      <c r="D1067"/>
      <c r="E1067"/>
      <c r="F1067"/>
      <c r="G1067"/>
      <c r="H1067"/>
      <c r="I1067"/>
      <c r="J1067"/>
    </row>
    <row r="1068" spans="1:10" x14ac:dyDescent="0.35">
      <c r="A1068"/>
      <c r="B1068"/>
      <c r="C1068"/>
      <c r="D1068"/>
      <c r="E1068"/>
      <c r="F1068"/>
      <c r="G1068"/>
      <c r="H1068"/>
      <c r="I1068"/>
      <c r="J1068"/>
    </row>
    <row r="1069" spans="1:10" x14ac:dyDescent="0.35">
      <c r="A1069"/>
      <c r="B1069"/>
      <c r="C1069"/>
      <c r="D1069"/>
      <c r="E1069"/>
      <c r="F1069"/>
      <c r="G1069"/>
      <c r="H1069"/>
      <c r="I1069"/>
      <c r="J1069"/>
    </row>
    <row r="1070" spans="1:10" x14ac:dyDescent="0.35">
      <c r="A1070"/>
      <c r="B1070"/>
      <c r="C1070"/>
      <c r="D1070"/>
      <c r="E1070"/>
      <c r="F1070"/>
      <c r="G1070"/>
      <c r="H1070"/>
      <c r="I1070"/>
      <c r="J1070"/>
    </row>
    <row r="1071" spans="1:10" x14ac:dyDescent="0.35">
      <c r="A1071"/>
      <c r="B1071"/>
      <c r="C1071"/>
      <c r="D1071"/>
      <c r="E1071"/>
      <c r="F1071"/>
      <c r="G1071"/>
      <c r="H1071"/>
      <c r="I1071"/>
      <c r="J1071"/>
    </row>
    <row r="1072" spans="1:10" x14ac:dyDescent="0.35">
      <c r="A1072"/>
      <c r="B1072"/>
      <c r="C1072"/>
      <c r="D1072"/>
      <c r="E1072"/>
      <c r="F1072"/>
      <c r="G1072"/>
      <c r="H1072"/>
      <c r="I1072"/>
      <c r="J1072"/>
    </row>
    <row r="1073" spans="1:10" x14ac:dyDescent="0.35">
      <c r="A1073"/>
      <c r="B1073"/>
      <c r="C1073"/>
      <c r="D1073"/>
      <c r="E1073"/>
      <c r="F1073"/>
      <c r="G1073"/>
      <c r="H1073"/>
      <c r="I1073"/>
      <c r="J1073"/>
    </row>
    <row r="1074" spans="1:10" x14ac:dyDescent="0.35">
      <c r="A1074"/>
      <c r="B1074"/>
      <c r="C1074"/>
      <c r="D1074"/>
      <c r="E1074"/>
      <c r="F1074"/>
      <c r="G1074"/>
      <c r="H1074"/>
      <c r="I1074"/>
      <c r="J1074"/>
    </row>
    <row r="1075" spans="1:10" x14ac:dyDescent="0.35">
      <c r="A1075"/>
      <c r="B1075"/>
      <c r="C1075"/>
      <c r="D1075"/>
      <c r="E1075"/>
      <c r="F1075"/>
      <c r="G1075"/>
      <c r="H1075"/>
      <c r="I1075"/>
      <c r="J1075"/>
    </row>
    <row r="1076" spans="1:10" x14ac:dyDescent="0.35">
      <c r="A1076"/>
      <c r="B1076"/>
      <c r="C1076"/>
      <c r="D1076"/>
      <c r="E1076"/>
      <c r="F1076"/>
      <c r="G1076"/>
      <c r="H1076"/>
      <c r="I1076"/>
      <c r="J1076"/>
    </row>
    <row r="1077" spans="1:10" x14ac:dyDescent="0.35">
      <c r="A1077"/>
      <c r="B1077"/>
      <c r="C1077"/>
      <c r="D1077"/>
      <c r="E1077"/>
      <c r="F1077"/>
      <c r="G1077"/>
      <c r="H1077"/>
      <c r="I1077"/>
      <c r="J1077"/>
    </row>
    <row r="1078" spans="1:10" x14ac:dyDescent="0.35">
      <c r="A1078"/>
      <c r="B1078"/>
      <c r="C1078"/>
      <c r="D1078"/>
      <c r="E1078"/>
      <c r="F1078"/>
      <c r="G1078"/>
      <c r="H1078"/>
      <c r="I1078"/>
      <c r="J1078"/>
    </row>
    <row r="1079" spans="1:10" x14ac:dyDescent="0.35">
      <c r="A1079"/>
      <c r="B1079"/>
      <c r="C1079"/>
      <c r="D1079"/>
      <c r="E1079"/>
      <c r="F1079"/>
      <c r="G1079"/>
      <c r="H1079"/>
      <c r="I1079"/>
      <c r="J1079"/>
    </row>
    <row r="1080" spans="1:10" x14ac:dyDescent="0.35">
      <c r="A1080"/>
      <c r="B1080"/>
      <c r="C1080"/>
      <c r="D1080"/>
      <c r="E1080"/>
      <c r="F1080"/>
      <c r="G1080"/>
      <c r="H1080"/>
      <c r="I1080"/>
      <c r="J1080"/>
    </row>
    <row r="1081" spans="1:10" x14ac:dyDescent="0.35">
      <c r="A1081"/>
      <c r="B1081"/>
      <c r="C1081"/>
      <c r="D1081"/>
      <c r="E1081"/>
      <c r="F1081"/>
      <c r="G1081"/>
      <c r="H1081"/>
      <c r="I1081"/>
      <c r="J1081"/>
    </row>
    <row r="1082" spans="1:10" x14ac:dyDescent="0.35">
      <c r="A1082"/>
      <c r="B1082"/>
      <c r="C1082"/>
      <c r="D1082"/>
      <c r="E1082"/>
      <c r="F1082"/>
      <c r="G1082"/>
      <c r="H1082"/>
      <c r="I1082"/>
      <c r="J1082"/>
    </row>
    <row r="1083" spans="1:10" x14ac:dyDescent="0.35">
      <c r="A1083"/>
      <c r="B1083"/>
      <c r="C1083"/>
      <c r="D1083"/>
      <c r="E1083"/>
      <c r="F1083"/>
      <c r="G1083"/>
      <c r="H1083"/>
      <c r="I1083"/>
      <c r="J1083"/>
    </row>
    <row r="1084" spans="1:10" x14ac:dyDescent="0.35">
      <c r="A1084"/>
      <c r="B1084"/>
      <c r="C1084"/>
      <c r="D1084"/>
      <c r="E1084"/>
      <c r="F1084"/>
      <c r="G1084"/>
      <c r="H1084"/>
      <c r="I1084"/>
      <c r="J1084"/>
    </row>
    <row r="1085" spans="1:10" x14ac:dyDescent="0.35">
      <c r="A1085"/>
      <c r="B1085"/>
      <c r="C1085"/>
      <c r="D1085"/>
      <c r="E1085"/>
      <c r="F1085"/>
      <c r="G1085"/>
      <c r="H1085"/>
      <c r="I1085"/>
      <c r="J1085"/>
    </row>
    <row r="1086" spans="1:10" x14ac:dyDescent="0.35">
      <c r="A1086"/>
      <c r="B1086"/>
      <c r="C1086"/>
      <c r="D1086"/>
      <c r="E1086"/>
      <c r="F1086"/>
      <c r="G1086"/>
      <c r="H1086"/>
      <c r="I1086"/>
      <c r="J1086"/>
    </row>
    <row r="1087" spans="1:10" x14ac:dyDescent="0.35">
      <c r="A1087"/>
      <c r="B1087"/>
      <c r="C1087"/>
      <c r="D1087"/>
      <c r="E1087"/>
      <c r="F1087"/>
      <c r="G1087"/>
      <c r="H1087"/>
      <c r="I1087"/>
      <c r="J1087"/>
    </row>
    <row r="1088" spans="1:10" x14ac:dyDescent="0.35">
      <c r="A1088"/>
      <c r="B1088"/>
      <c r="C1088"/>
      <c r="D1088"/>
      <c r="E1088"/>
      <c r="F1088"/>
      <c r="G1088"/>
      <c r="H1088"/>
      <c r="I1088"/>
      <c r="J1088"/>
    </row>
    <row r="1089" spans="1:10" x14ac:dyDescent="0.35">
      <c r="A1089"/>
      <c r="B1089"/>
      <c r="C1089"/>
      <c r="D1089"/>
      <c r="E1089"/>
      <c r="F1089"/>
      <c r="G1089"/>
      <c r="H1089"/>
      <c r="I1089"/>
      <c r="J1089"/>
    </row>
    <row r="1090" spans="1:10" x14ac:dyDescent="0.35">
      <c r="A1090"/>
      <c r="B1090"/>
      <c r="C1090"/>
      <c r="D1090"/>
      <c r="E1090"/>
      <c r="F1090"/>
      <c r="G1090"/>
      <c r="H1090"/>
      <c r="I1090"/>
      <c r="J1090"/>
    </row>
    <row r="1091" spans="1:10" x14ac:dyDescent="0.35">
      <c r="A1091"/>
      <c r="B1091"/>
      <c r="C1091"/>
      <c r="D1091"/>
      <c r="E1091"/>
      <c r="F1091"/>
      <c r="G1091"/>
      <c r="H1091"/>
      <c r="I1091"/>
      <c r="J1091"/>
    </row>
    <row r="1092" spans="1:10" x14ac:dyDescent="0.35">
      <c r="A1092"/>
      <c r="B1092"/>
      <c r="C1092"/>
      <c r="D1092"/>
      <c r="E1092"/>
      <c r="F1092"/>
      <c r="G1092"/>
      <c r="H1092"/>
      <c r="I1092"/>
      <c r="J1092"/>
    </row>
    <row r="1093" spans="1:10" x14ac:dyDescent="0.35">
      <c r="A1093"/>
      <c r="B1093"/>
      <c r="C1093"/>
      <c r="D1093"/>
      <c r="E1093"/>
      <c r="F1093"/>
      <c r="G1093"/>
      <c r="H1093"/>
      <c r="I1093"/>
      <c r="J1093"/>
    </row>
    <row r="1094" spans="1:10" x14ac:dyDescent="0.35">
      <c r="A1094"/>
      <c r="B1094"/>
      <c r="C1094"/>
      <c r="D1094"/>
      <c r="E1094"/>
      <c r="F1094"/>
      <c r="G1094"/>
      <c r="H1094"/>
      <c r="I1094"/>
      <c r="J1094"/>
    </row>
    <row r="1095" spans="1:10" x14ac:dyDescent="0.35">
      <c r="A1095"/>
      <c r="B1095"/>
      <c r="C1095"/>
      <c r="D1095"/>
      <c r="E1095"/>
      <c r="F1095"/>
      <c r="G1095"/>
      <c r="H1095"/>
      <c r="I1095"/>
      <c r="J1095"/>
    </row>
    <row r="1096" spans="1:10" x14ac:dyDescent="0.35">
      <c r="A1096"/>
      <c r="B1096"/>
      <c r="C1096"/>
      <c r="D1096"/>
      <c r="E1096"/>
      <c r="F1096"/>
      <c r="G1096"/>
      <c r="H1096"/>
      <c r="I1096"/>
      <c r="J1096"/>
    </row>
    <row r="1097" spans="1:10" x14ac:dyDescent="0.35">
      <c r="A1097"/>
      <c r="B1097"/>
      <c r="C1097"/>
      <c r="D1097"/>
      <c r="E1097"/>
      <c r="F1097"/>
      <c r="G1097"/>
      <c r="H1097"/>
      <c r="I1097"/>
      <c r="J1097"/>
    </row>
    <row r="1098" spans="1:10" x14ac:dyDescent="0.35">
      <c r="A1098"/>
      <c r="B1098"/>
      <c r="C1098"/>
      <c r="D1098"/>
      <c r="E1098"/>
      <c r="F1098"/>
      <c r="G1098"/>
      <c r="H1098"/>
      <c r="I1098"/>
      <c r="J1098"/>
    </row>
    <row r="1099" spans="1:10" x14ac:dyDescent="0.35">
      <c r="A1099"/>
      <c r="B1099"/>
      <c r="C1099"/>
      <c r="D1099"/>
      <c r="E1099"/>
      <c r="F1099"/>
      <c r="G1099"/>
      <c r="H1099"/>
      <c r="I1099"/>
      <c r="J1099"/>
    </row>
    <row r="1100" spans="1:10" x14ac:dyDescent="0.35">
      <c r="A1100"/>
      <c r="B1100"/>
      <c r="C1100"/>
      <c r="D1100"/>
      <c r="E1100"/>
      <c r="F1100"/>
      <c r="G1100"/>
      <c r="H1100"/>
      <c r="I1100"/>
      <c r="J1100"/>
    </row>
    <row r="1101" spans="1:10" x14ac:dyDescent="0.35">
      <c r="A1101"/>
      <c r="B1101"/>
      <c r="C1101"/>
      <c r="D1101"/>
      <c r="E1101"/>
      <c r="F1101"/>
      <c r="G1101"/>
      <c r="H1101"/>
      <c r="I1101"/>
      <c r="J1101"/>
    </row>
    <row r="1102" spans="1:10" x14ac:dyDescent="0.35">
      <c r="A1102"/>
      <c r="B1102"/>
      <c r="C1102"/>
      <c r="D1102"/>
      <c r="E1102"/>
      <c r="F1102"/>
      <c r="G1102"/>
      <c r="H1102"/>
      <c r="I1102"/>
      <c r="J1102"/>
    </row>
    <row r="1103" spans="1:10" x14ac:dyDescent="0.35">
      <c r="A1103"/>
      <c r="B1103"/>
      <c r="C1103"/>
      <c r="D1103"/>
      <c r="E1103"/>
      <c r="F1103"/>
      <c r="G1103"/>
      <c r="H1103"/>
      <c r="I1103"/>
      <c r="J1103"/>
    </row>
    <row r="1104" spans="1:10" x14ac:dyDescent="0.35">
      <c r="A1104"/>
      <c r="B1104"/>
      <c r="C1104"/>
      <c r="D1104"/>
      <c r="E1104"/>
      <c r="F1104"/>
      <c r="G1104"/>
      <c r="H1104"/>
      <c r="I1104"/>
      <c r="J1104"/>
    </row>
    <row r="1105" spans="1:10" x14ac:dyDescent="0.35">
      <c r="A1105"/>
      <c r="B1105"/>
      <c r="C1105"/>
      <c r="D1105"/>
      <c r="E1105"/>
      <c r="F1105"/>
      <c r="G1105"/>
      <c r="H1105"/>
      <c r="I1105"/>
      <c r="J1105"/>
    </row>
    <row r="1106" spans="1:10" x14ac:dyDescent="0.35">
      <c r="A1106"/>
      <c r="B1106"/>
      <c r="C1106"/>
      <c r="D1106"/>
      <c r="E1106"/>
      <c r="F1106"/>
      <c r="G1106"/>
      <c r="H1106"/>
      <c r="I1106"/>
      <c r="J1106"/>
    </row>
    <row r="1107" spans="1:10" x14ac:dyDescent="0.35">
      <c r="A1107"/>
      <c r="B1107"/>
      <c r="C1107"/>
      <c r="D1107"/>
      <c r="E1107"/>
      <c r="F1107"/>
      <c r="G1107"/>
      <c r="H1107"/>
      <c r="I1107"/>
      <c r="J1107"/>
    </row>
    <row r="1108" spans="1:10" x14ac:dyDescent="0.35">
      <c r="A1108"/>
      <c r="B1108"/>
      <c r="C1108"/>
      <c r="D1108"/>
      <c r="E1108"/>
      <c r="F1108"/>
      <c r="G1108"/>
      <c r="H1108"/>
      <c r="I1108"/>
      <c r="J1108"/>
    </row>
    <row r="1109" spans="1:10" x14ac:dyDescent="0.35">
      <c r="A1109"/>
      <c r="B1109"/>
      <c r="C1109"/>
      <c r="D1109"/>
      <c r="E1109"/>
      <c r="F1109"/>
      <c r="G1109"/>
      <c r="H1109"/>
      <c r="I1109"/>
      <c r="J1109"/>
    </row>
    <row r="1110" spans="1:10" x14ac:dyDescent="0.35">
      <c r="A1110"/>
      <c r="B1110"/>
      <c r="C1110"/>
      <c r="D1110"/>
      <c r="E1110"/>
      <c r="F1110"/>
      <c r="G1110"/>
      <c r="H1110"/>
      <c r="I1110"/>
      <c r="J1110"/>
    </row>
    <row r="1111" spans="1:10" x14ac:dyDescent="0.35">
      <c r="A1111"/>
      <c r="B1111"/>
      <c r="C1111"/>
      <c r="D1111"/>
      <c r="E1111"/>
      <c r="F1111"/>
      <c r="G1111"/>
      <c r="H1111"/>
      <c r="I1111"/>
      <c r="J1111"/>
    </row>
    <row r="1112" spans="1:10" x14ac:dyDescent="0.35">
      <c r="A1112"/>
      <c r="B1112"/>
      <c r="C1112"/>
      <c r="D1112"/>
      <c r="E1112"/>
      <c r="F1112"/>
      <c r="G1112"/>
      <c r="H1112"/>
      <c r="I1112"/>
      <c r="J1112"/>
    </row>
    <row r="1113" spans="1:10" x14ac:dyDescent="0.35">
      <c r="A1113"/>
      <c r="B1113"/>
      <c r="C1113"/>
      <c r="D1113"/>
      <c r="E1113"/>
      <c r="F1113"/>
      <c r="G1113"/>
      <c r="H1113"/>
      <c r="I1113"/>
      <c r="J1113"/>
    </row>
    <row r="1114" spans="1:10" x14ac:dyDescent="0.35">
      <c r="A1114"/>
      <c r="B1114"/>
      <c r="C1114"/>
      <c r="D1114"/>
      <c r="E1114"/>
      <c r="F1114"/>
      <c r="G1114"/>
      <c r="H1114"/>
      <c r="I1114"/>
      <c r="J1114"/>
    </row>
    <row r="1115" spans="1:10" x14ac:dyDescent="0.35">
      <c r="A1115"/>
      <c r="B1115"/>
      <c r="C1115"/>
      <c r="D1115"/>
      <c r="E1115"/>
      <c r="F1115"/>
      <c r="G1115"/>
      <c r="H1115"/>
      <c r="I1115"/>
      <c r="J1115"/>
    </row>
    <row r="1116" spans="1:10" x14ac:dyDescent="0.35">
      <c r="A1116"/>
      <c r="B1116"/>
      <c r="C1116"/>
      <c r="D1116"/>
      <c r="E1116"/>
      <c r="F1116"/>
      <c r="G1116"/>
      <c r="H1116"/>
      <c r="I1116"/>
      <c r="J1116"/>
    </row>
    <row r="1117" spans="1:10" x14ac:dyDescent="0.35">
      <c r="A1117"/>
      <c r="B1117"/>
      <c r="C1117"/>
      <c r="D1117"/>
      <c r="E1117"/>
      <c r="F1117"/>
      <c r="G1117"/>
      <c r="H1117"/>
      <c r="I1117"/>
      <c r="J1117"/>
    </row>
    <row r="1118" spans="1:10" x14ac:dyDescent="0.35">
      <c r="A1118"/>
      <c r="B1118"/>
      <c r="C1118"/>
      <c r="D1118"/>
      <c r="E1118"/>
      <c r="F1118"/>
      <c r="G1118"/>
      <c r="H1118"/>
      <c r="I1118"/>
      <c r="J1118"/>
    </row>
    <row r="1119" spans="1:10" x14ac:dyDescent="0.35">
      <c r="A1119"/>
      <c r="B1119"/>
      <c r="C1119"/>
      <c r="D1119"/>
      <c r="E1119"/>
      <c r="F1119"/>
      <c r="G1119"/>
      <c r="H1119"/>
      <c r="I1119"/>
      <c r="J1119"/>
    </row>
    <row r="1120" spans="1:10" x14ac:dyDescent="0.35">
      <c r="A1120"/>
      <c r="B1120"/>
      <c r="C1120"/>
      <c r="D1120"/>
      <c r="E1120"/>
      <c r="F1120"/>
      <c r="G1120"/>
      <c r="H1120"/>
      <c r="I1120"/>
      <c r="J1120"/>
    </row>
    <row r="1121" spans="1:10" x14ac:dyDescent="0.35">
      <c r="A1121"/>
      <c r="B1121"/>
      <c r="C1121"/>
      <c r="D1121"/>
      <c r="E1121"/>
      <c r="F1121"/>
      <c r="G1121"/>
      <c r="H1121"/>
      <c r="I1121"/>
      <c r="J1121"/>
    </row>
    <row r="1122" spans="1:10" x14ac:dyDescent="0.35">
      <c r="A1122"/>
      <c r="B1122"/>
      <c r="C1122"/>
      <c r="D1122"/>
      <c r="E1122"/>
      <c r="F1122"/>
      <c r="G1122"/>
      <c r="H1122"/>
      <c r="I1122"/>
      <c r="J1122"/>
    </row>
    <row r="1123" spans="1:10" x14ac:dyDescent="0.35">
      <c r="A1123"/>
      <c r="B1123"/>
      <c r="C1123"/>
      <c r="D1123"/>
      <c r="E1123"/>
      <c r="F1123"/>
      <c r="G1123"/>
      <c r="H1123"/>
      <c r="I1123"/>
      <c r="J1123"/>
    </row>
    <row r="1124" spans="1:10" x14ac:dyDescent="0.35">
      <c r="A1124"/>
      <c r="B1124"/>
      <c r="C1124"/>
      <c r="D1124"/>
      <c r="E1124"/>
      <c r="F1124"/>
      <c r="G1124"/>
      <c r="H1124"/>
      <c r="I1124"/>
      <c r="J1124"/>
    </row>
    <row r="1125" spans="1:10" x14ac:dyDescent="0.35">
      <c r="A1125"/>
      <c r="B1125"/>
      <c r="C1125"/>
      <c r="D1125"/>
      <c r="E1125"/>
      <c r="F1125"/>
      <c r="G1125"/>
      <c r="H1125"/>
      <c r="I1125"/>
      <c r="J1125"/>
    </row>
    <row r="1126" spans="1:10" x14ac:dyDescent="0.35">
      <c r="A1126"/>
      <c r="B1126"/>
      <c r="C1126"/>
      <c r="D1126"/>
      <c r="E1126"/>
      <c r="F1126"/>
      <c r="G1126"/>
      <c r="H1126"/>
      <c r="I1126"/>
      <c r="J1126"/>
    </row>
    <row r="1127" spans="1:10" x14ac:dyDescent="0.35">
      <c r="A1127"/>
      <c r="B1127"/>
      <c r="C1127"/>
      <c r="D1127"/>
      <c r="E1127"/>
      <c r="F1127"/>
      <c r="G1127"/>
      <c r="H1127"/>
      <c r="I1127"/>
      <c r="J1127"/>
    </row>
    <row r="1128" spans="1:10" x14ac:dyDescent="0.35">
      <c r="A1128"/>
      <c r="B1128"/>
      <c r="C1128"/>
      <c r="D1128"/>
      <c r="E1128"/>
      <c r="F1128"/>
      <c r="G1128"/>
      <c r="H1128"/>
      <c r="I1128"/>
      <c r="J1128"/>
    </row>
    <row r="1129" spans="1:10" x14ac:dyDescent="0.35">
      <c r="A1129"/>
      <c r="B1129"/>
      <c r="C1129"/>
      <c r="D1129"/>
      <c r="E1129"/>
      <c r="F1129"/>
      <c r="G1129"/>
      <c r="H1129"/>
      <c r="I1129"/>
      <c r="J1129"/>
    </row>
    <row r="1130" spans="1:10" x14ac:dyDescent="0.35">
      <c r="A1130"/>
      <c r="B1130"/>
      <c r="C1130"/>
      <c r="D1130"/>
      <c r="E1130"/>
      <c r="F1130"/>
      <c r="G1130"/>
      <c r="H1130"/>
      <c r="I1130"/>
      <c r="J1130"/>
    </row>
    <row r="1131" spans="1:10" x14ac:dyDescent="0.35">
      <c r="A1131"/>
      <c r="B1131"/>
      <c r="C1131"/>
      <c r="D1131"/>
      <c r="E1131"/>
      <c r="F1131"/>
      <c r="G1131"/>
      <c r="H1131"/>
      <c r="I1131"/>
      <c r="J1131"/>
    </row>
    <row r="1132" spans="1:10" x14ac:dyDescent="0.35">
      <c r="A1132"/>
      <c r="B1132"/>
      <c r="C1132"/>
      <c r="D1132"/>
      <c r="E1132"/>
      <c r="F1132"/>
      <c r="G1132"/>
      <c r="H1132"/>
      <c r="I1132"/>
      <c r="J1132"/>
    </row>
    <row r="1133" spans="1:10" x14ac:dyDescent="0.35">
      <c r="A1133"/>
      <c r="B1133"/>
      <c r="C1133"/>
      <c r="D1133"/>
      <c r="E1133"/>
      <c r="F1133"/>
      <c r="G1133"/>
      <c r="H1133"/>
      <c r="I1133"/>
      <c r="J1133"/>
    </row>
    <row r="1134" spans="1:10" x14ac:dyDescent="0.35">
      <c r="A1134"/>
      <c r="B1134"/>
      <c r="C1134"/>
      <c r="D1134"/>
      <c r="E1134"/>
      <c r="F1134"/>
      <c r="G1134"/>
      <c r="H1134"/>
      <c r="I1134"/>
      <c r="J1134"/>
    </row>
    <row r="1135" spans="1:10" x14ac:dyDescent="0.35">
      <c r="A1135"/>
      <c r="B1135"/>
      <c r="C1135"/>
      <c r="D1135"/>
      <c r="E1135"/>
      <c r="F1135"/>
      <c r="G1135"/>
      <c r="H1135"/>
      <c r="I1135"/>
      <c r="J1135"/>
    </row>
    <row r="1136" spans="1:10" x14ac:dyDescent="0.35">
      <c r="A1136"/>
      <c r="B1136"/>
      <c r="C1136"/>
      <c r="D1136"/>
      <c r="E1136"/>
      <c r="F1136"/>
      <c r="G1136"/>
      <c r="H1136"/>
      <c r="I1136"/>
      <c r="J1136"/>
    </row>
    <row r="1137" spans="1:10" x14ac:dyDescent="0.35">
      <c r="A1137"/>
      <c r="B1137"/>
      <c r="C1137"/>
      <c r="D1137"/>
      <c r="E1137"/>
      <c r="F1137"/>
      <c r="G1137"/>
      <c r="H1137"/>
      <c r="I1137"/>
      <c r="J1137"/>
    </row>
    <row r="1138" spans="1:10" x14ac:dyDescent="0.35">
      <c r="A1138"/>
      <c r="B1138"/>
      <c r="C1138"/>
      <c r="D1138"/>
      <c r="E1138"/>
      <c r="F1138"/>
      <c r="G1138"/>
      <c r="H1138"/>
      <c r="I1138"/>
      <c r="J1138"/>
    </row>
    <row r="1139" spans="1:10" x14ac:dyDescent="0.35">
      <c r="A1139"/>
      <c r="B1139"/>
      <c r="C1139"/>
      <c r="D1139"/>
      <c r="E1139"/>
      <c r="F1139"/>
      <c r="G1139"/>
      <c r="H1139"/>
      <c r="I1139"/>
      <c r="J1139"/>
    </row>
    <row r="1140" spans="1:10" x14ac:dyDescent="0.35">
      <c r="A1140"/>
      <c r="B1140"/>
      <c r="C1140"/>
      <c r="D1140"/>
      <c r="E1140"/>
      <c r="F1140"/>
      <c r="G1140"/>
      <c r="H1140"/>
      <c r="I1140"/>
      <c r="J1140"/>
    </row>
    <row r="1141" spans="1:10" x14ac:dyDescent="0.35">
      <c r="A1141"/>
      <c r="B1141"/>
      <c r="C1141"/>
      <c r="D1141"/>
      <c r="E1141"/>
      <c r="F1141"/>
      <c r="G1141"/>
      <c r="H1141"/>
      <c r="I1141"/>
      <c r="J1141"/>
    </row>
    <row r="1142" spans="1:10" x14ac:dyDescent="0.35">
      <c r="A1142"/>
      <c r="B1142"/>
      <c r="C1142"/>
      <c r="D1142"/>
      <c r="E1142"/>
      <c r="F1142"/>
      <c r="G1142"/>
      <c r="H1142"/>
      <c r="I1142"/>
      <c r="J1142"/>
    </row>
    <row r="1143" spans="1:10" x14ac:dyDescent="0.35">
      <c r="A1143"/>
      <c r="B1143"/>
      <c r="C1143"/>
      <c r="D1143"/>
      <c r="E1143"/>
      <c r="F1143"/>
      <c r="G1143"/>
      <c r="H1143"/>
      <c r="I1143"/>
      <c r="J1143"/>
    </row>
    <row r="1144" spans="1:10" x14ac:dyDescent="0.35">
      <c r="A1144"/>
      <c r="B1144"/>
      <c r="C1144"/>
      <c r="D1144"/>
      <c r="E1144"/>
      <c r="F1144"/>
      <c r="G1144"/>
      <c r="H1144"/>
      <c r="I1144"/>
      <c r="J1144"/>
    </row>
    <row r="1145" spans="1:10" x14ac:dyDescent="0.35">
      <c r="A1145"/>
      <c r="B1145"/>
      <c r="C1145"/>
      <c r="D1145"/>
      <c r="E1145"/>
      <c r="F1145"/>
      <c r="G1145"/>
      <c r="H1145"/>
      <c r="I1145"/>
      <c r="J1145"/>
    </row>
    <row r="1146" spans="1:10" x14ac:dyDescent="0.35">
      <c r="A1146"/>
      <c r="B1146"/>
      <c r="C1146"/>
      <c r="D1146"/>
      <c r="E1146"/>
      <c r="F1146"/>
      <c r="G1146"/>
      <c r="H1146"/>
      <c r="I1146"/>
      <c r="J1146"/>
    </row>
    <row r="1147" spans="1:10" x14ac:dyDescent="0.35">
      <c r="A1147"/>
      <c r="B1147"/>
      <c r="C1147"/>
      <c r="D1147"/>
      <c r="E1147"/>
      <c r="F1147"/>
      <c r="G1147"/>
      <c r="H1147"/>
      <c r="I1147"/>
      <c r="J1147"/>
    </row>
    <row r="1148" spans="1:10" x14ac:dyDescent="0.35">
      <c r="A1148"/>
      <c r="B1148"/>
      <c r="C1148"/>
      <c r="D1148"/>
      <c r="E1148"/>
      <c r="F1148"/>
      <c r="G1148"/>
      <c r="H1148"/>
      <c r="I1148"/>
      <c r="J1148"/>
    </row>
    <row r="1149" spans="1:10" x14ac:dyDescent="0.35">
      <c r="A1149"/>
      <c r="B1149"/>
      <c r="C1149"/>
      <c r="D1149"/>
      <c r="E1149"/>
      <c r="F1149"/>
      <c r="G1149"/>
      <c r="H1149"/>
      <c r="I1149"/>
      <c r="J1149"/>
    </row>
    <row r="1150" spans="1:10" x14ac:dyDescent="0.35">
      <c r="A1150"/>
      <c r="B1150"/>
      <c r="C1150"/>
      <c r="D1150"/>
      <c r="E1150"/>
      <c r="F1150"/>
      <c r="G1150"/>
      <c r="H1150"/>
      <c r="I1150"/>
      <c r="J1150"/>
    </row>
    <row r="1151" spans="1:10" x14ac:dyDescent="0.35">
      <c r="A1151"/>
      <c r="B1151"/>
      <c r="C1151"/>
      <c r="D1151"/>
      <c r="E1151"/>
      <c r="F1151"/>
      <c r="G1151"/>
      <c r="H1151"/>
      <c r="I1151"/>
      <c r="J1151"/>
    </row>
    <row r="1152" spans="1:10" x14ac:dyDescent="0.35">
      <c r="A1152"/>
      <c r="B1152"/>
      <c r="C1152"/>
      <c r="D1152"/>
      <c r="E1152"/>
      <c r="F1152"/>
      <c r="G1152"/>
      <c r="H1152"/>
      <c r="I1152"/>
      <c r="J1152"/>
    </row>
    <row r="1153" spans="1:10" x14ac:dyDescent="0.35">
      <c r="A1153"/>
      <c r="B1153"/>
      <c r="C1153"/>
      <c r="D1153"/>
      <c r="E1153"/>
      <c r="F1153"/>
      <c r="G1153"/>
      <c r="H1153"/>
      <c r="I1153"/>
      <c r="J1153"/>
    </row>
    <row r="1154" spans="1:10" x14ac:dyDescent="0.35">
      <c r="A1154"/>
      <c r="B1154"/>
      <c r="C1154"/>
      <c r="D1154"/>
      <c r="E1154"/>
      <c r="F1154"/>
      <c r="G1154"/>
      <c r="H1154"/>
      <c r="I1154"/>
      <c r="J1154"/>
    </row>
    <row r="1155" spans="1:10" x14ac:dyDescent="0.35">
      <c r="A1155"/>
      <c r="B1155"/>
      <c r="C1155"/>
      <c r="D1155"/>
      <c r="E1155"/>
      <c r="F1155"/>
      <c r="G1155"/>
      <c r="H1155"/>
      <c r="I1155"/>
      <c r="J1155"/>
    </row>
    <row r="1156" spans="1:10" x14ac:dyDescent="0.35">
      <c r="A1156"/>
      <c r="B1156"/>
      <c r="C1156"/>
      <c r="D1156"/>
      <c r="E1156"/>
      <c r="F1156"/>
      <c r="G1156"/>
      <c r="H1156"/>
      <c r="I1156"/>
      <c r="J1156"/>
    </row>
    <row r="1157" spans="1:10" x14ac:dyDescent="0.35">
      <c r="A1157"/>
      <c r="B1157"/>
      <c r="C1157"/>
      <c r="D1157"/>
      <c r="E1157"/>
      <c r="F1157"/>
      <c r="G1157"/>
      <c r="H1157"/>
      <c r="I1157"/>
      <c r="J1157"/>
    </row>
    <row r="1158" spans="1:10" x14ac:dyDescent="0.35">
      <c r="A1158"/>
      <c r="B1158"/>
      <c r="C1158"/>
      <c r="D1158"/>
      <c r="E1158"/>
      <c r="F1158"/>
      <c r="G1158"/>
      <c r="H1158"/>
      <c r="I1158"/>
      <c r="J1158"/>
    </row>
    <row r="1159" spans="1:10" x14ac:dyDescent="0.35">
      <c r="A1159"/>
      <c r="B1159"/>
      <c r="C1159"/>
      <c r="D1159"/>
      <c r="E1159"/>
      <c r="F1159"/>
      <c r="G1159"/>
      <c r="H1159"/>
      <c r="I1159"/>
      <c r="J1159"/>
    </row>
    <row r="1160" spans="1:10" x14ac:dyDescent="0.35">
      <c r="A1160"/>
      <c r="B1160"/>
      <c r="C1160"/>
      <c r="D1160"/>
      <c r="E1160"/>
      <c r="F1160"/>
      <c r="G1160"/>
      <c r="H1160"/>
      <c r="I1160"/>
      <c r="J1160"/>
    </row>
    <row r="1161" spans="1:10" x14ac:dyDescent="0.35">
      <c r="A1161"/>
      <c r="B1161"/>
      <c r="C1161"/>
      <c r="D1161"/>
      <c r="E1161"/>
      <c r="F1161"/>
      <c r="G1161"/>
      <c r="H1161"/>
      <c r="I1161"/>
      <c r="J1161"/>
    </row>
    <row r="1162" spans="1:10" x14ac:dyDescent="0.35">
      <c r="A1162"/>
      <c r="B1162"/>
      <c r="C1162"/>
      <c r="D1162"/>
      <c r="E1162"/>
      <c r="F1162"/>
      <c r="G1162"/>
      <c r="H1162"/>
      <c r="I1162"/>
      <c r="J1162"/>
    </row>
    <row r="1163" spans="1:10" x14ac:dyDescent="0.35">
      <c r="A1163"/>
      <c r="B1163"/>
      <c r="C1163"/>
      <c r="D1163"/>
      <c r="E1163"/>
      <c r="F1163"/>
      <c r="G1163"/>
      <c r="H1163"/>
      <c r="I1163"/>
      <c r="J1163"/>
    </row>
    <row r="1164" spans="1:10" x14ac:dyDescent="0.35">
      <c r="A1164"/>
      <c r="B1164"/>
      <c r="C1164"/>
      <c r="D1164"/>
      <c r="E1164"/>
      <c r="F1164"/>
      <c r="G1164"/>
      <c r="H1164"/>
      <c r="I1164"/>
      <c r="J1164"/>
    </row>
    <row r="1165" spans="1:10" x14ac:dyDescent="0.35">
      <c r="A1165"/>
      <c r="B1165"/>
      <c r="C1165"/>
      <c r="D1165"/>
      <c r="E1165"/>
      <c r="F1165"/>
      <c r="G1165"/>
      <c r="H1165"/>
      <c r="I1165"/>
      <c r="J1165"/>
    </row>
    <row r="1166" spans="1:10" x14ac:dyDescent="0.35">
      <c r="A1166"/>
      <c r="B1166"/>
      <c r="C1166"/>
      <c r="D1166"/>
      <c r="E1166"/>
      <c r="F1166"/>
      <c r="G1166"/>
      <c r="H1166"/>
      <c r="I1166"/>
      <c r="J1166"/>
    </row>
    <row r="1167" spans="1:10" x14ac:dyDescent="0.35">
      <c r="A1167"/>
      <c r="B1167"/>
      <c r="C1167"/>
      <c r="D1167"/>
      <c r="E1167"/>
      <c r="F1167"/>
      <c r="G1167"/>
      <c r="H1167"/>
      <c r="I1167"/>
      <c r="J1167"/>
    </row>
    <row r="1168" spans="1:10" x14ac:dyDescent="0.35">
      <c r="A1168"/>
      <c r="B1168"/>
      <c r="C1168"/>
      <c r="D1168"/>
      <c r="E1168"/>
      <c r="F1168"/>
      <c r="G1168"/>
      <c r="H1168"/>
      <c r="I1168"/>
      <c r="J1168"/>
    </row>
    <row r="1169" spans="1:10" x14ac:dyDescent="0.35">
      <c r="A1169"/>
      <c r="B1169"/>
      <c r="C1169"/>
      <c r="D1169"/>
      <c r="E1169"/>
      <c r="F1169"/>
      <c r="G1169"/>
      <c r="H1169"/>
      <c r="I1169"/>
      <c r="J1169"/>
    </row>
    <row r="1170" spans="1:10" x14ac:dyDescent="0.35">
      <c r="A1170"/>
      <c r="B1170"/>
      <c r="C1170"/>
      <c r="D1170"/>
      <c r="E1170"/>
      <c r="F1170"/>
      <c r="G1170"/>
      <c r="H1170"/>
      <c r="I1170"/>
      <c r="J1170"/>
    </row>
    <row r="1171" spans="1:10" x14ac:dyDescent="0.35">
      <c r="A1171"/>
      <c r="B1171"/>
      <c r="C1171"/>
      <c r="D1171"/>
      <c r="E1171"/>
      <c r="F1171"/>
      <c r="G1171"/>
      <c r="H1171"/>
      <c r="I1171"/>
      <c r="J1171"/>
    </row>
    <row r="1172" spans="1:10" x14ac:dyDescent="0.35">
      <c r="A1172"/>
      <c r="B1172"/>
      <c r="C1172"/>
      <c r="D1172"/>
      <c r="E1172"/>
      <c r="F1172"/>
      <c r="G1172"/>
      <c r="H1172"/>
      <c r="I1172"/>
      <c r="J1172"/>
    </row>
    <row r="1173" spans="1:10" x14ac:dyDescent="0.35">
      <c r="A1173"/>
      <c r="B1173"/>
      <c r="C1173"/>
      <c r="D1173"/>
      <c r="E1173"/>
      <c r="F1173"/>
      <c r="G1173"/>
      <c r="H1173"/>
      <c r="I1173"/>
      <c r="J1173"/>
    </row>
    <row r="1174" spans="1:10" x14ac:dyDescent="0.35">
      <c r="A1174"/>
      <c r="B1174"/>
      <c r="C1174"/>
      <c r="D1174"/>
      <c r="E1174"/>
      <c r="F1174"/>
      <c r="G1174"/>
      <c r="H1174"/>
      <c r="I1174"/>
      <c r="J1174"/>
    </row>
    <row r="1175" spans="1:10" x14ac:dyDescent="0.35">
      <c r="A1175"/>
      <c r="B1175"/>
      <c r="C1175"/>
      <c r="D1175"/>
      <c r="E1175"/>
      <c r="F1175"/>
      <c r="G1175"/>
      <c r="H1175"/>
      <c r="I1175"/>
      <c r="J1175"/>
    </row>
    <row r="1176" spans="1:10" x14ac:dyDescent="0.35">
      <c r="A1176"/>
      <c r="B1176"/>
      <c r="C1176"/>
      <c r="D1176"/>
      <c r="E1176"/>
      <c r="F1176"/>
      <c r="G1176"/>
      <c r="H1176"/>
      <c r="I1176"/>
      <c r="J1176"/>
    </row>
    <row r="1177" spans="1:10" x14ac:dyDescent="0.35">
      <c r="A1177"/>
      <c r="B1177"/>
      <c r="C1177"/>
      <c r="D1177"/>
      <c r="E1177"/>
      <c r="F1177"/>
      <c r="G1177"/>
      <c r="H1177"/>
      <c r="I1177"/>
      <c r="J1177"/>
    </row>
    <row r="1178" spans="1:10" x14ac:dyDescent="0.35">
      <c r="A1178"/>
      <c r="B1178"/>
      <c r="C1178"/>
      <c r="D1178"/>
      <c r="E1178"/>
      <c r="F1178"/>
      <c r="G1178"/>
      <c r="H1178"/>
      <c r="I1178"/>
      <c r="J1178"/>
    </row>
    <row r="1179" spans="1:10" x14ac:dyDescent="0.35">
      <c r="A1179"/>
      <c r="B1179"/>
      <c r="C1179"/>
      <c r="D1179"/>
      <c r="E1179"/>
      <c r="F1179"/>
      <c r="G1179"/>
      <c r="H1179"/>
      <c r="I1179"/>
      <c r="J1179"/>
    </row>
    <row r="1180" spans="1:10" x14ac:dyDescent="0.35">
      <c r="A1180"/>
      <c r="B1180"/>
      <c r="C1180"/>
      <c r="D1180"/>
      <c r="E1180"/>
      <c r="F1180"/>
      <c r="G1180"/>
      <c r="H1180"/>
      <c r="I1180"/>
      <c r="J1180"/>
    </row>
    <row r="1181" spans="1:10" x14ac:dyDescent="0.35">
      <c r="A1181"/>
      <c r="B1181"/>
      <c r="C1181"/>
      <c r="D1181"/>
      <c r="E1181"/>
      <c r="F1181"/>
      <c r="G1181"/>
      <c r="H1181"/>
      <c r="I1181"/>
      <c r="J1181"/>
    </row>
    <row r="1182" spans="1:10" x14ac:dyDescent="0.35">
      <c r="A1182"/>
      <c r="B1182"/>
      <c r="C1182"/>
      <c r="D1182"/>
      <c r="E1182"/>
      <c r="F1182"/>
      <c r="G1182"/>
      <c r="H1182"/>
      <c r="I1182"/>
      <c r="J1182"/>
    </row>
    <row r="1183" spans="1:10" x14ac:dyDescent="0.35">
      <c r="A1183"/>
      <c r="B1183"/>
      <c r="C1183"/>
      <c r="D1183"/>
      <c r="E1183"/>
      <c r="F1183"/>
      <c r="G1183"/>
      <c r="H1183"/>
      <c r="I1183"/>
      <c r="J1183"/>
    </row>
    <row r="1184" spans="1:10" x14ac:dyDescent="0.35">
      <c r="A1184"/>
      <c r="B1184"/>
      <c r="C1184"/>
      <c r="D1184"/>
      <c r="E1184"/>
      <c r="F1184"/>
      <c r="G1184"/>
      <c r="H1184"/>
      <c r="I1184"/>
      <c r="J1184"/>
    </row>
    <row r="1185" spans="1:10" x14ac:dyDescent="0.35">
      <c r="A1185"/>
      <c r="B1185"/>
      <c r="C1185"/>
      <c r="D1185"/>
      <c r="E1185"/>
      <c r="F1185"/>
      <c r="G1185"/>
      <c r="H1185"/>
      <c r="I1185"/>
      <c r="J1185"/>
    </row>
    <row r="1186" spans="1:10" x14ac:dyDescent="0.35">
      <c r="A1186"/>
      <c r="B1186"/>
      <c r="C1186"/>
      <c r="D1186"/>
      <c r="E1186"/>
      <c r="F1186"/>
      <c r="G1186"/>
      <c r="H1186"/>
      <c r="I1186"/>
      <c r="J1186"/>
    </row>
    <row r="1187" spans="1:10" x14ac:dyDescent="0.35">
      <c r="A1187"/>
      <c r="B1187"/>
      <c r="C1187"/>
      <c r="D1187"/>
      <c r="E1187"/>
      <c r="F1187"/>
      <c r="G1187"/>
      <c r="H1187"/>
      <c r="I1187"/>
      <c r="J1187"/>
    </row>
    <row r="1188" spans="1:10" x14ac:dyDescent="0.35">
      <c r="A1188"/>
      <c r="B1188"/>
      <c r="C1188"/>
      <c r="D1188"/>
      <c r="E1188"/>
      <c r="F1188"/>
      <c r="G1188"/>
      <c r="H1188"/>
      <c r="I1188"/>
      <c r="J1188"/>
    </row>
    <row r="1189" spans="1:10" x14ac:dyDescent="0.35">
      <c r="A1189"/>
      <c r="B1189"/>
      <c r="C1189"/>
      <c r="D1189"/>
      <c r="E1189"/>
      <c r="F1189"/>
      <c r="G1189"/>
      <c r="H1189"/>
      <c r="I1189"/>
      <c r="J1189"/>
    </row>
    <row r="1190" spans="1:10" x14ac:dyDescent="0.35">
      <c r="A1190"/>
      <c r="B1190"/>
      <c r="C1190"/>
      <c r="D1190"/>
      <c r="E1190"/>
      <c r="F1190"/>
      <c r="G1190"/>
      <c r="H1190"/>
      <c r="I1190"/>
      <c r="J1190"/>
    </row>
    <row r="1191" spans="1:10" x14ac:dyDescent="0.35">
      <c r="A1191"/>
      <c r="B1191"/>
      <c r="C1191"/>
      <c r="D1191"/>
      <c r="E1191"/>
      <c r="F1191"/>
      <c r="G1191"/>
      <c r="H1191"/>
      <c r="I1191"/>
      <c r="J1191"/>
    </row>
    <row r="1192" spans="1:10" x14ac:dyDescent="0.35">
      <c r="A1192"/>
      <c r="B1192"/>
      <c r="C1192"/>
      <c r="D1192"/>
      <c r="E1192"/>
      <c r="F1192"/>
      <c r="G1192"/>
      <c r="H1192"/>
      <c r="I1192"/>
      <c r="J1192"/>
    </row>
    <row r="1193" spans="1:10" x14ac:dyDescent="0.35">
      <c r="A1193"/>
      <c r="B1193"/>
      <c r="C1193"/>
      <c r="D1193"/>
      <c r="E1193"/>
      <c r="F1193"/>
      <c r="G1193"/>
      <c r="H1193"/>
      <c r="I1193"/>
      <c r="J1193"/>
    </row>
    <row r="1194" spans="1:10" x14ac:dyDescent="0.35">
      <c r="A1194"/>
      <c r="B1194"/>
      <c r="C1194"/>
      <c r="D1194"/>
      <c r="E1194"/>
      <c r="F1194"/>
      <c r="G1194"/>
      <c r="H1194"/>
      <c r="I1194"/>
      <c r="J1194"/>
    </row>
    <row r="1195" spans="1:10" x14ac:dyDescent="0.35">
      <c r="A1195"/>
      <c r="B1195"/>
      <c r="C1195"/>
      <c r="D1195"/>
      <c r="E1195"/>
      <c r="F1195"/>
      <c r="G1195"/>
      <c r="H1195"/>
      <c r="I1195"/>
      <c r="J1195"/>
    </row>
    <row r="1196" spans="1:10" x14ac:dyDescent="0.35">
      <c r="A1196"/>
      <c r="B1196"/>
      <c r="C1196"/>
      <c r="D1196"/>
      <c r="E1196"/>
      <c r="F1196"/>
      <c r="G1196"/>
      <c r="H1196"/>
      <c r="I1196"/>
      <c r="J1196"/>
    </row>
    <row r="1197" spans="1:10" x14ac:dyDescent="0.35">
      <c r="A1197"/>
      <c r="B1197"/>
      <c r="C1197"/>
      <c r="D1197"/>
      <c r="E1197"/>
      <c r="F1197"/>
      <c r="G1197"/>
      <c r="H1197"/>
      <c r="I1197"/>
      <c r="J1197"/>
    </row>
    <row r="1198" spans="1:10" x14ac:dyDescent="0.35">
      <c r="A1198"/>
      <c r="B1198"/>
      <c r="C1198"/>
      <c r="D1198"/>
      <c r="E1198"/>
      <c r="F1198"/>
      <c r="G1198"/>
      <c r="H1198"/>
      <c r="I1198"/>
      <c r="J1198"/>
    </row>
    <row r="1199" spans="1:10" x14ac:dyDescent="0.35">
      <c r="A1199"/>
      <c r="B1199"/>
      <c r="C1199"/>
      <c r="D1199"/>
      <c r="E1199"/>
      <c r="F1199"/>
      <c r="G1199"/>
      <c r="H1199"/>
      <c r="I1199"/>
      <c r="J1199"/>
    </row>
    <row r="1200" spans="1:10" x14ac:dyDescent="0.35">
      <c r="A1200"/>
      <c r="B1200"/>
      <c r="C1200"/>
      <c r="D1200"/>
      <c r="E1200"/>
      <c r="F1200"/>
      <c r="G1200"/>
      <c r="H1200"/>
      <c r="I1200"/>
      <c r="J1200"/>
    </row>
    <row r="1201" spans="1:10" x14ac:dyDescent="0.35">
      <c r="A1201"/>
      <c r="B1201"/>
      <c r="C1201"/>
      <c r="D1201"/>
      <c r="E1201"/>
      <c r="F1201"/>
      <c r="G1201"/>
      <c r="H1201"/>
      <c r="I1201"/>
      <c r="J1201"/>
    </row>
    <row r="1202" spans="1:10" x14ac:dyDescent="0.35">
      <c r="A1202"/>
      <c r="B1202"/>
      <c r="C1202"/>
      <c r="D1202"/>
      <c r="E1202"/>
      <c r="F1202"/>
      <c r="G1202"/>
      <c r="H1202"/>
      <c r="I1202"/>
      <c r="J1202"/>
    </row>
    <row r="1203" spans="1:10" x14ac:dyDescent="0.35">
      <c r="A1203"/>
      <c r="B1203"/>
      <c r="C1203"/>
      <c r="D1203"/>
      <c r="E1203"/>
      <c r="F1203"/>
      <c r="G1203"/>
      <c r="H1203"/>
      <c r="I1203"/>
      <c r="J1203"/>
    </row>
    <row r="1204" spans="1:10" x14ac:dyDescent="0.35">
      <c r="A1204"/>
      <c r="B1204"/>
      <c r="C1204"/>
      <c r="D1204"/>
      <c r="E1204"/>
      <c r="F1204"/>
      <c r="G1204"/>
      <c r="H1204"/>
      <c r="I1204"/>
      <c r="J1204"/>
    </row>
    <row r="1205" spans="1:10" x14ac:dyDescent="0.35">
      <c r="A1205"/>
      <c r="B1205"/>
      <c r="C1205"/>
      <c r="D1205"/>
      <c r="E1205"/>
      <c r="F1205"/>
      <c r="G1205"/>
      <c r="H1205"/>
      <c r="I1205"/>
      <c r="J1205"/>
    </row>
    <row r="1206" spans="1:10" x14ac:dyDescent="0.35">
      <c r="A1206"/>
      <c r="B1206"/>
      <c r="C1206"/>
      <c r="D1206"/>
      <c r="E1206"/>
      <c r="F1206"/>
      <c r="G1206"/>
      <c r="H1206"/>
      <c r="I1206"/>
      <c r="J1206"/>
    </row>
    <row r="1207" spans="1:10" x14ac:dyDescent="0.35">
      <c r="A1207"/>
      <c r="B1207"/>
      <c r="C1207"/>
      <c r="D1207"/>
      <c r="E1207"/>
      <c r="F1207"/>
      <c r="G1207"/>
      <c r="H1207"/>
      <c r="I1207"/>
      <c r="J1207"/>
    </row>
    <row r="1208" spans="1:10" x14ac:dyDescent="0.35">
      <c r="A1208"/>
      <c r="B1208"/>
      <c r="C1208"/>
      <c r="D1208"/>
      <c r="E1208"/>
      <c r="F1208"/>
      <c r="G1208"/>
      <c r="H1208"/>
      <c r="I1208"/>
      <c r="J1208"/>
    </row>
    <row r="1209" spans="1:10" x14ac:dyDescent="0.35">
      <c r="A1209"/>
      <c r="B1209"/>
      <c r="C1209"/>
      <c r="D1209"/>
      <c r="E1209"/>
      <c r="F1209"/>
      <c r="G1209"/>
      <c r="H1209"/>
      <c r="I1209"/>
      <c r="J1209"/>
    </row>
    <row r="1210" spans="1:10" x14ac:dyDescent="0.35">
      <c r="A1210"/>
      <c r="B1210"/>
      <c r="C1210"/>
      <c r="D1210"/>
      <c r="E1210"/>
      <c r="F1210"/>
      <c r="G1210"/>
      <c r="H1210"/>
      <c r="I1210"/>
      <c r="J1210"/>
    </row>
    <row r="1211" spans="1:10" x14ac:dyDescent="0.35">
      <c r="A1211"/>
      <c r="B1211"/>
      <c r="C1211"/>
      <c r="D1211"/>
      <c r="E1211"/>
      <c r="F1211"/>
      <c r="G1211"/>
      <c r="H1211"/>
      <c r="I1211"/>
      <c r="J1211"/>
    </row>
    <row r="1212" spans="1:10" x14ac:dyDescent="0.35">
      <c r="A1212"/>
      <c r="B1212"/>
      <c r="C1212"/>
      <c r="D1212"/>
      <c r="E1212"/>
      <c r="F1212"/>
      <c r="G1212"/>
      <c r="H1212"/>
      <c r="I1212"/>
      <c r="J1212"/>
    </row>
    <row r="1213" spans="1:10" x14ac:dyDescent="0.35">
      <c r="A1213"/>
      <c r="B1213"/>
      <c r="C1213"/>
      <c r="D1213"/>
      <c r="E1213"/>
      <c r="F1213"/>
      <c r="G1213"/>
      <c r="H1213"/>
      <c r="I1213"/>
      <c r="J1213"/>
    </row>
    <row r="1214" spans="1:10" x14ac:dyDescent="0.35">
      <c r="A1214"/>
      <c r="B1214"/>
      <c r="C1214"/>
      <c r="D1214"/>
      <c r="E1214"/>
      <c r="F1214"/>
      <c r="G1214"/>
      <c r="H1214"/>
      <c r="I1214"/>
      <c r="J1214"/>
    </row>
    <row r="1215" spans="1:10" x14ac:dyDescent="0.35">
      <c r="A1215"/>
      <c r="B1215"/>
      <c r="C1215"/>
      <c r="D1215"/>
      <c r="E1215"/>
      <c r="F1215"/>
      <c r="G1215"/>
      <c r="H1215"/>
      <c r="I1215"/>
      <c r="J1215"/>
    </row>
    <row r="1216" spans="1:10" x14ac:dyDescent="0.35">
      <c r="A1216"/>
      <c r="B1216"/>
      <c r="C1216"/>
      <c r="D1216"/>
      <c r="E1216"/>
      <c r="F1216"/>
      <c r="G1216"/>
      <c r="H1216"/>
      <c r="I1216"/>
      <c r="J1216"/>
    </row>
    <row r="1217" spans="1:10" x14ac:dyDescent="0.35">
      <c r="A1217"/>
      <c r="B1217"/>
      <c r="C1217"/>
      <c r="D1217"/>
      <c r="E1217"/>
      <c r="F1217"/>
      <c r="G1217"/>
      <c r="H1217"/>
      <c r="I1217"/>
      <c r="J1217"/>
    </row>
    <row r="1218" spans="1:10" x14ac:dyDescent="0.35">
      <c r="A1218"/>
      <c r="B1218"/>
      <c r="C1218"/>
      <c r="D1218"/>
      <c r="E1218"/>
      <c r="F1218"/>
      <c r="G1218"/>
      <c r="H1218"/>
      <c r="I1218"/>
      <c r="J1218"/>
    </row>
    <row r="1219" spans="1:10" x14ac:dyDescent="0.35">
      <c r="A1219"/>
      <c r="B1219"/>
      <c r="C1219"/>
      <c r="D1219"/>
      <c r="E1219"/>
      <c r="F1219"/>
      <c r="G1219"/>
      <c r="H1219"/>
      <c r="I1219"/>
      <c r="J1219"/>
    </row>
    <row r="1220" spans="1:10" x14ac:dyDescent="0.35">
      <c r="A1220"/>
      <c r="B1220"/>
      <c r="C1220"/>
      <c r="D1220"/>
      <c r="E1220"/>
      <c r="F1220"/>
      <c r="G1220"/>
      <c r="H1220"/>
      <c r="I1220"/>
      <c r="J1220"/>
    </row>
    <row r="1221" spans="1:10" x14ac:dyDescent="0.35">
      <c r="A1221"/>
      <c r="B1221"/>
      <c r="C1221"/>
      <c r="D1221"/>
      <c r="E1221"/>
      <c r="F1221"/>
      <c r="G1221"/>
      <c r="H1221"/>
      <c r="I1221"/>
      <c r="J1221"/>
    </row>
    <row r="1222" spans="1:10" x14ac:dyDescent="0.35">
      <c r="A1222"/>
      <c r="B1222"/>
      <c r="C1222"/>
      <c r="D1222"/>
      <c r="E1222"/>
      <c r="F1222"/>
      <c r="G1222"/>
      <c r="H1222"/>
      <c r="I1222"/>
      <c r="J1222"/>
    </row>
    <row r="1223" spans="1:10" x14ac:dyDescent="0.35">
      <c r="A1223"/>
      <c r="B1223"/>
      <c r="C1223"/>
      <c r="D1223"/>
      <c r="E1223"/>
      <c r="F1223"/>
      <c r="G1223"/>
      <c r="H1223"/>
      <c r="I1223"/>
      <c r="J1223"/>
    </row>
    <row r="1224" spans="1:10" x14ac:dyDescent="0.35">
      <c r="A1224"/>
      <c r="B1224"/>
      <c r="C1224"/>
      <c r="D1224"/>
      <c r="E1224"/>
      <c r="F1224"/>
      <c r="G1224"/>
      <c r="H1224"/>
      <c r="I1224"/>
      <c r="J1224"/>
    </row>
    <row r="1225" spans="1:10" x14ac:dyDescent="0.35">
      <c r="A1225"/>
      <c r="B1225"/>
      <c r="C1225"/>
      <c r="D1225"/>
      <c r="E1225"/>
      <c r="F1225"/>
      <c r="G1225"/>
      <c r="H1225"/>
      <c r="I1225"/>
      <c r="J1225"/>
    </row>
    <row r="1226" spans="1:10" x14ac:dyDescent="0.35">
      <c r="A1226"/>
      <c r="B1226"/>
      <c r="C1226"/>
      <c r="D1226"/>
      <c r="E1226"/>
      <c r="F1226"/>
      <c r="G1226"/>
      <c r="H1226"/>
      <c r="I1226"/>
      <c r="J1226"/>
    </row>
    <row r="1227" spans="1:10" x14ac:dyDescent="0.35">
      <c r="A1227"/>
      <c r="B1227"/>
      <c r="C1227"/>
      <c r="D1227"/>
      <c r="E1227"/>
      <c r="F1227"/>
      <c r="G1227"/>
      <c r="H1227"/>
      <c r="I1227"/>
      <c r="J1227"/>
    </row>
    <row r="1228" spans="1:10" x14ac:dyDescent="0.35">
      <c r="A1228"/>
      <c r="B1228"/>
      <c r="C1228"/>
      <c r="D1228"/>
      <c r="E1228"/>
      <c r="F1228"/>
      <c r="G1228"/>
      <c r="H1228"/>
      <c r="I1228"/>
      <c r="J1228"/>
    </row>
    <row r="1229" spans="1:10" x14ac:dyDescent="0.35">
      <c r="A1229"/>
      <c r="B1229"/>
      <c r="C1229"/>
      <c r="D1229"/>
      <c r="E1229"/>
      <c r="F1229"/>
      <c r="G1229"/>
      <c r="H1229"/>
      <c r="I1229"/>
      <c r="J1229"/>
    </row>
    <row r="1230" spans="1:10" x14ac:dyDescent="0.35">
      <c r="A1230"/>
      <c r="B1230"/>
      <c r="C1230"/>
      <c r="D1230"/>
      <c r="E1230"/>
      <c r="F1230"/>
      <c r="G1230"/>
      <c r="H1230"/>
      <c r="I1230"/>
      <c r="J1230"/>
    </row>
    <row r="1231" spans="1:10" x14ac:dyDescent="0.35">
      <c r="A1231"/>
      <c r="B1231"/>
      <c r="C1231"/>
      <c r="D1231"/>
      <c r="E1231"/>
      <c r="F1231"/>
      <c r="G1231"/>
      <c r="H1231"/>
      <c r="I1231"/>
      <c r="J1231"/>
    </row>
    <row r="1232" spans="1:10" x14ac:dyDescent="0.35">
      <c r="A1232"/>
      <c r="B1232"/>
      <c r="C1232"/>
      <c r="D1232"/>
      <c r="E1232"/>
      <c r="F1232"/>
      <c r="G1232"/>
      <c r="H1232"/>
      <c r="I1232"/>
      <c r="J1232"/>
    </row>
    <row r="1233" spans="1:10" x14ac:dyDescent="0.35">
      <c r="A1233"/>
      <c r="B1233"/>
      <c r="C1233"/>
      <c r="D1233"/>
      <c r="E1233"/>
      <c r="F1233"/>
      <c r="G1233"/>
      <c r="H1233"/>
      <c r="I1233"/>
      <c r="J1233"/>
    </row>
    <row r="1234" spans="1:10" x14ac:dyDescent="0.35">
      <c r="A1234"/>
      <c r="B1234"/>
      <c r="C1234"/>
      <c r="D1234"/>
      <c r="E1234"/>
      <c r="F1234"/>
      <c r="G1234"/>
      <c r="H1234"/>
      <c r="I1234"/>
      <c r="J1234"/>
    </row>
    <row r="1235" spans="1:10" x14ac:dyDescent="0.35">
      <c r="A1235"/>
      <c r="B1235"/>
      <c r="C1235"/>
      <c r="D1235"/>
      <c r="E1235"/>
      <c r="F1235"/>
      <c r="G1235"/>
      <c r="H1235"/>
      <c r="I1235"/>
      <c r="J1235"/>
    </row>
    <row r="1236" spans="1:10" x14ac:dyDescent="0.35">
      <c r="A1236"/>
      <c r="B1236"/>
      <c r="C1236"/>
      <c r="D1236"/>
      <c r="E1236"/>
      <c r="F1236"/>
      <c r="G1236"/>
      <c r="H1236"/>
      <c r="I1236"/>
      <c r="J1236"/>
    </row>
    <row r="1237" spans="1:10" x14ac:dyDescent="0.35">
      <c r="A1237"/>
      <c r="B1237"/>
      <c r="C1237"/>
      <c r="D1237"/>
      <c r="E1237"/>
      <c r="F1237"/>
      <c r="G1237"/>
      <c r="H1237"/>
      <c r="I1237"/>
      <c r="J1237"/>
    </row>
    <row r="1238" spans="1:10" x14ac:dyDescent="0.35">
      <c r="A1238"/>
      <c r="B1238"/>
      <c r="C1238"/>
      <c r="D1238"/>
      <c r="E1238"/>
      <c r="F1238"/>
      <c r="G1238"/>
      <c r="H1238"/>
      <c r="I1238"/>
      <c r="J1238"/>
    </row>
    <row r="1239" spans="1:10" x14ac:dyDescent="0.35">
      <c r="A1239"/>
      <c r="B1239"/>
      <c r="C1239"/>
      <c r="D1239"/>
      <c r="E1239"/>
      <c r="F1239"/>
      <c r="G1239"/>
      <c r="H1239"/>
      <c r="I1239"/>
      <c r="J1239"/>
    </row>
    <row r="1240" spans="1:10" x14ac:dyDescent="0.35">
      <c r="A1240"/>
      <c r="B1240"/>
      <c r="C1240"/>
      <c r="D1240"/>
      <c r="E1240"/>
      <c r="F1240"/>
      <c r="G1240"/>
      <c r="H1240"/>
      <c r="I1240"/>
      <c r="J1240"/>
    </row>
    <row r="1241" spans="1:10" x14ac:dyDescent="0.35">
      <c r="A1241"/>
      <c r="B1241"/>
      <c r="C1241"/>
      <c r="D1241"/>
      <c r="E1241"/>
      <c r="F1241"/>
      <c r="G1241"/>
      <c r="H1241"/>
      <c r="I1241"/>
      <c r="J1241"/>
    </row>
    <row r="1242" spans="1:10" x14ac:dyDescent="0.35">
      <c r="A1242"/>
      <c r="B1242"/>
      <c r="C1242"/>
      <c r="D1242"/>
      <c r="E1242"/>
      <c r="F1242"/>
      <c r="G1242"/>
      <c r="H1242"/>
      <c r="I1242"/>
      <c r="J1242"/>
    </row>
    <row r="1243" spans="1:10" x14ac:dyDescent="0.35">
      <c r="A1243"/>
      <c r="B1243"/>
      <c r="C1243"/>
      <c r="D1243"/>
      <c r="E1243"/>
      <c r="F1243"/>
      <c r="G1243"/>
      <c r="H1243"/>
      <c r="I1243"/>
      <c r="J1243"/>
    </row>
    <row r="1244" spans="1:10" x14ac:dyDescent="0.35">
      <c r="A1244"/>
      <c r="B1244"/>
      <c r="C1244"/>
      <c r="D1244"/>
      <c r="E1244"/>
      <c r="F1244"/>
      <c r="G1244"/>
      <c r="H1244"/>
      <c r="I1244"/>
      <c r="J1244"/>
    </row>
    <row r="1245" spans="1:10" x14ac:dyDescent="0.35">
      <c r="A1245"/>
      <c r="B1245"/>
      <c r="C1245"/>
      <c r="D1245"/>
      <c r="E1245"/>
      <c r="F1245"/>
      <c r="G1245"/>
      <c r="H1245"/>
      <c r="I1245"/>
      <c r="J1245"/>
    </row>
    <row r="1246" spans="1:10" x14ac:dyDescent="0.35">
      <c r="A1246"/>
      <c r="B1246"/>
      <c r="C1246"/>
      <c r="D1246"/>
      <c r="E1246"/>
      <c r="F1246"/>
      <c r="G1246"/>
      <c r="H1246"/>
      <c r="I1246"/>
      <c r="J1246"/>
    </row>
    <row r="1247" spans="1:10" x14ac:dyDescent="0.35">
      <c r="A1247"/>
      <c r="B1247"/>
      <c r="C1247"/>
      <c r="D1247"/>
      <c r="E1247"/>
      <c r="F1247"/>
      <c r="G1247"/>
      <c r="H1247"/>
      <c r="I1247"/>
      <c r="J1247"/>
    </row>
    <row r="1248" spans="1:10" x14ac:dyDescent="0.35">
      <c r="A1248"/>
      <c r="B1248"/>
      <c r="C1248"/>
      <c r="D1248"/>
      <c r="E1248"/>
      <c r="F1248"/>
      <c r="G1248"/>
      <c r="H1248"/>
      <c r="I1248"/>
      <c r="J1248"/>
    </row>
    <row r="1249" spans="1:10" x14ac:dyDescent="0.35">
      <c r="A1249"/>
      <c r="B1249"/>
      <c r="C1249"/>
      <c r="D1249"/>
      <c r="E1249"/>
      <c r="F1249"/>
      <c r="G1249"/>
      <c r="H1249"/>
      <c r="I1249"/>
      <c r="J1249"/>
    </row>
    <row r="1250" spans="1:10" x14ac:dyDescent="0.35">
      <c r="A1250"/>
      <c r="B1250"/>
      <c r="C1250"/>
      <c r="D1250"/>
      <c r="E1250"/>
      <c r="F1250"/>
      <c r="G1250"/>
      <c r="H1250"/>
      <c r="I1250"/>
      <c r="J1250"/>
    </row>
    <row r="1251" spans="1:10" x14ac:dyDescent="0.35">
      <c r="A1251"/>
      <c r="B1251"/>
      <c r="C1251"/>
      <c r="D1251"/>
      <c r="E1251"/>
      <c r="F1251"/>
      <c r="G1251"/>
      <c r="H1251"/>
      <c r="I1251"/>
      <c r="J1251"/>
    </row>
    <row r="1252" spans="1:10" x14ac:dyDescent="0.35">
      <c r="A1252"/>
      <c r="B1252"/>
      <c r="C1252"/>
      <c r="D1252"/>
      <c r="E1252"/>
      <c r="F1252"/>
      <c r="G1252"/>
      <c r="H1252"/>
      <c r="I1252"/>
      <c r="J1252"/>
    </row>
    <row r="1253" spans="1:10" x14ac:dyDescent="0.35">
      <c r="A1253"/>
      <c r="B1253"/>
      <c r="C1253"/>
      <c r="D1253"/>
      <c r="E1253"/>
      <c r="F1253"/>
      <c r="G1253"/>
      <c r="H1253"/>
      <c r="I1253"/>
      <c r="J1253"/>
    </row>
    <row r="1254" spans="1:10" x14ac:dyDescent="0.35">
      <c r="A1254"/>
      <c r="B1254"/>
      <c r="C1254"/>
      <c r="D1254"/>
      <c r="E1254"/>
      <c r="F1254"/>
      <c r="G1254"/>
      <c r="H1254"/>
      <c r="I1254"/>
      <c r="J1254"/>
    </row>
    <row r="1255" spans="1:10" x14ac:dyDescent="0.35">
      <c r="A1255"/>
      <c r="B1255"/>
      <c r="C1255"/>
      <c r="D1255"/>
      <c r="E1255"/>
      <c r="F1255"/>
      <c r="G1255"/>
      <c r="H1255"/>
      <c r="I1255"/>
      <c r="J1255"/>
    </row>
    <row r="1256" spans="1:10" x14ac:dyDescent="0.35">
      <c r="A1256"/>
      <c r="B1256"/>
      <c r="C1256"/>
      <c r="D1256"/>
      <c r="E1256"/>
      <c r="F1256"/>
      <c r="G1256"/>
      <c r="H1256"/>
      <c r="I1256"/>
      <c r="J1256"/>
    </row>
    <row r="1257" spans="1:10" x14ac:dyDescent="0.35">
      <c r="A1257"/>
      <c r="B1257"/>
      <c r="C1257"/>
      <c r="D1257"/>
      <c r="E1257"/>
      <c r="F1257"/>
      <c r="G1257"/>
      <c r="H1257"/>
      <c r="I1257"/>
      <c r="J1257"/>
    </row>
    <row r="1258" spans="1:10" x14ac:dyDescent="0.35">
      <c r="A1258"/>
      <c r="B1258"/>
      <c r="C1258"/>
      <c r="D1258"/>
      <c r="E1258"/>
      <c r="F1258"/>
      <c r="G1258"/>
      <c r="H1258"/>
      <c r="I1258"/>
      <c r="J1258"/>
    </row>
    <row r="1259" spans="1:10" x14ac:dyDescent="0.35">
      <c r="A1259"/>
      <c r="B1259"/>
      <c r="C1259"/>
      <c r="D1259"/>
      <c r="E1259"/>
      <c r="F1259"/>
      <c r="G1259"/>
      <c r="H1259"/>
      <c r="I1259"/>
      <c r="J1259"/>
    </row>
    <row r="1260" spans="1:10" x14ac:dyDescent="0.35">
      <c r="A1260"/>
      <c r="B1260"/>
      <c r="C1260"/>
      <c r="D1260"/>
      <c r="E1260"/>
      <c r="F1260"/>
      <c r="G1260"/>
      <c r="H1260"/>
      <c r="I1260"/>
      <c r="J1260"/>
    </row>
    <row r="1261" spans="1:10" x14ac:dyDescent="0.35">
      <c r="A1261"/>
      <c r="B1261"/>
      <c r="C1261"/>
      <c r="D1261"/>
      <c r="E1261"/>
      <c r="F1261"/>
      <c r="G1261"/>
      <c r="H1261"/>
      <c r="I1261"/>
      <c r="J1261"/>
    </row>
    <row r="1262" spans="1:10" x14ac:dyDescent="0.35">
      <c r="A1262"/>
      <c r="B1262"/>
      <c r="C1262"/>
      <c r="D1262"/>
      <c r="E1262"/>
      <c r="F1262"/>
      <c r="G1262"/>
      <c r="H1262"/>
      <c r="I1262"/>
      <c r="J1262"/>
    </row>
    <row r="1263" spans="1:10" x14ac:dyDescent="0.35">
      <c r="A1263"/>
      <c r="B1263"/>
      <c r="C1263"/>
      <c r="D1263"/>
      <c r="E1263"/>
      <c r="F1263"/>
      <c r="G1263"/>
      <c r="H1263"/>
      <c r="I1263"/>
      <c r="J1263"/>
    </row>
    <row r="1264" spans="1:10" x14ac:dyDescent="0.35">
      <c r="A1264"/>
      <c r="B1264"/>
      <c r="C1264"/>
      <c r="D1264"/>
      <c r="E1264"/>
      <c r="F1264"/>
      <c r="G1264"/>
      <c r="H1264"/>
      <c r="I1264"/>
      <c r="J1264"/>
    </row>
    <row r="1265" spans="1:10" x14ac:dyDescent="0.35">
      <c r="A1265"/>
      <c r="B1265"/>
      <c r="C1265"/>
      <c r="D1265"/>
      <c r="E1265"/>
      <c r="F1265"/>
      <c r="G1265"/>
      <c r="H1265"/>
      <c r="I1265"/>
      <c r="J1265"/>
    </row>
    <row r="1266" spans="1:10" x14ac:dyDescent="0.35">
      <c r="A1266"/>
      <c r="B1266"/>
      <c r="C1266"/>
      <c r="D1266"/>
      <c r="E1266"/>
      <c r="F1266"/>
      <c r="G1266"/>
      <c r="H1266"/>
      <c r="I1266"/>
      <c r="J1266"/>
    </row>
    <row r="1267" spans="1:10" x14ac:dyDescent="0.35">
      <c r="A1267"/>
      <c r="B1267"/>
      <c r="C1267"/>
      <c r="D1267"/>
      <c r="E1267"/>
      <c r="F1267"/>
      <c r="G1267"/>
      <c r="H1267"/>
      <c r="I1267"/>
      <c r="J1267"/>
    </row>
    <row r="1268" spans="1:10" x14ac:dyDescent="0.35">
      <c r="A1268"/>
      <c r="B1268"/>
      <c r="C1268"/>
      <c r="D1268"/>
      <c r="E1268"/>
      <c r="F1268"/>
      <c r="G1268"/>
      <c r="H1268"/>
      <c r="I1268"/>
      <c r="J1268"/>
    </row>
    <row r="1269" spans="1:10" x14ac:dyDescent="0.35">
      <c r="A1269"/>
      <c r="B1269"/>
      <c r="C1269"/>
      <c r="D1269"/>
      <c r="E1269"/>
      <c r="F1269"/>
      <c r="G1269"/>
      <c r="H1269"/>
      <c r="I1269"/>
      <c r="J1269"/>
    </row>
    <row r="1270" spans="1:10" x14ac:dyDescent="0.35">
      <c r="A1270"/>
      <c r="B1270"/>
      <c r="C1270"/>
      <c r="D1270"/>
      <c r="E1270"/>
      <c r="F1270"/>
      <c r="G1270"/>
      <c r="H1270"/>
      <c r="I1270"/>
      <c r="J1270"/>
    </row>
    <row r="1271" spans="1:10" x14ac:dyDescent="0.35">
      <c r="A1271"/>
      <c r="B1271"/>
      <c r="C1271"/>
      <c r="D1271"/>
      <c r="E1271"/>
      <c r="F1271"/>
      <c r="G1271"/>
      <c r="H1271"/>
      <c r="I1271"/>
      <c r="J1271"/>
    </row>
    <row r="1272" spans="1:10" x14ac:dyDescent="0.35">
      <c r="A1272"/>
      <c r="B1272"/>
      <c r="C1272"/>
      <c r="D1272"/>
      <c r="E1272"/>
      <c r="F1272"/>
      <c r="G1272"/>
      <c r="H1272"/>
      <c r="I1272"/>
      <c r="J1272"/>
    </row>
    <row r="1273" spans="1:10" x14ac:dyDescent="0.35">
      <c r="A1273"/>
      <c r="B1273"/>
      <c r="C1273"/>
      <c r="D1273"/>
      <c r="E1273"/>
      <c r="F1273"/>
      <c r="G1273"/>
      <c r="H1273"/>
      <c r="I1273"/>
      <c r="J1273"/>
    </row>
    <row r="1274" spans="1:10" x14ac:dyDescent="0.35">
      <c r="A1274"/>
      <c r="B1274"/>
      <c r="C1274"/>
      <c r="D1274"/>
      <c r="E1274"/>
      <c r="F1274"/>
      <c r="G1274"/>
      <c r="H1274"/>
      <c r="I1274"/>
      <c r="J1274"/>
    </row>
    <row r="1275" spans="1:10" x14ac:dyDescent="0.35">
      <c r="A1275"/>
      <c r="B1275"/>
      <c r="C1275"/>
      <c r="D1275"/>
      <c r="E1275"/>
      <c r="F1275"/>
      <c r="G1275"/>
      <c r="H1275"/>
      <c r="I1275"/>
      <c r="J1275"/>
    </row>
    <row r="1276" spans="1:10" x14ac:dyDescent="0.35">
      <c r="A1276"/>
      <c r="B1276"/>
      <c r="C1276"/>
      <c r="D1276"/>
      <c r="E1276"/>
      <c r="F1276"/>
      <c r="G1276"/>
      <c r="H1276"/>
      <c r="I1276"/>
      <c r="J1276"/>
    </row>
    <row r="1277" spans="1:10" x14ac:dyDescent="0.35">
      <c r="A1277"/>
      <c r="B1277"/>
      <c r="C1277"/>
      <c r="D1277"/>
      <c r="E1277"/>
      <c r="F1277"/>
      <c r="G1277"/>
      <c r="H1277"/>
      <c r="I1277"/>
      <c r="J1277"/>
    </row>
    <row r="1278" spans="1:10" x14ac:dyDescent="0.35">
      <c r="A1278"/>
      <c r="B1278"/>
      <c r="C1278"/>
      <c r="D1278"/>
      <c r="E1278"/>
      <c r="F1278"/>
      <c r="G1278"/>
      <c r="H1278"/>
      <c r="I1278"/>
      <c r="J1278"/>
    </row>
    <row r="1279" spans="1:10" x14ac:dyDescent="0.35">
      <c r="A1279"/>
      <c r="B1279"/>
      <c r="C1279"/>
      <c r="D1279"/>
      <c r="E1279"/>
      <c r="F1279"/>
      <c r="G1279"/>
      <c r="H1279"/>
      <c r="I1279"/>
      <c r="J1279"/>
    </row>
    <row r="1280" spans="1:10" x14ac:dyDescent="0.35">
      <c r="A1280"/>
      <c r="B1280"/>
      <c r="C1280"/>
      <c r="D1280"/>
      <c r="E1280"/>
      <c r="F1280"/>
      <c r="G1280"/>
      <c r="H1280"/>
      <c r="I1280"/>
      <c r="J1280"/>
    </row>
    <row r="1281" spans="1:10" x14ac:dyDescent="0.35">
      <c r="A1281"/>
      <c r="B1281"/>
      <c r="C1281"/>
      <c r="D1281"/>
      <c r="E1281"/>
      <c r="F1281"/>
      <c r="G1281"/>
      <c r="H1281"/>
      <c r="I1281"/>
      <c r="J1281"/>
    </row>
    <row r="1282" spans="1:10" x14ac:dyDescent="0.35">
      <c r="A1282"/>
      <c r="B1282"/>
      <c r="C1282"/>
      <c r="D1282"/>
      <c r="E1282"/>
      <c r="F1282"/>
      <c r="G1282"/>
      <c r="H1282"/>
      <c r="I1282"/>
      <c r="J1282"/>
    </row>
    <row r="1283" spans="1:10" x14ac:dyDescent="0.35">
      <c r="A1283"/>
      <c r="B1283"/>
      <c r="C1283"/>
      <c r="D1283"/>
      <c r="E1283"/>
      <c r="F1283"/>
      <c r="G1283"/>
      <c r="H1283"/>
      <c r="I1283"/>
      <c r="J1283"/>
    </row>
    <row r="1284" spans="1:10" x14ac:dyDescent="0.35">
      <c r="A1284"/>
      <c r="B1284"/>
      <c r="C1284"/>
      <c r="D1284"/>
      <c r="E1284"/>
      <c r="F1284"/>
      <c r="G1284"/>
      <c r="H1284"/>
      <c r="I1284"/>
      <c r="J1284"/>
    </row>
    <row r="1285" spans="1:10" x14ac:dyDescent="0.35">
      <c r="A1285"/>
      <c r="B1285"/>
      <c r="C1285"/>
      <c r="D1285"/>
      <c r="E1285"/>
      <c r="F1285"/>
      <c r="G1285"/>
      <c r="H1285"/>
      <c r="I1285"/>
      <c r="J1285"/>
    </row>
    <row r="1286" spans="1:10" x14ac:dyDescent="0.35">
      <c r="A1286"/>
      <c r="B1286"/>
      <c r="C1286"/>
      <c r="D1286"/>
      <c r="E1286"/>
      <c r="F1286"/>
      <c r="G1286"/>
      <c r="H1286"/>
      <c r="I1286"/>
      <c r="J1286"/>
    </row>
    <row r="1287" spans="1:10" x14ac:dyDescent="0.35">
      <c r="A1287"/>
      <c r="B1287"/>
      <c r="C1287"/>
      <c r="D1287"/>
      <c r="E1287"/>
      <c r="F1287"/>
      <c r="G1287"/>
      <c r="H1287"/>
      <c r="I1287"/>
      <c r="J1287"/>
    </row>
    <row r="1288" spans="1:10" x14ac:dyDescent="0.35">
      <c r="A1288"/>
      <c r="B1288"/>
      <c r="C1288"/>
      <c r="D1288"/>
      <c r="E1288"/>
      <c r="F1288"/>
      <c r="G1288"/>
      <c r="H1288"/>
      <c r="I1288"/>
      <c r="J1288"/>
    </row>
    <row r="1289" spans="1:10" x14ac:dyDescent="0.35">
      <c r="A1289"/>
      <c r="B1289"/>
      <c r="C1289"/>
      <c r="D1289"/>
      <c r="E1289"/>
      <c r="F1289"/>
      <c r="G1289"/>
      <c r="H1289"/>
      <c r="I1289"/>
      <c r="J1289"/>
    </row>
    <row r="1290" spans="1:10" x14ac:dyDescent="0.35">
      <c r="A1290"/>
      <c r="B1290"/>
      <c r="C1290"/>
      <c r="D1290"/>
      <c r="E1290"/>
      <c r="F1290"/>
      <c r="G1290"/>
      <c r="H1290"/>
      <c r="I1290"/>
      <c r="J1290"/>
    </row>
    <row r="1291" spans="1:10" x14ac:dyDescent="0.35">
      <c r="A1291"/>
      <c r="B1291"/>
      <c r="C1291"/>
      <c r="D1291"/>
      <c r="E1291"/>
      <c r="F1291"/>
      <c r="G1291"/>
      <c r="H1291"/>
      <c r="I1291"/>
      <c r="J1291"/>
    </row>
    <row r="1292" spans="1:10" x14ac:dyDescent="0.35">
      <c r="A1292"/>
      <c r="B1292"/>
      <c r="C1292"/>
      <c r="D1292"/>
      <c r="E1292"/>
      <c r="F1292"/>
      <c r="G1292"/>
      <c r="H1292"/>
      <c r="I1292"/>
      <c r="J1292"/>
    </row>
    <row r="1293" spans="1:10" x14ac:dyDescent="0.35">
      <c r="A1293"/>
      <c r="B1293"/>
      <c r="C1293"/>
      <c r="D1293"/>
      <c r="E1293"/>
      <c r="F1293"/>
      <c r="G1293"/>
      <c r="H1293"/>
      <c r="I1293"/>
      <c r="J1293"/>
    </row>
    <row r="1294" spans="1:10" x14ac:dyDescent="0.35">
      <c r="A1294"/>
      <c r="B1294"/>
      <c r="C1294"/>
      <c r="D1294"/>
      <c r="E1294"/>
      <c r="F1294"/>
      <c r="G1294"/>
      <c r="H1294"/>
      <c r="I1294"/>
      <c r="J1294"/>
    </row>
    <row r="1295" spans="1:10" x14ac:dyDescent="0.35">
      <c r="A1295"/>
      <c r="B1295"/>
      <c r="C1295"/>
      <c r="D1295"/>
      <c r="E1295"/>
      <c r="F1295"/>
      <c r="G1295"/>
      <c r="H1295"/>
      <c r="I1295"/>
      <c r="J1295"/>
    </row>
    <row r="1296" spans="1:10" x14ac:dyDescent="0.35">
      <c r="A1296"/>
      <c r="B1296"/>
      <c r="C1296"/>
      <c r="D1296"/>
      <c r="E1296"/>
      <c r="F1296"/>
      <c r="G1296"/>
      <c r="H1296"/>
      <c r="I1296"/>
      <c r="J1296"/>
    </row>
    <row r="1297" spans="1:10" x14ac:dyDescent="0.35">
      <c r="A1297"/>
      <c r="B1297"/>
      <c r="C1297"/>
      <c r="D1297"/>
      <c r="E1297"/>
      <c r="F1297"/>
      <c r="G1297"/>
      <c r="H1297"/>
      <c r="I1297"/>
      <c r="J1297"/>
    </row>
    <row r="1298" spans="1:10" x14ac:dyDescent="0.35">
      <c r="A1298"/>
      <c r="B1298"/>
      <c r="C1298"/>
      <c r="D1298"/>
      <c r="E1298"/>
      <c r="F1298"/>
      <c r="G1298"/>
      <c r="H1298"/>
      <c r="I1298"/>
      <c r="J1298"/>
    </row>
    <row r="1299" spans="1:10" x14ac:dyDescent="0.35">
      <c r="A1299"/>
      <c r="B1299"/>
      <c r="C1299"/>
      <c r="D1299"/>
      <c r="E1299"/>
      <c r="F1299"/>
      <c r="G1299"/>
      <c r="H1299"/>
      <c r="I1299"/>
      <c r="J1299"/>
    </row>
    <row r="1300" spans="1:10" x14ac:dyDescent="0.35">
      <c r="A1300"/>
      <c r="B1300"/>
      <c r="C1300"/>
      <c r="D1300"/>
      <c r="E1300"/>
      <c r="F1300"/>
      <c r="G1300"/>
      <c r="H1300"/>
      <c r="I1300"/>
      <c r="J1300"/>
    </row>
    <row r="1301" spans="1:10" x14ac:dyDescent="0.35">
      <c r="A1301"/>
      <c r="B1301"/>
      <c r="C1301"/>
      <c r="D1301"/>
      <c r="E1301"/>
      <c r="F1301"/>
      <c r="G1301"/>
      <c r="H1301"/>
      <c r="I1301"/>
      <c r="J1301"/>
    </row>
    <row r="1302" spans="1:10" x14ac:dyDescent="0.35">
      <c r="A1302"/>
      <c r="B1302"/>
      <c r="C1302"/>
      <c r="D1302"/>
      <c r="E1302"/>
      <c r="F1302"/>
      <c r="G1302"/>
      <c r="H1302"/>
      <c r="I1302"/>
      <c r="J1302"/>
    </row>
    <row r="1303" spans="1:10" x14ac:dyDescent="0.35">
      <c r="A1303"/>
      <c r="B1303"/>
      <c r="C1303"/>
      <c r="D1303"/>
      <c r="E1303"/>
      <c r="F1303"/>
      <c r="G1303"/>
      <c r="H1303"/>
      <c r="I1303"/>
      <c r="J1303"/>
    </row>
    <row r="1304" spans="1:10" x14ac:dyDescent="0.35">
      <c r="A1304"/>
      <c r="B1304"/>
      <c r="C1304"/>
      <c r="D1304"/>
      <c r="E1304"/>
      <c r="F1304"/>
      <c r="G1304"/>
      <c r="H1304"/>
      <c r="I1304"/>
      <c r="J1304"/>
    </row>
    <row r="1305" spans="1:10" x14ac:dyDescent="0.35">
      <c r="A1305"/>
      <c r="B1305"/>
      <c r="C1305"/>
      <c r="D1305"/>
      <c r="E1305"/>
      <c r="F1305"/>
      <c r="G1305"/>
      <c r="H1305"/>
      <c r="I1305"/>
      <c r="J1305"/>
    </row>
    <row r="1306" spans="1:10" x14ac:dyDescent="0.35">
      <c r="A1306"/>
      <c r="B1306"/>
      <c r="C1306"/>
      <c r="D1306"/>
      <c r="E1306"/>
      <c r="F1306"/>
      <c r="G1306"/>
      <c r="H1306"/>
      <c r="I1306"/>
      <c r="J1306"/>
    </row>
    <row r="1307" spans="1:10" x14ac:dyDescent="0.35">
      <c r="A1307"/>
      <c r="B1307"/>
      <c r="C1307"/>
      <c r="D1307"/>
      <c r="E1307"/>
      <c r="F1307"/>
      <c r="G1307"/>
      <c r="H1307"/>
      <c r="I1307"/>
      <c r="J1307"/>
    </row>
    <row r="1308" spans="1:10" x14ac:dyDescent="0.35">
      <c r="A1308"/>
      <c r="B1308"/>
      <c r="C1308"/>
      <c r="D1308"/>
      <c r="E1308"/>
      <c r="F1308"/>
      <c r="G1308"/>
      <c r="H1308"/>
      <c r="I1308"/>
      <c r="J1308"/>
    </row>
    <row r="1309" spans="1:10" x14ac:dyDescent="0.35">
      <c r="A1309"/>
      <c r="B1309"/>
      <c r="C1309"/>
      <c r="D1309"/>
      <c r="E1309"/>
      <c r="F1309"/>
      <c r="G1309"/>
      <c r="H1309"/>
      <c r="I1309"/>
      <c r="J1309"/>
    </row>
    <row r="1310" spans="1:10" x14ac:dyDescent="0.35">
      <c r="A1310"/>
      <c r="B1310"/>
      <c r="C1310"/>
      <c r="D1310"/>
      <c r="E1310"/>
      <c r="F1310"/>
      <c r="G1310"/>
      <c r="H1310"/>
      <c r="I1310"/>
      <c r="J1310"/>
    </row>
    <row r="1311" spans="1:10" x14ac:dyDescent="0.35">
      <c r="A1311"/>
      <c r="B1311"/>
      <c r="C1311"/>
      <c r="D1311"/>
      <c r="E1311"/>
      <c r="F1311"/>
      <c r="G1311"/>
      <c r="H1311"/>
      <c r="I1311"/>
      <c r="J1311"/>
    </row>
    <row r="1312" spans="1:10" x14ac:dyDescent="0.35">
      <c r="A1312"/>
      <c r="B1312"/>
      <c r="C1312"/>
      <c r="D1312"/>
      <c r="E1312"/>
      <c r="F1312"/>
      <c r="G1312"/>
      <c r="H1312"/>
      <c r="I1312"/>
      <c r="J1312"/>
    </row>
    <row r="1313" spans="1:10" x14ac:dyDescent="0.35">
      <c r="A1313"/>
      <c r="B1313"/>
      <c r="C1313"/>
      <c r="D1313"/>
      <c r="E1313"/>
      <c r="F1313"/>
      <c r="G1313"/>
      <c r="H1313"/>
      <c r="I1313"/>
      <c r="J1313"/>
    </row>
    <row r="1314" spans="1:10" x14ac:dyDescent="0.35">
      <c r="A1314"/>
      <c r="B1314"/>
      <c r="C1314"/>
      <c r="D1314"/>
      <c r="E1314"/>
      <c r="F1314"/>
      <c r="G1314"/>
      <c r="H1314"/>
      <c r="I1314"/>
      <c r="J1314"/>
    </row>
    <row r="1315" spans="1:10" x14ac:dyDescent="0.35">
      <c r="A1315"/>
      <c r="B1315"/>
      <c r="C1315"/>
      <c r="D1315"/>
      <c r="E1315"/>
      <c r="F1315"/>
      <c r="G1315"/>
      <c r="H1315"/>
      <c r="I1315"/>
      <c r="J1315"/>
    </row>
    <row r="1316" spans="1:10" x14ac:dyDescent="0.35">
      <c r="A1316"/>
      <c r="B1316"/>
      <c r="C1316"/>
      <c r="D1316"/>
      <c r="E1316"/>
      <c r="F1316"/>
      <c r="G1316"/>
      <c r="H1316"/>
      <c r="I1316"/>
      <c r="J1316"/>
    </row>
    <row r="1317" spans="1:10" x14ac:dyDescent="0.35">
      <c r="A1317"/>
      <c r="B1317"/>
      <c r="C1317"/>
      <c r="D1317"/>
      <c r="E1317"/>
      <c r="F1317"/>
      <c r="G1317"/>
      <c r="H1317"/>
      <c r="I1317"/>
      <c r="J1317"/>
    </row>
    <row r="1318" spans="1:10" x14ac:dyDescent="0.35">
      <c r="A1318"/>
      <c r="B1318"/>
      <c r="C1318"/>
      <c r="D1318"/>
      <c r="E1318"/>
      <c r="F1318"/>
      <c r="G1318"/>
      <c r="H1318"/>
      <c r="I1318"/>
      <c r="J1318"/>
    </row>
    <row r="1319" spans="1:10" x14ac:dyDescent="0.35">
      <c r="A1319"/>
      <c r="B1319"/>
      <c r="C1319"/>
      <c r="D1319"/>
      <c r="E1319"/>
      <c r="F1319"/>
      <c r="G1319"/>
      <c r="H1319"/>
      <c r="I1319"/>
      <c r="J1319"/>
    </row>
    <row r="1320" spans="1:10" x14ac:dyDescent="0.35">
      <c r="A1320"/>
      <c r="B1320"/>
      <c r="C1320"/>
      <c r="D1320"/>
      <c r="E1320"/>
      <c r="F1320"/>
      <c r="G1320"/>
      <c r="H1320"/>
      <c r="I1320"/>
      <c r="J1320"/>
    </row>
    <row r="1321" spans="1:10" x14ac:dyDescent="0.35">
      <c r="A1321"/>
      <c r="B1321"/>
      <c r="C1321"/>
      <c r="D1321"/>
      <c r="E1321"/>
      <c r="F1321"/>
      <c r="G1321"/>
      <c r="H1321"/>
      <c r="I1321"/>
      <c r="J1321"/>
    </row>
    <row r="1322" spans="1:10" x14ac:dyDescent="0.35">
      <c r="A1322"/>
      <c r="B1322"/>
      <c r="C1322"/>
      <c r="D1322"/>
      <c r="E1322"/>
      <c r="F1322"/>
      <c r="G1322"/>
      <c r="H1322"/>
      <c r="I1322"/>
      <c r="J1322"/>
    </row>
    <row r="1323" spans="1:10" x14ac:dyDescent="0.35">
      <c r="A1323"/>
      <c r="B1323"/>
      <c r="C1323"/>
      <c r="D1323"/>
      <c r="E1323"/>
      <c r="F1323"/>
      <c r="G1323"/>
      <c r="H1323"/>
      <c r="I1323"/>
      <c r="J1323"/>
    </row>
    <row r="1324" spans="1:10" x14ac:dyDescent="0.35">
      <c r="A1324"/>
      <c r="B1324"/>
      <c r="C1324"/>
      <c r="D1324"/>
      <c r="E1324"/>
      <c r="F1324"/>
      <c r="G1324"/>
      <c r="H1324"/>
      <c r="I1324"/>
      <c r="J1324"/>
    </row>
    <row r="1325" spans="1:10" x14ac:dyDescent="0.35">
      <c r="A1325"/>
      <c r="B1325"/>
      <c r="C1325"/>
      <c r="D1325"/>
      <c r="E1325"/>
      <c r="F1325"/>
      <c r="G1325"/>
      <c r="H1325"/>
      <c r="I1325"/>
      <c r="J1325"/>
    </row>
    <row r="1326" spans="1:10" x14ac:dyDescent="0.35">
      <c r="A1326"/>
      <c r="B1326"/>
      <c r="C1326"/>
      <c r="D1326"/>
      <c r="E1326"/>
      <c r="F1326"/>
      <c r="G1326"/>
      <c r="H1326"/>
      <c r="I1326"/>
      <c r="J1326"/>
    </row>
    <row r="1327" spans="1:10" x14ac:dyDescent="0.35">
      <c r="A1327"/>
      <c r="B1327"/>
      <c r="C1327"/>
      <c r="D1327"/>
      <c r="E1327"/>
      <c r="F1327"/>
      <c r="G1327"/>
      <c r="H1327"/>
      <c r="I1327"/>
      <c r="J1327"/>
    </row>
    <row r="1328" spans="1:10" x14ac:dyDescent="0.35">
      <c r="A1328"/>
      <c r="B1328"/>
      <c r="C1328"/>
      <c r="D1328"/>
      <c r="E1328"/>
      <c r="F1328"/>
      <c r="G1328"/>
      <c r="H1328"/>
      <c r="I1328"/>
      <c r="J1328"/>
    </row>
    <row r="1329" spans="1:10" x14ac:dyDescent="0.35">
      <c r="A1329"/>
      <c r="B1329"/>
      <c r="C1329"/>
      <c r="D1329"/>
      <c r="E1329"/>
      <c r="F1329"/>
      <c r="G1329"/>
      <c r="H1329"/>
      <c r="I1329"/>
      <c r="J1329"/>
    </row>
    <row r="1330" spans="1:10" x14ac:dyDescent="0.35">
      <c r="A1330"/>
      <c r="B1330"/>
      <c r="C1330"/>
      <c r="D1330"/>
      <c r="E1330"/>
      <c r="F1330"/>
      <c r="G1330"/>
      <c r="H1330"/>
      <c r="I1330"/>
      <c r="J1330"/>
    </row>
    <row r="1331" spans="1:10" x14ac:dyDescent="0.35">
      <c r="A1331"/>
      <c r="B1331"/>
      <c r="C1331"/>
      <c r="D1331"/>
      <c r="E1331"/>
      <c r="F1331"/>
      <c r="G1331"/>
      <c r="H1331"/>
      <c r="I1331"/>
      <c r="J1331"/>
    </row>
    <row r="1332" spans="1:10" x14ac:dyDescent="0.35">
      <c r="A1332"/>
      <c r="B1332"/>
      <c r="C1332"/>
      <c r="D1332"/>
      <c r="E1332"/>
      <c r="F1332"/>
      <c r="G1332"/>
      <c r="H1332"/>
      <c r="I1332"/>
      <c r="J1332"/>
    </row>
    <row r="1333" spans="1:10" x14ac:dyDescent="0.35">
      <c r="A1333"/>
      <c r="B1333"/>
      <c r="C1333"/>
      <c r="D1333"/>
      <c r="E1333"/>
      <c r="F1333"/>
      <c r="G1333"/>
      <c r="H1333"/>
      <c r="I1333"/>
      <c r="J1333"/>
    </row>
    <row r="1334" spans="1:10" x14ac:dyDescent="0.35">
      <c r="A1334"/>
      <c r="B1334"/>
      <c r="C1334"/>
      <c r="D1334"/>
      <c r="E1334"/>
      <c r="F1334"/>
      <c r="G1334"/>
      <c r="H1334"/>
      <c r="I1334"/>
      <c r="J1334"/>
    </row>
    <row r="1335" spans="1:10" x14ac:dyDescent="0.35">
      <c r="A1335"/>
      <c r="B1335"/>
      <c r="C1335"/>
      <c r="D1335"/>
      <c r="E1335"/>
      <c r="F1335"/>
      <c r="G1335"/>
      <c r="H1335"/>
      <c r="I1335"/>
      <c r="J1335"/>
    </row>
    <row r="1336" spans="1:10" x14ac:dyDescent="0.35">
      <c r="A1336"/>
      <c r="B1336"/>
      <c r="C1336"/>
      <c r="D1336"/>
      <c r="E1336"/>
      <c r="F1336"/>
      <c r="G1336"/>
      <c r="H1336"/>
      <c r="I1336"/>
      <c r="J1336"/>
    </row>
    <row r="1337" spans="1:10" x14ac:dyDescent="0.35">
      <c r="A1337"/>
      <c r="B1337"/>
      <c r="C1337"/>
      <c r="D1337"/>
      <c r="E1337"/>
      <c r="F1337"/>
      <c r="G1337"/>
      <c r="H1337"/>
      <c r="I1337"/>
      <c r="J1337"/>
    </row>
    <row r="1338" spans="1:10" x14ac:dyDescent="0.35">
      <c r="A1338"/>
      <c r="B1338"/>
      <c r="C1338"/>
      <c r="D1338"/>
      <c r="E1338"/>
      <c r="F1338"/>
      <c r="G1338"/>
      <c r="H1338"/>
      <c r="I1338"/>
      <c r="J1338"/>
    </row>
    <row r="1339" spans="1:10" x14ac:dyDescent="0.35">
      <c r="A1339"/>
      <c r="B1339"/>
      <c r="C1339"/>
      <c r="D1339"/>
      <c r="E1339"/>
      <c r="F1339"/>
      <c r="G1339"/>
      <c r="H1339"/>
      <c r="I1339"/>
      <c r="J1339"/>
    </row>
    <row r="1340" spans="1:10" x14ac:dyDescent="0.35">
      <c r="A1340"/>
      <c r="B1340"/>
      <c r="C1340"/>
      <c r="D1340"/>
      <c r="E1340"/>
      <c r="F1340"/>
      <c r="G1340"/>
      <c r="H1340"/>
      <c r="I1340"/>
      <c r="J1340"/>
    </row>
    <row r="1341" spans="1:10" x14ac:dyDescent="0.35">
      <c r="A1341"/>
      <c r="B1341"/>
      <c r="C1341"/>
      <c r="D1341"/>
      <c r="E1341"/>
      <c r="F1341"/>
      <c r="G1341"/>
      <c r="H1341"/>
      <c r="I1341"/>
      <c r="J1341"/>
    </row>
    <row r="1342" spans="1:10" x14ac:dyDescent="0.35">
      <c r="A1342"/>
      <c r="B1342"/>
      <c r="C1342"/>
      <c r="D1342"/>
      <c r="E1342"/>
      <c r="F1342"/>
      <c r="G1342"/>
      <c r="H1342"/>
      <c r="I1342"/>
      <c r="J1342"/>
    </row>
    <row r="1343" spans="1:10" x14ac:dyDescent="0.35">
      <c r="A1343"/>
      <c r="B1343"/>
      <c r="C1343"/>
      <c r="D1343"/>
      <c r="E1343"/>
      <c r="F1343"/>
      <c r="G1343"/>
      <c r="H1343"/>
      <c r="I1343"/>
      <c r="J1343"/>
    </row>
    <row r="1344" spans="1:10" x14ac:dyDescent="0.35">
      <c r="A1344"/>
      <c r="B1344"/>
      <c r="C1344"/>
      <c r="D1344"/>
      <c r="E1344"/>
      <c r="F1344"/>
      <c r="G1344"/>
      <c r="H1344"/>
      <c r="I1344"/>
      <c r="J1344"/>
    </row>
    <row r="1345" spans="1:10" x14ac:dyDescent="0.35">
      <c r="A1345"/>
      <c r="B1345"/>
      <c r="C1345"/>
      <c r="D1345"/>
      <c r="E1345"/>
      <c r="F1345"/>
      <c r="G1345"/>
      <c r="H1345"/>
      <c r="I1345"/>
      <c r="J1345"/>
    </row>
    <row r="1346" spans="1:10" x14ac:dyDescent="0.35">
      <c r="A1346"/>
      <c r="B1346"/>
      <c r="C1346"/>
      <c r="D1346"/>
      <c r="E1346"/>
      <c r="F1346"/>
      <c r="G1346"/>
      <c r="H1346"/>
      <c r="I1346"/>
      <c r="J1346"/>
    </row>
    <row r="1347" spans="1:10" x14ac:dyDescent="0.35">
      <c r="A1347"/>
      <c r="B1347"/>
      <c r="C1347"/>
      <c r="D1347"/>
      <c r="E1347"/>
      <c r="F1347"/>
      <c r="G1347"/>
      <c r="H1347"/>
      <c r="I1347"/>
      <c r="J1347"/>
    </row>
    <row r="1348" spans="1:10" x14ac:dyDescent="0.35">
      <c r="A1348"/>
      <c r="B1348"/>
      <c r="C1348"/>
      <c r="D1348"/>
      <c r="E1348"/>
      <c r="F1348"/>
      <c r="G1348"/>
      <c r="H1348"/>
      <c r="I1348"/>
      <c r="J1348"/>
    </row>
    <row r="1349" spans="1:10" x14ac:dyDescent="0.35">
      <c r="A1349"/>
      <c r="B1349"/>
      <c r="C1349"/>
      <c r="D1349"/>
      <c r="E1349"/>
      <c r="F1349"/>
      <c r="G1349"/>
      <c r="H1349"/>
      <c r="I1349"/>
      <c r="J1349"/>
    </row>
    <row r="1350" spans="1:10" x14ac:dyDescent="0.35">
      <c r="A1350"/>
      <c r="B1350"/>
      <c r="C1350"/>
      <c r="D1350"/>
      <c r="E1350"/>
      <c r="F1350"/>
      <c r="G1350"/>
      <c r="H1350"/>
      <c r="I1350"/>
      <c r="J1350"/>
    </row>
    <row r="1351" spans="1:10" x14ac:dyDescent="0.35">
      <c r="A1351"/>
      <c r="B1351"/>
      <c r="C1351"/>
      <c r="D1351"/>
      <c r="E1351"/>
      <c r="F1351"/>
      <c r="G1351"/>
      <c r="H1351"/>
      <c r="I1351"/>
      <c r="J1351"/>
    </row>
    <row r="1352" spans="1:10" x14ac:dyDescent="0.35">
      <c r="A1352"/>
      <c r="B1352"/>
      <c r="C1352"/>
      <c r="D1352"/>
      <c r="E1352"/>
      <c r="F1352"/>
      <c r="G1352"/>
      <c r="H1352"/>
      <c r="I1352"/>
      <c r="J1352"/>
    </row>
    <row r="1353" spans="1:10" x14ac:dyDescent="0.35">
      <c r="A1353"/>
      <c r="B1353"/>
      <c r="C1353"/>
      <c r="D1353"/>
      <c r="E1353"/>
      <c r="F1353"/>
      <c r="G1353"/>
      <c r="H1353"/>
      <c r="I1353"/>
      <c r="J1353"/>
    </row>
    <row r="1354" spans="1:10" x14ac:dyDescent="0.35">
      <c r="A1354"/>
      <c r="B1354"/>
      <c r="C1354"/>
      <c r="D1354"/>
      <c r="E1354"/>
      <c r="F1354"/>
      <c r="G1354"/>
      <c r="H1354"/>
      <c r="I1354"/>
      <c r="J1354"/>
    </row>
    <row r="1355" spans="1:10" x14ac:dyDescent="0.35">
      <c r="A1355"/>
      <c r="B1355"/>
      <c r="C1355"/>
      <c r="D1355"/>
      <c r="E1355"/>
      <c r="F1355"/>
      <c r="G1355"/>
      <c r="H1355"/>
      <c r="I1355"/>
      <c r="J1355"/>
    </row>
    <row r="1356" spans="1:10" x14ac:dyDescent="0.35">
      <c r="A1356"/>
      <c r="B1356"/>
      <c r="C1356"/>
      <c r="D1356"/>
      <c r="E1356"/>
      <c r="F1356"/>
      <c r="G1356"/>
      <c r="H1356"/>
      <c r="I1356"/>
      <c r="J1356"/>
    </row>
    <row r="1357" spans="1:10" x14ac:dyDescent="0.35">
      <c r="A1357"/>
      <c r="B1357"/>
      <c r="C1357"/>
      <c r="D1357"/>
      <c r="E1357"/>
      <c r="F1357"/>
      <c r="G1357"/>
      <c r="H1357"/>
      <c r="I1357"/>
      <c r="J1357"/>
    </row>
    <row r="1358" spans="1:10" x14ac:dyDescent="0.35">
      <c r="A1358"/>
      <c r="B1358"/>
      <c r="C1358"/>
      <c r="D1358"/>
      <c r="E1358"/>
      <c r="F1358"/>
      <c r="G1358"/>
      <c r="H1358"/>
      <c r="I1358"/>
      <c r="J1358"/>
    </row>
    <row r="1359" spans="1:10" x14ac:dyDescent="0.35">
      <c r="A1359"/>
      <c r="B1359"/>
      <c r="C1359"/>
      <c r="D1359"/>
      <c r="E1359"/>
      <c r="F1359"/>
      <c r="G1359"/>
      <c r="H1359"/>
      <c r="I1359"/>
      <c r="J1359"/>
    </row>
    <row r="1360" spans="1:10" x14ac:dyDescent="0.35">
      <c r="A1360"/>
      <c r="B1360"/>
      <c r="C1360"/>
      <c r="D1360"/>
      <c r="E1360"/>
      <c r="F1360"/>
      <c r="G1360"/>
      <c r="H1360"/>
      <c r="I1360"/>
      <c r="J1360"/>
    </row>
    <row r="1361" spans="1:10" x14ac:dyDescent="0.35">
      <c r="A1361"/>
      <c r="B1361"/>
      <c r="C1361"/>
      <c r="D1361"/>
      <c r="E1361"/>
      <c r="F1361"/>
      <c r="G1361"/>
      <c r="H1361"/>
      <c r="I1361"/>
      <c r="J1361"/>
    </row>
    <row r="1362" spans="1:10" x14ac:dyDescent="0.35">
      <c r="A1362"/>
      <c r="B1362"/>
      <c r="C1362"/>
      <c r="D1362"/>
      <c r="E1362"/>
      <c r="F1362"/>
      <c r="G1362"/>
      <c r="H1362"/>
      <c r="I1362"/>
      <c r="J1362"/>
    </row>
    <row r="1363" spans="1:10" x14ac:dyDescent="0.35">
      <c r="A1363"/>
      <c r="B1363"/>
      <c r="C1363"/>
      <c r="D1363"/>
      <c r="E1363"/>
      <c r="F1363"/>
      <c r="G1363"/>
      <c r="H1363"/>
      <c r="I1363"/>
      <c r="J1363"/>
    </row>
    <row r="1364" spans="1:10" x14ac:dyDescent="0.35">
      <c r="A1364"/>
      <c r="B1364"/>
      <c r="C1364"/>
      <c r="D1364"/>
      <c r="E1364"/>
      <c r="F1364"/>
      <c r="G1364"/>
      <c r="H1364"/>
      <c r="I1364"/>
      <c r="J1364"/>
    </row>
    <row r="1365" spans="1:10" x14ac:dyDescent="0.35">
      <c r="A1365"/>
      <c r="B1365"/>
      <c r="C1365"/>
      <c r="D1365"/>
      <c r="E1365"/>
      <c r="F1365"/>
      <c r="G1365"/>
      <c r="H1365"/>
      <c r="I1365"/>
      <c r="J1365"/>
    </row>
    <row r="1366" spans="1:10" x14ac:dyDescent="0.35">
      <c r="A1366"/>
      <c r="B1366"/>
      <c r="C1366"/>
      <c r="D1366"/>
      <c r="E1366"/>
      <c r="F1366"/>
      <c r="G1366"/>
      <c r="H1366"/>
      <c r="I1366"/>
      <c r="J1366"/>
    </row>
    <row r="1367" spans="1:10" x14ac:dyDescent="0.35">
      <c r="A1367"/>
      <c r="B1367"/>
      <c r="C1367"/>
      <c r="D1367"/>
      <c r="E1367"/>
      <c r="F1367"/>
      <c r="G1367"/>
      <c r="H1367"/>
      <c r="I1367"/>
      <c r="J1367"/>
    </row>
    <row r="1368" spans="1:10" x14ac:dyDescent="0.35">
      <c r="A1368"/>
      <c r="B1368"/>
      <c r="C1368"/>
      <c r="D1368"/>
      <c r="E1368"/>
      <c r="F1368"/>
      <c r="G1368"/>
      <c r="H1368"/>
      <c r="I1368"/>
      <c r="J1368"/>
    </row>
    <row r="1369" spans="1:10" x14ac:dyDescent="0.35">
      <c r="A1369"/>
      <c r="B1369"/>
      <c r="C1369"/>
      <c r="D1369"/>
      <c r="E1369"/>
      <c r="F1369"/>
      <c r="G1369"/>
      <c r="H1369"/>
      <c r="I1369"/>
      <c r="J1369"/>
    </row>
    <row r="1370" spans="1:10" x14ac:dyDescent="0.35">
      <c r="A1370"/>
      <c r="B1370"/>
      <c r="C1370"/>
      <c r="D1370"/>
      <c r="E1370"/>
      <c r="F1370"/>
      <c r="G1370"/>
      <c r="H1370"/>
      <c r="I1370"/>
      <c r="J1370"/>
    </row>
    <row r="1371" spans="1:10" x14ac:dyDescent="0.35">
      <c r="A1371"/>
      <c r="B1371"/>
      <c r="C1371"/>
      <c r="D1371"/>
      <c r="E1371"/>
      <c r="F1371"/>
      <c r="G1371"/>
      <c r="H1371"/>
      <c r="I1371"/>
      <c r="J1371"/>
    </row>
    <row r="1372" spans="1:10" x14ac:dyDescent="0.35">
      <c r="A1372"/>
      <c r="B1372"/>
      <c r="C1372"/>
      <c r="D1372"/>
      <c r="E1372"/>
      <c r="F1372"/>
      <c r="G1372"/>
      <c r="H1372"/>
      <c r="I1372"/>
      <c r="J1372"/>
    </row>
    <row r="1373" spans="1:10" x14ac:dyDescent="0.35">
      <c r="A1373"/>
      <c r="B1373"/>
      <c r="C1373"/>
      <c r="D1373"/>
      <c r="E1373"/>
      <c r="F1373"/>
      <c r="G1373"/>
      <c r="H1373"/>
      <c r="I1373"/>
      <c r="J1373"/>
    </row>
    <row r="1374" spans="1:10" x14ac:dyDescent="0.35">
      <c r="A1374"/>
      <c r="B1374"/>
      <c r="C1374"/>
      <c r="D1374"/>
      <c r="E1374"/>
      <c r="F1374"/>
      <c r="G1374"/>
      <c r="H1374"/>
      <c r="I1374"/>
      <c r="J1374"/>
    </row>
    <row r="1375" spans="1:10" x14ac:dyDescent="0.35">
      <c r="A1375"/>
      <c r="B1375"/>
      <c r="C1375"/>
      <c r="D1375"/>
      <c r="E1375"/>
      <c r="F1375"/>
      <c r="G1375"/>
      <c r="H1375"/>
      <c r="I1375"/>
      <c r="J1375"/>
    </row>
    <row r="1376" spans="1:10" x14ac:dyDescent="0.35">
      <c r="A1376"/>
      <c r="B1376"/>
      <c r="C1376"/>
      <c r="D1376"/>
      <c r="E1376"/>
      <c r="F1376"/>
      <c r="G1376"/>
      <c r="H1376"/>
      <c r="I1376"/>
      <c r="J1376"/>
    </row>
    <row r="1377" spans="1:10" x14ac:dyDescent="0.35">
      <c r="A1377"/>
      <c r="B1377"/>
      <c r="C1377"/>
      <c r="D1377"/>
      <c r="E1377"/>
      <c r="F1377"/>
      <c r="G1377"/>
      <c r="H1377"/>
      <c r="I1377"/>
      <c r="J1377"/>
    </row>
    <row r="1378" spans="1:10" x14ac:dyDescent="0.35">
      <c r="A1378"/>
      <c r="B1378"/>
      <c r="C1378"/>
      <c r="D1378"/>
      <c r="E1378"/>
      <c r="F1378"/>
      <c r="G1378"/>
      <c r="H1378"/>
      <c r="I1378"/>
      <c r="J1378"/>
    </row>
    <row r="1379" spans="1:10" x14ac:dyDescent="0.35">
      <c r="A1379"/>
      <c r="B1379"/>
      <c r="C1379"/>
      <c r="D1379"/>
      <c r="E1379"/>
      <c r="F1379"/>
      <c r="G1379"/>
      <c r="H1379"/>
      <c r="I1379"/>
      <c r="J1379"/>
    </row>
    <row r="1380" spans="1:10" x14ac:dyDescent="0.35">
      <c r="A1380"/>
      <c r="B1380"/>
      <c r="C1380"/>
      <c r="D1380"/>
      <c r="E1380"/>
      <c r="F1380"/>
      <c r="G1380"/>
      <c r="H1380"/>
      <c r="I1380"/>
      <c r="J1380"/>
    </row>
    <row r="1381" spans="1:10" x14ac:dyDescent="0.35">
      <c r="A1381"/>
      <c r="B1381"/>
      <c r="C1381"/>
      <c r="D1381"/>
      <c r="E1381"/>
      <c r="F1381"/>
      <c r="G1381"/>
      <c r="H1381"/>
      <c r="I1381"/>
      <c r="J1381"/>
    </row>
    <row r="1382" spans="1:10" x14ac:dyDescent="0.35">
      <c r="A1382"/>
      <c r="B1382"/>
      <c r="C1382"/>
      <c r="D1382"/>
      <c r="E1382"/>
      <c r="F1382"/>
      <c r="G1382"/>
      <c r="H1382"/>
      <c r="I1382"/>
      <c r="J1382"/>
    </row>
    <row r="1383" spans="1:10" x14ac:dyDescent="0.35">
      <c r="A1383"/>
      <c r="B1383"/>
      <c r="C1383"/>
      <c r="D1383"/>
      <c r="E1383"/>
      <c r="F1383"/>
      <c r="G1383"/>
      <c r="H1383"/>
      <c r="I1383"/>
      <c r="J1383"/>
    </row>
    <row r="1384" spans="1:10" x14ac:dyDescent="0.35">
      <c r="A1384"/>
      <c r="B1384"/>
      <c r="C1384"/>
      <c r="D1384"/>
      <c r="E1384"/>
      <c r="F1384"/>
      <c r="G1384"/>
      <c r="H1384"/>
      <c r="I1384"/>
      <c r="J1384"/>
    </row>
    <row r="1385" spans="1:10" x14ac:dyDescent="0.35">
      <c r="A1385"/>
      <c r="B1385"/>
      <c r="C1385"/>
      <c r="D1385"/>
      <c r="E1385"/>
      <c r="F1385"/>
      <c r="G1385"/>
      <c r="H1385"/>
      <c r="I1385"/>
      <c r="J1385"/>
    </row>
    <row r="1386" spans="1:10" x14ac:dyDescent="0.35">
      <c r="A1386"/>
      <c r="B1386"/>
      <c r="C1386"/>
      <c r="D1386"/>
      <c r="E1386"/>
      <c r="F1386"/>
      <c r="G1386"/>
      <c r="H1386"/>
      <c r="I1386"/>
      <c r="J1386"/>
    </row>
    <row r="1387" spans="1:10" x14ac:dyDescent="0.35">
      <c r="A1387"/>
      <c r="B1387"/>
      <c r="C1387"/>
      <c r="D1387"/>
      <c r="E1387"/>
      <c r="F1387"/>
      <c r="G1387"/>
      <c r="H1387"/>
      <c r="I1387"/>
      <c r="J1387"/>
    </row>
    <row r="1388" spans="1:10" x14ac:dyDescent="0.35">
      <c r="A1388"/>
      <c r="B1388"/>
      <c r="C1388"/>
      <c r="D1388"/>
      <c r="E1388"/>
      <c r="F1388"/>
      <c r="G1388"/>
      <c r="H1388"/>
      <c r="I1388"/>
      <c r="J1388"/>
    </row>
    <row r="1389" spans="1:10" x14ac:dyDescent="0.35">
      <c r="A1389"/>
      <c r="B1389"/>
      <c r="C1389"/>
      <c r="D1389"/>
      <c r="E1389"/>
      <c r="F1389"/>
      <c r="G1389"/>
      <c r="H1389"/>
      <c r="I1389"/>
      <c r="J1389"/>
    </row>
    <row r="1390" spans="1:10" x14ac:dyDescent="0.35">
      <c r="A1390"/>
      <c r="B1390"/>
      <c r="C1390"/>
      <c r="D1390"/>
      <c r="E1390"/>
      <c r="F1390"/>
      <c r="G1390"/>
      <c r="H1390"/>
      <c r="I1390"/>
      <c r="J1390"/>
    </row>
    <row r="1391" spans="1:10" x14ac:dyDescent="0.35">
      <c r="A1391"/>
      <c r="B1391"/>
      <c r="C1391"/>
      <c r="D1391"/>
      <c r="E1391"/>
      <c r="F1391"/>
      <c r="G1391"/>
      <c r="H1391"/>
      <c r="I1391"/>
      <c r="J1391"/>
    </row>
    <row r="1392" spans="1:10" x14ac:dyDescent="0.35">
      <c r="A1392"/>
      <c r="B1392"/>
      <c r="C1392"/>
      <c r="D1392"/>
      <c r="E1392"/>
      <c r="F1392"/>
      <c r="G1392"/>
      <c r="H1392"/>
      <c r="I1392"/>
      <c r="J1392"/>
    </row>
    <row r="1393" spans="1:10" x14ac:dyDescent="0.35">
      <c r="A1393"/>
      <c r="B1393"/>
      <c r="C1393"/>
      <c r="D1393"/>
      <c r="E1393"/>
      <c r="F1393"/>
      <c r="G1393"/>
      <c r="H1393"/>
      <c r="I1393"/>
      <c r="J1393"/>
    </row>
    <row r="1394" spans="1:10" x14ac:dyDescent="0.35">
      <c r="A1394"/>
      <c r="B1394"/>
      <c r="C1394"/>
      <c r="D1394"/>
      <c r="E1394"/>
      <c r="F1394"/>
      <c r="G1394"/>
      <c r="H1394"/>
      <c r="I1394"/>
      <c r="J1394"/>
    </row>
    <row r="1395" spans="1:10" x14ac:dyDescent="0.35">
      <c r="A1395"/>
      <c r="B1395"/>
      <c r="C1395"/>
      <c r="D1395"/>
      <c r="E1395"/>
      <c r="F1395"/>
      <c r="G1395"/>
      <c r="H1395"/>
      <c r="I1395"/>
      <c r="J1395"/>
    </row>
    <row r="1396" spans="1:10" x14ac:dyDescent="0.35">
      <c r="A1396"/>
      <c r="B1396"/>
      <c r="C1396"/>
      <c r="D1396"/>
      <c r="E1396"/>
      <c r="F1396"/>
      <c r="G1396"/>
      <c r="H1396"/>
      <c r="I1396"/>
      <c r="J1396"/>
    </row>
    <row r="1397" spans="1:10" x14ac:dyDescent="0.35">
      <c r="A1397"/>
      <c r="B1397"/>
      <c r="C1397"/>
      <c r="D1397"/>
      <c r="E1397"/>
      <c r="F1397"/>
      <c r="G1397"/>
      <c r="H1397"/>
      <c r="I1397"/>
      <c r="J1397"/>
    </row>
    <row r="1398" spans="1:10" x14ac:dyDescent="0.35">
      <c r="A1398"/>
      <c r="B1398"/>
      <c r="C1398"/>
      <c r="D1398"/>
      <c r="E1398"/>
      <c r="F1398"/>
      <c r="G1398"/>
      <c r="H1398"/>
      <c r="I1398"/>
      <c r="J1398"/>
    </row>
    <row r="1399" spans="1:10" x14ac:dyDescent="0.35">
      <c r="A1399"/>
      <c r="B1399"/>
      <c r="C1399"/>
      <c r="D1399"/>
      <c r="E1399"/>
      <c r="F1399"/>
      <c r="G1399"/>
      <c r="H1399"/>
      <c r="I1399"/>
      <c r="J1399"/>
    </row>
    <row r="1400" spans="1:10" x14ac:dyDescent="0.35">
      <c r="A1400"/>
      <c r="B1400"/>
      <c r="C1400"/>
      <c r="D1400"/>
      <c r="E1400"/>
      <c r="F1400"/>
      <c r="G1400"/>
      <c r="H1400"/>
      <c r="I1400"/>
      <c r="J1400"/>
    </row>
    <row r="1401" spans="1:10" x14ac:dyDescent="0.35">
      <c r="A1401"/>
      <c r="B1401"/>
      <c r="C1401"/>
      <c r="D1401"/>
      <c r="E1401"/>
      <c r="F1401"/>
      <c r="G1401"/>
      <c r="H1401"/>
      <c r="I1401"/>
      <c r="J1401"/>
    </row>
    <row r="1402" spans="1:10" x14ac:dyDescent="0.35">
      <c r="A1402"/>
      <c r="B1402"/>
      <c r="C1402"/>
      <c r="D1402"/>
      <c r="E1402"/>
      <c r="F1402"/>
      <c r="G1402"/>
      <c r="H1402"/>
      <c r="I1402"/>
      <c r="J1402"/>
    </row>
    <row r="1403" spans="1:10" x14ac:dyDescent="0.35">
      <c r="A1403"/>
      <c r="B1403"/>
      <c r="C1403"/>
      <c r="D1403"/>
      <c r="E1403"/>
      <c r="F1403"/>
      <c r="G1403"/>
      <c r="H1403"/>
      <c r="I1403"/>
      <c r="J1403"/>
    </row>
    <row r="1404" spans="1:10" x14ac:dyDescent="0.35">
      <c r="A1404"/>
      <c r="B1404"/>
      <c r="C1404"/>
      <c r="D1404"/>
      <c r="E1404"/>
      <c r="F1404"/>
      <c r="G1404"/>
      <c r="H1404"/>
      <c r="I1404"/>
      <c r="J1404"/>
    </row>
    <row r="1405" spans="1:10" x14ac:dyDescent="0.35">
      <c r="A1405"/>
      <c r="B1405"/>
      <c r="C1405"/>
      <c r="D1405"/>
      <c r="E1405"/>
      <c r="F1405"/>
      <c r="G1405"/>
      <c r="H1405"/>
      <c r="I1405"/>
      <c r="J1405"/>
    </row>
    <row r="1406" spans="1:10" x14ac:dyDescent="0.35">
      <c r="A1406"/>
      <c r="B1406"/>
      <c r="C1406"/>
      <c r="D1406"/>
      <c r="E1406"/>
      <c r="F1406"/>
      <c r="G1406"/>
      <c r="H1406"/>
      <c r="I1406"/>
      <c r="J1406"/>
    </row>
    <row r="1407" spans="1:10" x14ac:dyDescent="0.35">
      <c r="A1407"/>
      <c r="B1407"/>
      <c r="C1407"/>
      <c r="D1407"/>
      <c r="E1407"/>
      <c r="F1407"/>
      <c r="G1407"/>
      <c r="H1407"/>
      <c r="I1407"/>
      <c r="J1407"/>
    </row>
    <row r="1408" spans="1:10" x14ac:dyDescent="0.35">
      <c r="A1408"/>
      <c r="B1408"/>
      <c r="C1408"/>
      <c r="D1408"/>
      <c r="E1408"/>
      <c r="F1408"/>
      <c r="G1408"/>
      <c r="H1408"/>
      <c r="I1408"/>
      <c r="J1408"/>
    </row>
    <row r="1409" spans="1:10" x14ac:dyDescent="0.35">
      <c r="A1409"/>
      <c r="B1409"/>
      <c r="C1409"/>
      <c r="D1409"/>
      <c r="E1409"/>
      <c r="F1409"/>
      <c r="G1409"/>
      <c r="H1409"/>
      <c r="I1409"/>
      <c r="J1409"/>
    </row>
    <row r="1410" spans="1:10" x14ac:dyDescent="0.35">
      <c r="A1410"/>
      <c r="B1410"/>
      <c r="C1410"/>
      <c r="D1410"/>
      <c r="E1410"/>
      <c r="F1410"/>
      <c r="G1410"/>
      <c r="H1410"/>
      <c r="I1410"/>
      <c r="J1410"/>
    </row>
    <row r="1411" spans="1:10" x14ac:dyDescent="0.35">
      <c r="A1411"/>
      <c r="B1411"/>
      <c r="C1411"/>
      <c r="D1411"/>
      <c r="E1411"/>
      <c r="F1411"/>
      <c r="G1411"/>
      <c r="H1411"/>
      <c r="I1411"/>
      <c r="J1411"/>
    </row>
    <row r="1412" spans="1:10" x14ac:dyDescent="0.35">
      <c r="A1412"/>
      <c r="B1412"/>
      <c r="C1412"/>
      <c r="D1412"/>
      <c r="E1412"/>
      <c r="F1412"/>
      <c r="G1412"/>
      <c r="H1412"/>
      <c r="I1412"/>
      <c r="J1412"/>
    </row>
    <row r="1413" spans="1:10" x14ac:dyDescent="0.35">
      <c r="A1413"/>
      <c r="B1413"/>
      <c r="C1413"/>
      <c r="D1413"/>
      <c r="E1413"/>
      <c r="F1413"/>
      <c r="G1413"/>
      <c r="H1413"/>
      <c r="I1413"/>
      <c r="J1413"/>
    </row>
    <row r="1414" spans="1:10" x14ac:dyDescent="0.35">
      <c r="A1414"/>
      <c r="B1414"/>
      <c r="C1414"/>
      <c r="D1414"/>
      <c r="E1414"/>
      <c r="F1414"/>
      <c r="G1414"/>
      <c r="H1414"/>
      <c r="I1414"/>
      <c r="J1414"/>
    </row>
    <row r="1415" spans="1:10" x14ac:dyDescent="0.35">
      <c r="A1415"/>
      <c r="B1415"/>
      <c r="C1415"/>
      <c r="D1415"/>
      <c r="E1415"/>
      <c r="F1415"/>
      <c r="G1415"/>
      <c r="H1415"/>
      <c r="I1415"/>
      <c r="J1415"/>
    </row>
    <row r="1416" spans="1:10" x14ac:dyDescent="0.35">
      <c r="A1416"/>
      <c r="B1416"/>
      <c r="C1416"/>
      <c r="D1416"/>
      <c r="E1416"/>
      <c r="F1416"/>
      <c r="G1416"/>
      <c r="H1416"/>
      <c r="I1416"/>
      <c r="J1416"/>
    </row>
    <row r="1417" spans="1:10" x14ac:dyDescent="0.35">
      <c r="A1417"/>
      <c r="B1417"/>
      <c r="C1417"/>
      <c r="D1417"/>
      <c r="E1417"/>
      <c r="F1417"/>
      <c r="G1417"/>
      <c r="H1417"/>
      <c r="I1417"/>
      <c r="J1417"/>
    </row>
    <row r="1418" spans="1:10" x14ac:dyDescent="0.35">
      <c r="A1418"/>
      <c r="B1418"/>
      <c r="C1418"/>
      <c r="D1418"/>
      <c r="E1418"/>
      <c r="F1418"/>
      <c r="G1418"/>
      <c r="H1418"/>
      <c r="I1418"/>
      <c r="J1418"/>
    </row>
    <row r="1419" spans="1:10" x14ac:dyDescent="0.35">
      <c r="A1419"/>
      <c r="B1419"/>
      <c r="C1419"/>
      <c r="D1419"/>
      <c r="E1419"/>
      <c r="F1419"/>
      <c r="G1419"/>
      <c r="H1419"/>
      <c r="I1419"/>
      <c r="J1419"/>
    </row>
    <row r="1420" spans="1:10" x14ac:dyDescent="0.35">
      <c r="A1420"/>
      <c r="B1420"/>
      <c r="C1420"/>
      <c r="D1420"/>
      <c r="E1420"/>
      <c r="F1420"/>
      <c r="G1420"/>
      <c r="H1420"/>
      <c r="I1420"/>
      <c r="J1420"/>
    </row>
    <row r="1421" spans="1:10" x14ac:dyDescent="0.35">
      <c r="A1421"/>
      <c r="B1421"/>
      <c r="C1421"/>
      <c r="D1421"/>
      <c r="E1421"/>
      <c r="F1421"/>
      <c r="G1421"/>
      <c r="H1421"/>
      <c r="I1421"/>
      <c r="J1421"/>
    </row>
    <row r="1422" spans="1:10" x14ac:dyDescent="0.35">
      <c r="A1422"/>
      <c r="B1422"/>
      <c r="C1422"/>
      <c r="D1422"/>
      <c r="E1422"/>
      <c r="F1422"/>
      <c r="G1422"/>
      <c r="H1422"/>
      <c r="I1422"/>
      <c r="J1422"/>
    </row>
    <row r="1423" spans="1:10" x14ac:dyDescent="0.35">
      <c r="A1423"/>
      <c r="B1423"/>
      <c r="C1423"/>
      <c r="D1423"/>
      <c r="E1423"/>
      <c r="F1423"/>
      <c r="G1423"/>
      <c r="H1423"/>
      <c r="I1423"/>
      <c r="J1423"/>
    </row>
    <row r="1424" spans="1:10" x14ac:dyDescent="0.35">
      <c r="A1424"/>
      <c r="B1424"/>
      <c r="C1424"/>
      <c r="D1424"/>
      <c r="E1424"/>
      <c r="F1424"/>
      <c r="G1424"/>
      <c r="H1424"/>
      <c r="I1424"/>
      <c r="J1424"/>
    </row>
    <row r="1425" spans="1:10" x14ac:dyDescent="0.35">
      <c r="A1425"/>
      <c r="B1425"/>
      <c r="C1425"/>
      <c r="D1425"/>
      <c r="E1425"/>
      <c r="F1425"/>
      <c r="G1425"/>
      <c r="H1425"/>
      <c r="I1425"/>
      <c r="J1425"/>
    </row>
    <row r="1426" spans="1:10" x14ac:dyDescent="0.35">
      <c r="A1426"/>
      <c r="B1426"/>
      <c r="C1426"/>
      <c r="D1426"/>
      <c r="E1426"/>
      <c r="F1426"/>
      <c r="G1426"/>
      <c r="H1426"/>
      <c r="I1426"/>
      <c r="J1426"/>
    </row>
    <row r="1427" spans="1:10" x14ac:dyDescent="0.35">
      <c r="A1427"/>
      <c r="B1427"/>
      <c r="C1427"/>
      <c r="D1427"/>
      <c r="E1427"/>
      <c r="F1427"/>
      <c r="G1427"/>
      <c r="H1427"/>
      <c r="I1427"/>
      <c r="J1427"/>
    </row>
    <row r="1428" spans="1:10" x14ac:dyDescent="0.35">
      <c r="A1428"/>
      <c r="B1428"/>
      <c r="C1428"/>
      <c r="D1428"/>
      <c r="E1428"/>
      <c r="F1428"/>
      <c r="G1428"/>
      <c r="H1428"/>
      <c r="I1428"/>
      <c r="J1428"/>
    </row>
    <row r="1429" spans="1:10" x14ac:dyDescent="0.35">
      <c r="A1429"/>
      <c r="B1429"/>
      <c r="C1429"/>
      <c r="D1429"/>
      <c r="E1429"/>
      <c r="F1429"/>
      <c r="G1429"/>
      <c r="H1429"/>
      <c r="I1429"/>
      <c r="J1429"/>
    </row>
    <row r="1430" spans="1:10" x14ac:dyDescent="0.35">
      <c r="A1430"/>
      <c r="B1430"/>
      <c r="C1430"/>
      <c r="D1430"/>
      <c r="E1430"/>
      <c r="F1430"/>
      <c r="G1430"/>
      <c r="H1430"/>
      <c r="I1430"/>
      <c r="J1430"/>
    </row>
    <row r="1431" spans="1:10" x14ac:dyDescent="0.35">
      <c r="A1431"/>
      <c r="B1431"/>
      <c r="C1431"/>
      <c r="D1431"/>
      <c r="E1431"/>
      <c r="F1431"/>
      <c r="G1431"/>
      <c r="H1431"/>
      <c r="I1431"/>
      <c r="J1431"/>
    </row>
    <row r="1432" spans="1:10" x14ac:dyDescent="0.35">
      <c r="A1432"/>
      <c r="B1432"/>
      <c r="C1432"/>
      <c r="D1432"/>
      <c r="E1432"/>
      <c r="F1432"/>
      <c r="G1432"/>
      <c r="H1432"/>
      <c r="I1432"/>
      <c r="J1432"/>
    </row>
    <row r="1433" spans="1:10" x14ac:dyDescent="0.35">
      <c r="A1433"/>
      <c r="B1433"/>
      <c r="C1433"/>
      <c r="D1433"/>
      <c r="E1433"/>
      <c r="F1433"/>
      <c r="G1433"/>
      <c r="H1433"/>
      <c r="I1433"/>
      <c r="J1433"/>
    </row>
    <row r="1434" spans="1:10" x14ac:dyDescent="0.35">
      <c r="A1434"/>
      <c r="B1434"/>
      <c r="C1434"/>
      <c r="D1434"/>
      <c r="E1434"/>
      <c r="F1434"/>
      <c r="G1434"/>
      <c r="H1434"/>
      <c r="I1434"/>
      <c r="J1434"/>
    </row>
    <row r="1435" spans="1:10" x14ac:dyDescent="0.35">
      <c r="A1435"/>
      <c r="B1435"/>
      <c r="C1435"/>
      <c r="D1435"/>
      <c r="E1435"/>
      <c r="F1435"/>
      <c r="G1435"/>
      <c r="H1435"/>
      <c r="I1435"/>
      <c r="J1435"/>
    </row>
    <row r="1436" spans="1:10" x14ac:dyDescent="0.35">
      <c r="A1436"/>
      <c r="B1436"/>
      <c r="C1436"/>
      <c r="D1436"/>
      <c r="E1436"/>
      <c r="F1436"/>
      <c r="G1436"/>
      <c r="H1436"/>
      <c r="I1436"/>
      <c r="J1436"/>
    </row>
    <row r="1437" spans="1:10" x14ac:dyDescent="0.35">
      <c r="A1437"/>
      <c r="B1437"/>
      <c r="C1437"/>
      <c r="D1437"/>
      <c r="E1437"/>
      <c r="F1437"/>
      <c r="G1437"/>
      <c r="H1437"/>
      <c r="I1437"/>
      <c r="J1437"/>
    </row>
    <row r="1438" spans="1:10" x14ac:dyDescent="0.35">
      <c r="A1438"/>
      <c r="B1438"/>
      <c r="C1438"/>
      <c r="D1438"/>
      <c r="E1438"/>
      <c r="F1438"/>
      <c r="G1438"/>
      <c r="H1438"/>
      <c r="I1438"/>
      <c r="J1438"/>
    </row>
    <row r="1439" spans="1:10" x14ac:dyDescent="0.35">
      <c r="A1439"/>
      <c r="B1439"/>
      <c r="C1439"/>
      <c r="D1439"/>
      <c r="E1439"/>
      <c r="F1439"/>
      <c r="G1439"/>
      <c r="H1439"/>
      <c r="I1439"/>
      <c r="J1439"/>
    </row>
    <row r="1440" spans="1:10" x14ac:dyDescent="0.35">
      <c r="A1440"/>
      <c r="B1440"/>
      <c r="C1440"/>
      <c r="D1440"/>
      <c r="E1440"/>
      <c r="F1440"/>
      <c r="G1440"/>
      <c r="H1440"/>
      <c r="I1440"/>
      <c r="J1440"/>
    </row>
    <row r="1441" spans="1:10" x14ac:dyDescent="0.35">
      <c r="A1441"/>
      <c r="B1441"/>
      <c r="C1441"/>
      <c r="D1441"/>
      <c r="E1441"/>
      <c r="F1441"/>
      <c r="G1441"/>
      <c r="H1441"/>
      <c r="I1441"/>
      <c r="J1441"/>
    </row>
    <row r="1442" spans="1:10" x14ac:dyDescent="0.35">
      <c r="A1442"/>
      <c r="B1442"/>
      <c r="C1442"/>
      <c r="D1442"/>
      <c r="E1442"/>
      <c r="F1442"/>
      <c r="G1442"/>
      <c r="H1442"/>
      <c r="I1442"/>
      <c r="J1442"/>
    </row>
    <row r="1443" spans="1:10" x14ac:dyDescent="0.35">
      <c r="A1443"/>
      <c r="B1443"/>
      <c r="C1443"/>
      <c r="D1443"/>
      <c r="E1443"/>
      <c r="F1443"/>
      <c r="G1443"/>
      <c r="H1443"/>
      <c r="I1443"/>
      <c r="J1443"/>
    </row>
    <row r="1444" spans="1:10" x14ac:dyDescent="0.35">
      <c r="A1444"/>
      <c r="B1444"/>
      <c r="C1444"/>
      <c r="D1444"/>
      <c r="E1444"/>
      <c r="F1444"/>
      <c r="G1444"/>
      <c r="H1444"/>
      <c r="I1444"/>
      <c r="J1444"/>
    </row>
    <row r="1445" spans="1:10" x14ac:dyDescent="0.35">
      <c r="A1445"/>
      <c r="B1445"/>
      <c r="C1445"/>
      <c r="D1445"/>
      <c r="E1445"/>
      <c r="F1445"/>
      <c r="G1445"/>
      <c r="H1445"/>
      <c r="I1445"/>
      <c r="J1445"/>
    </row>
    <row r="1446" spans="1:10" x14ac:dyDescent="0.35">
      <c r="A1446"/>
      <c r="B1446"/>
      <c r="C1446"/>
      <c r="D1446"/>
      <c r="E1446"/>
      <c r="F1446"/>
      <c r="G1446"/>
      <c r="H1446"/>
      <c r="I1446"/>
      <c r="J1446"/>
    </row>
    <row r="1447" spans="1:10" x14ac:dyDescent="0.35">
      <c r="A1447"/>
      <c r="B1447"/>
      <c r="C1447"/>
      <c r="D1447"/>
      <c r="E1447"/>
      <c r="F1447"/>
      <c r="G1447"/>
      <c r="H1447"/>
      <c r="I1447"/>
      <c r="J1447"/>
    </row>
    <row r="1448" spans="1:10" x14ac:dyDescent="0.35">
      <c r="A1448"/>
      <c r="B1448"/>
      <c r="C1448"/>
      <c r="D1448"/>
      <c r="E1448"/>
      <c r="F1448"/>
      <c r="G1448"/>
      <c r="H1448"/>
      <c r="I1448"/>
      <c r="J1448"/>
    </row>
    <row r="1449" spans="1:10" x14ac:dyDescent="0.35">
      <c r="A1449"/>
      <c r="B1449"/>
      <c r="C1449"/>
      <c r="D1449"/>
      <c r="E1449"/>
      <c r="F1449"/>
      <c r="G1449"/>
      <c r="H1449"/>
      <c r="I1449"/>
      <c r="J1449"/>
    </row>
    <row r="1450" spans="1:10" x14ac:dyDescent="0.35">
      <c r="A1450"/>
      <c r="B1450"/>
      <c r="C1450"/>
      <c r="D1450"/>
      <c r="E1450"/>
      <c r="F1450"/>
      <c r="G1450"/>
      <c r="H1450"/>
      <c r="I1450"/>
      <c r="J1450"/>
    </row>
    <row r="1451" spans="1:10" x14ac:dyDescent="0.35">
      <c r="A1451"/>
      <c r="B1451"/>
      <c r="C1451"/>
      <c r="D1451"/>
      <c r="E1451"/>
      <c r="F1451"/>
      <c r="G1451"/>
      <c r="H1451"/>
      <c r="I1451"/>
      <c r="J1451"/>
    </row>
    <row r="1452" spans="1:10" x14ac:dyDescent="0.35">
      <c r="A1452"/>
      <c r="B1452"/>
      <c r="C1452"/>
      <c r="D1452"/>
      <c r="E1452"/>
      <c r="F1452"/>
      <c r="G1452"/>
      <c r="H1452"/>
      <c r="I1452"/>
      <c r="J1452"/>
    </row>
    <row r="1453" spans="1:10" x14ac:dyDescent="0.35">
      <c r="A1453"/>
      <c r="B1453"/>
      <c r="C1453"/>
      <c r="D1453"/>
      <c r="E1453"/>
      <c r="F1453"/>
      <c r="G1453"/>
      <c r="H1453"/>
      <c r="I1453"/>
      <c r="J1453"/>
    </row>
    <row r="1454" spans="1:10" x14ac:dyDescent="0.35">
      <c r="A1454"/>
      <c r="B1454"/>
      <c r="C1454"/>
      <c r="D1454"/>
      <c r="E1454"/>
      <c r="F1454"/>
      <c r="G1454"/>
      <c r="H1454"/>
      <c r="I1454"/>
      <c r="J1454"/>
    </row>
    <row r="1455" spans="1:10" x14ac:dyDescent="0.35">
      <c r="A1455"/>
      <c r="B1455"/>
      <c r="C1455"/>
      <c r="D1455"/>
      <c r="E1455"/>
      <c r="F1455"/>
      <c r="G1455"/>
      <c r="H1455"/>
      <c r="I1455"/>
      <c r="J1455"/>
    </row>
    <row r="1456" spans="1:10" x14ac:dyDescent="0.35">
      <c r="A1456"/>
      <c r="B1456"/>
      <c r="C1456"/>
      <c r="D1456"/>
      <c r="E1456"/>
      <c r="F1456"/>
      <c r="G1456"/>
      <c r="H1456"/>
      <c r="I1456"/>
      <c r="J1456"/>
    </row>
    <row r="1457" spans="1:10" x14ac:dyDescent="0.35">
      <c r="A1457"/>
      <c r="B1457"/>
      <c r="C1457"/>
      <c r="D1457"/>
      <c r="E1457"/>
      <c r="F1457"/>
      <c r="G1457"/>
      <c r="H1457"/>
      <c r="I1457"/>
      <c r="J1457"/>
    </row>
    <row r="1458" spans="1:10" x14ac:dyDescent="0.35">
      <c r="A1458"/>
      <c r="B1458"/>
      <c r="C1458"/>
      <c r="D1458"/>
      <c r="E1458"/>
      <c r="F1458"/>
      <c r="G1458"/>
      <c r="H1458"/>
      <c r="I1458"/>
      <c r="J1458"/>
    </row>
    <row r="1459" spans="1:10" x14ac:dyDescent="0.35">
      <c r="A1459"/>
      <c r="B1459"/>
      <c r="C1459"/>
      <c r="D1459"/>
      <c r="E1459"/>
      <c r="F1459"/>
      <c r="G1459"/>
      <c r="H1459"/>
      <c r="I1459"/>
      <c r="J1459"/>
    </row>
    <row r="1460" spans="1:10" x14ac:dyDescent="0.35">
      <c r="A1460"/>
      <c r="B1460"/>
      <c r="C1460"/>
      <c r="D1460"/>
      <c r="E1460"/>
      <c r="F1460"/>
      <c r="G1460"/>
      <c r="H1460"/>
      <c r="I1460"/>
      <c r="J1460"/>
    </row>
    <row r="1461" spans="1:10" x14ac:dyDescent="0.35">
      <c r="A1461"/>
      <c r="B1461"/>
      <c r="C1461"/>
      <c r="D1461"/>
      <c r="E1461"/>
      <c r="F1461"/>
      <c r="G1461"/>
      <c r="H1461"/>
      <c r="I1461"/>
      <c r="J1461"/>
    </row>
    <row r="1462" spans="1:10" x14ac:dyDescent="0.35">
      <c r="A1462"/>
      <c r="B1462"/>
      <c r="C1462"/>
      <c r="D1462"/>
      <c r="E1462"/>
      <c r="F1462"/>
      <c r="G1462"/>
      <c r="H1462"/>
      <c r="I1462"/>
      <c r="J1462"/>
    </row>
    <row r="1463" spans="1:10" x14ac:dyDescent="0.35">
      <c r="A1463"/>
      <c r="B1463"/>
      <c r="C1463"/>
      <c r="D1463"/>
      <c r="E1463"/>
      <c r="F1463"/>
      <c r="G1463"/>
      <c r="H1463"/>
      <c r="I1463"/>
      <c r="J1463"/>
    </row>
    <row r="1464" spans="1:10" x14ac:dyDescent="0.35">
      <c r="A1464"/>
      <c r="B1464"/>
      <c r="C1464"/>
      <c r="D1464"/>
      <c r="E1464"/>
      <c r="F1464"/>
      <c r="G1464"/>
      <c r="H1464"/>
      <c r="I1464"/>
      <c r="J1464"/>
    </row>
    <row r="1465" spans="1:10" x14ac:dyDescent="0.35">
      <c r="A1465"/>
      <c r="B1465"/>
      <c r="C1465"/>
      <c r="D1465"/>
      <c r="E1465"/>
      <c r="F1465"/>
      <c r="G1465"/>
      <c r="H1465"/>
      <c r="I1465"/>
      <c r="J1465"/>
    </row>
    <row r="1466" spans="1:10" x14ac:dyDescent="0.35">
      <c r="A1466"/>
      <c r="B1466"/>
      <c r="C1466"/>
      <c r="D1466"/>
      <c r="E1466"/>
      <c r="F1466"/>
      <c r="G1466"/>
      <c r="H1466"/>
      <c r="I1466"/>
      <c r="J1466"/>
    </row>
    <row r="1467" spans="1:10" x14ac:dyDescent="0.35">
      <c r="A1467"/>
      <c r="B1467"/>
      <c r="C1467"/>
      <c r="D1467"/>
      <c r="E1467"/>
      <c r="F1467"/>
      <c r="G1467"/>
      <c r="H1467"/>
      <c r="I1467"/>
      <c r="J1467"/>
    </row>
    <row r="1468" spans="1:10" x14ac:dyDescent="0.35">
      <c r="A1468"/>
      <c r="B1468"/>
      <c r="C1468"/>
      <c r="D1468"/>
      <c r="E1468"/>
      <c r="F1468"/>
      <c r="G1468"/>
      <c r="H1468"/>
      <c r="I1468"/>
      <c r="J1468"/>
    </row>
    <row r="1469" spans="1:10" x14ac:dyDescent="0.35">
      <c r="A1469"/>
      <c r="B1469"/>
      <c r="C1469"/>
      <c r="D1469"/>
      <c r="E1469"/>
      <c r="F1469"/>
      <c r="G1469"/>
      <c r="H1469"/>
      <c r="I1469"/>
      <c r="J1469"/>
    </row>
    <row r="1470" spans="1:10" x14ac:dyDescent="0.35">
      <c r="A1470"/>
      <c r="B1470"/>
      <c r="C1470"/>
      <c r="D1470"/>
      <c r="E1470"/>
      <c r="F1470"/>
      <c r="G1470"/>
      <c r="H1470"/>
      <c r="I1470"/>
      <c r="J1470"/>
    </row>
    <row r="1471" spans="1:10" x14ac:dyDescent="0.35">
      <c r="A1471"/>
      <c r="B1471"/>
      <c r="C1471"/>
      <c r="D1471"/>
      <c r="E1471"/>
      <c r="F1471"/>
      <c r="G1471"/>
      <c r="H1471"/>
      <c r="I1471"/>
      <c r="J1471"/>
    </row>
    <row r="1472" spans="1:10" x14ac:dyDescent="0.35">
      <c r="A1472"/>
      <c r="B1472"/>
      <c r="C1472"/>
      <c r="D1472"/>
      <c r="E1472"/>
      <c r="F1472"/>
      <c r="G1472"/>
      <c r="H1472"/>
      <c r="I1472"/>
      <c r="J1472"/>
    </row>
    <row r="1473" spans="1:10" x14ac:dyDescent="0.35">
      <c r="A1473"/>
      <c r="B1473"/>
      <c r="C1473"/>
      <c r="D1473"/>
      <c r="E1473"/>
      <c r="F1473"/>
      <c r="G1473"/>
      <c r="H1473"/>
      <c r="I1473"/>
      <c r="J1473"/>
    </row>
    <row r="1474" spans="1:10" x14ac:dyDescent="0.35">
      <c r="A1474"/>
      <c r="B1474"/>
      <c r="C1474"/>
      <c r="D1474"/>
      <c r="E1474"/>
      <c r="F1474"/>
      <c r="G1474"/>
      <c r="H1474"/>
      <c r="I1474"/>
      <c r="J1474"/>
    </row>
    <row r="1475" spans="1:10" x14ac:dyDescent="0.35">
      <c r="A1475"/>
      <c r="B1475"/>
      <c r="C1475"/>
      <c r="D1475"/>
      <c r="E1475"/>
      <c r="F1475"/>
      <c r="G1475"/>
      <c r="H1475"/>
      <c r="I1475"/>
      <c r="J1475"/>
    </row>
    <row r="1476" spans="1:10" x14ac:dyDescent="0.35">
      <c r="A1476"/>
      <c r="B1476"/>
      <c r="C1476"/>
      <c r="D1476"/>
      <c r="E1476"/>
      <c r="F1476"/>
      <c r="G1476"/>
      <c r="H1476"/>
      <c r="I1476"/>
      <c r="J1476"/>
    </row>
    <row r="1477" spans="1:10" x14ac:dyDescent="0.35">
      <c r="A1477"/>
      <c r="B1477"/>
      <c r="C1477"/>
      <c r="D1477"/>
      <c r="E1477"/>
      <c r="F1477"/>
      <c r="G1477"/>
      <c r="H1477"/>
      <c r="I1477"/>
      <c r="J1477"/>
    </row>
    <row r="1478" spans="1:10" x14ac:dyDescent="0.35">
      <c r="A1478"/>
      <c r="B1478"/>
      <c r="C1478"/>
      <c r="D1478"/>
      <c r="E1478"/>
      <c r="F1478"/>
      <c r="G1478"/>
      <c r="H1478"/>
      <c r="I1478"/>
      <c r="J1478"/>
    </row>
    <row r="1479" spans="1:10" x14ac:dyDescent="0.35">
      <c r="A1479"/>
      <c r="B1479"/>
      <c r="C1479"/>
      <c r="D1479"/>
      <c r="E1479"/>
      <c r="F1479"/>
      <c r="G1479"/>
      <c r="H1479"/>
      <c r="I1479"/>
      <c r="J1479"/>
    </row>
    <row r="1480" spans="1:10" x14ac:dyDescent="0.35">
      <c r="A1480"/>
      <c r="B1480"/>
      <c r="C1480"/>
      <c r="D1480"/>
      <c r="E1480"/>
      <c r="F1480"/>
      <c r="G1480"/>
      <c r="H1480"/>
      <c r="I1480"/>
      <c r="J1480"/>
    </row>
    <row r="1481" spans="1:10" x14ac:dyDescent="0.35">
      <c r="A1481"/>
      <c r="B1481"/>
      <c r="C1481"/>
      <c r="D1481"/>
      <c r="E1481"/>
      <c r="F1481"/>
      <c r="G1481"/>
      <c r="H1481"/>
      <c r="I1481"/>
      <c r="J1481"/>
    </row>
    <row r="1482" spans="1:10" x14ac:dyDescent="0.35">
      <c r="A1482"/>
      <c r="B1482"/>
      <c r="C1482"/>
      <c r="D1482"/>
      <c r="E1482"/>
      <c r="F1482"/>
      <c r="G1482"/>
      <c r="H1482"/>
      <c r="I1482"/>
      <c r="J1482"/>
    </row>
    <row r="1483" spans="1:10" x14ac:dyDescent="0.35">
      <c r="A1483"/>
      <c r="B1483"/>
      <c r="C1483"/>
      <c r="D1483"/>
      <c r="E1483"/>
      <c r="F1483"/>
      <c r="G1483"/>
      <c r="H1483"/>
      <c r="I1483"/>
      <c r="J1483"/>
    </row>
    <row r="1484" spans="1:10" x14ac:dyDescent="0.35">
      <c r="A1484"/>
      <c r="B1484"/>
      <c r="C1484"/>
      <c r="D1484"/>
      <c r="E1484"/>
      <c r="F1484"/>
      <c r="G1484"/>
      <c r="H1484"/>
      <c r="I1484"/>
      <c r="J1484"/>
    </row>
    <row r="1485" spans="1:10" x14ac:dyDescent="0.35">
      <c r="A1485"/>
      <c r="B1485"/>
      <c r="C1485"/>
      <c r="D1485"/>
      <c r="E1485"/>
      <c r="F1485"/>
      <c r="G1485"/>
      <c r="H1485"/>
      <c r="I1485"/>
      <c r="J1485"/>
    </row>
    <row r="1486" spans="1:10" x14ac:dyDescent="0.35">
      <c r="A1486"/>
      <c r="B1486"/>
      <c r="C1486"/>
      <c r="D1486"/>
      <c r="E1486"/>
      <c r="F1486"/>
      <c r="G1486"/>
      <c r="H1486"/>
      <c r="I1486"/>
      <c r="J1486"/>
    </row>
    <row r="1487" spans="1:10" x14ac:dyDescent="0.35">
      <c r="A1487"/>
      <c r="B1487"/>
      <c r="C1487"/>
      <c r="D1487"/>
      <c r="E1487"/>
      <c r="F1487"/>
      <c r="G1487"/>
      <c r="H1487"/>
      <c r="I1487"/>
      <c r="J1487"/>
    </row>
    <row r="1488" spans="1:10" x14ac:dyDescent="0.35">
      <c r="A1488"/>
      <c r="B1488"/>
      <c r="C1488"/>
      <c r="D1488"/>
      <c r="E1488"/>
      <c r="F1488"/>
      <c r="G1488"/>
      <c r="H1488"/>
      <c r="I1488"/>
      <c r="J1488"/>
    </row>
    <row r="1489" spans="1:10" x14ac:dyDescent="0.35">
      <c r="A1489"/>
      <c r="B1489"/>
      <c r="C1489"/>
      <c r="D1489"/>
      <c r="E1489"/>
      <c r="F1489"/>
      <c r="G1489"/>
      <c r="H1489"/>
      <c r="I1489"/>
      <c r="J1489"/>
    </row>
    <row r="1490" spans="1:10" x14ac:dyDescent="0.35">
      <c r="A1490"/>
      <c r="B1490"/>
      <c r="C1490"/>
      <c r="D1490"/>
      <c r="E1490"/>
      <c r="F1490"/>
      <c r="G1490"/>
      <c r="H1490"/>
      <c r="I1490"/>
      <c r="J1490"/>
    </row>
    <row r="1491" spans="1:10" x14ac:dyDescent="0.35">
      <c r="A1491"/>
      <c r="B1491"/>
      <c r="C1491"/>
      <c r="D1491"/>
      <c r="E1491"/>
      <c r="F1491"/>
      <c r="G1491"/>
      <c r="H1491"/>
      <c r="I1491"/>
      <c r="J1491"/>
    </row>
    <row r="1492" spans="1:10" x14ac:dyDescent="0.35">
      <c r="A1492"/>
      <c r="B1492"/>
      <c r="C1492"/>
      <c r="D1492"/>
      <c r="E1492"/>
      <c r="F1492"/>
      <c r="G1492"/>
      <c r="H1492"/>
      <c r="I1492"/>
      <c r="J1492"/>
    </row>
    <row r="1493" spans="1:10" x14ac:dyDescent="0.35">
      <c r="A1493"/>
      <c r="B1493"/>
      <c r="C1493"/>
      <c r="D1493"/>
      <c r="E1493"/>
      <c r="F1493"/>
      <c r="G1493"/>
      <c r="H1493"/>
      <c r="I1493"/>
      <c r="J1493"/>
    </row>
    <row r="1494" spans="1:10" x14ac:dyDescent="0.35">
      <c r="A1494"/>
      <c r="B1494"/>
      <c r="C1494"/>
      <c r="D1494"/>
      <c r="E1494"/>
      <c r="F1494"/>
      <c r="G1494"/>
      <c r="H1494"/>
      <c r="I1494"/>
      <c r="J1494"/>
    </row>
    <row r="1495" spans="1:10" x14ac:dyDescent="0.35">
      <c r="A1495"/>
      <c r="B1495"/>
      <c r="C1495"/>
      <c r="D1495"/>
      <c r="E1495"/>
      <c r="F1495"/>
      <c r="G1495"/>
      <c r="H1495"/>
      <c r="I1495"/>
      <c r="J1495"/>
    </row>
    <row r="1496" spans="1:10" x14ac:dyDescent="0.35">
      <c r="A1496"/>
      <c r="B1496"/>
      <c r="C1496"/>
      <c r="D1496"/>
      <c r="E1496"/>
      <c r="F1496"/>
      <c r="G1496"/>
      <c r="H1496"/>
      <c r="I1496"/>
      <c r="J1496"/>
    </row>
    <row r="1497" spans="1:10" x14ac:dyDescent="0.35">
      <c r="A1497"/>
      <c r="B1497"/>
      <c r="C1497"/>
      <c r="D1497"/>
      <c r="E1497"/>
      <c r="F1497"/>
      <c r="G1497"/>
      <c r="H1497"/>
      <c r="I1497"/>
      <c r="J1497"/>
    </row>
    <row r="1498" spans="1:10" x14ac:dyDescent="0.35">
      <c r="A1498"/>
      <c r="B1498"/>
      <c r="C1498"/>
      <c r="D1498"/>
      <c r="E1498"/>
      <c r="F1498"/>
      <c r="G1498"/>
      <c r="H1498"/>
      <c r="I1498"/>
      <c r="J1498"/>
    </row>
    <row r="1499" spans="1:10" x14ac:dyDescent="0.35">
      <c r="A1499"/>
      <c r="B1499"/>
      <c r="C1499"/>
      <c r="D1499"/>
      <c r="E1499"/>
      <c r="F1499"/>
      <c r="G1499"/>
      <c r="H1499"/>
      <c r="I1499"/>
      <c r="J1499"/>
    </row>
    <row r="1500" spans="1:10" x14ac:dyDescent="0.35">
      <c r="A1500"/>
      <c r="B1500"/>
      <c r="C1500"/>
      <c r="D1500"/>
      <c r="E1500"/>
      <c r="F1500"/>
      <c r="G1500"/>
      <c r="H1500"/>
      <c r="I1500"/>
      <c r="J1500"/>
    </row>
    <row r="1501" spans="1:10" x14ac:dyDescent="0.35">
      <c r="A1501"/>
      <c r="B1501"/>
      <c r="C1501"/>
      <c r="D1501"/>
      <c r="E1501"/>
      <c r="F1501"/>
      <c r="G1501"/>
      <c r="H1501"/>
      <c r="I1501"/>
      <c r="J1501"/>
    </row>
    <row r="1502" spans="1:10" x14ac:dyDescent="0.35">
      <c r="A1502"/>
      <c r="B1502"/>
      <c r="C1502"/>
      <c r="D1502"/>
      <c r="E1502"/>
      <c r="F1502"/>
      <c r="G1502"/>
      <c r="H1502"/>
      <c r="I1502"/>
      <c r="J1502"/>
    </row>
    <row r="1503" spans="1:10" x14ac:dyDescent="0.35">
      <c r="A1503"/>
      <c r="B1503"/>
      <c r="C1503"/>
      <c r="D1503"/>
      <c r="E1503"/>
      <c r="F1503"/>
      <c r="G1503"/>
      <c r="H1503"/>
      <c r="I1503"/>
      <c r="J1503"/>
    </row>
    <row r="1504" spans="1:10" x14ac:dyDescent="0.35">
      <c r="A1504"/>
      <c r="B1504"/>
      <c r="C1504"/>
      <c r="D1504"/>
      <c r="E1504"/>
      <c r="F1504"/>
      <c r="G1504"/>
      <c r="H1504"/>
      <c r="I1504"/>
      <c r="J1504"/>
    </row>
    <row r="1505" spans="1:10" x14ac:dyDescent="0.35">
      <c r="A1505"/>
      <c r="B1505"/>
      <c r="C1505"/>
      <c r="D1505"/>
      <c r="E1505"/>
      <c r="F1505"/>
      <c r="G1505"/>
      <c r="H1505"/>
      <c r="I1505"/>
      <c r="J1505"/>
    </row>
    <row r="1506" spans="1:10" x14ac:dyDescent="0.35">
      <c r="A1506"/>
      <c r="B1506"/>
      <c r="C1506"/>
      <c r="D1506"/>
      <c r="E1506"/>
      <c r="F1506"/>
      <c r="G1506"/>
      <c r="H1506"/>
      <c r="I1506"/>
      <c r="J1506"/>
    </row>
    <row r="1507" spans="1:10" x14ac:dyDescent="0.35">
      <c r="A1507"/>
      <c r="B1507"/>
      <c r="C1507"/>
      <c r="D1507"/>
      <c r="E1507"/>
      <c r="F1507"/>
      <c r="G1507"/>
      <c r="H1507"/>
      <c r="I1507"/>
      <c r="J1507"/>
    </row>
    <row r="1508" spans="1:10" x14ac:dyDescent="0.35">
      <c r="A1508"/>
      <c r="B1508"/>
      <c r="C1508"/>
      <c r="D1508"/>
      <c r="E1508"/>
      <c r="F1508"/>
      <c r="G1508"/>
      <c r="H1508"/>
      <c r="I1508"/>
      <c r="J1508"/>
    </row>
    <row r="1509" spans="1:10" x14ac:dyDescent="0.35">
      <c r="A1509"/>
      <c r="B1509"/>
      <c r="C1509"/>
      <c r="D1509"/>
      <c r="E1509"/>
      <c r="F1509"/>
      <c r="G1509"/>
      <c r="H1509"/>
      <c r="I1509"/>
      <c r="J1509"/>
    </row>
    <row r="1510" spans="1:10" x14ac:dyDescent="0.35">
      <c r="A1510"/>
      <c r="B1510"/>
      <c r="C1510"/>
      <c r="D1510"/>
      <c r="E1510"/>
      <c r="F1510"/>
      <c r="G1510"/>
      <c r="H1510"/>
      <c r="I1510"/>
      <c r="J1510"/>
    </row>
    <row r="1511" spans="1:10" x14ac:dyDescent="0.35">
      <c r="A1511"/>
      <c r="B1511"/>
      <c r="C1511"/>
      <c r="D1511"/>
      <c r="E1511"/>
      <c r="F1511"/>
      <c r="G1511"/>
      <c r="H1511"/>
      <c r="I1511"/>
      <c r="J1511"/>
    </row>
    <row r="1512" spans="1:10" x14ac:dyDescent="0.35">
      <c r="A1512"/>
      <c r="B1512"/>
      <c r="C1512"/>
      <c r="D1512"/>
      <c r="E1512"/>
      <c r="F1512"/>
      <c r="G1512"/>
      <c r="H1512"/>
      <c r="I1512"/>
      <c r="J1512"/>
    </row>
    <row r="1513" spans="1:10" x14ac:dyDescent="0.35">
      <c r="A1513"/>
      <c r="B1513"/>
      <c r="C1513"/>
      <c r="D1513"/>
      <c r="E1513"/>
      <c r="F1513"/>
      <c r="G1513"/>
      <c r="H1513"/>
      <c r="I1513"/>
      <c r="J1513"/>
    </row>
    <row r="1514" spans="1:10" x14ac:dyDescent="0.35">
      <c r="A1514"/>
      <c r="B1514"/>
      <c r="C1514"/>
      <c r="D1514"/>
      <c r="E1514"/>
      <c r="F1514"/>
      <c r="G1514"/>
      <c r="H1514"/>
      <c r="I1514"/>
      <c r="J1514"/>
    </row>
    <row r="1515" spans="1:10" x14ac:dyDescent="0.35">
      <c r="A1515"/>
      <c r="B1515"/>
      <c r="C1515"/>
      <c r="D1515"/>
      <c r="E1515"/>
      <c r="F1515"/>
      <c r="G1515"/>
      <c r="H1515"/>
      <c r="I1515"/>
      <c r="J1515"/>
    </row>
    <row r="1516" spans="1:10" x14ac:dyDescent="0.35">
      <c r="A1516"/>
      <c r="B1516"/>
      <c r="C1516"/>
      <c r="D1516"/>
      <c r="E1516"/>
      <c r="F1516"/>
      <c r="G1516"/>
      <c r="H1516"/>
      <c r="I1516"/>
      <c r="J1516"/>
    </row>
    <row r="1517" spans="1:10" x14ac:dyDescent="0.35">
      <c r="A1517"/>
      <c r="B1517"/>
      <c r="C1517"/>
      <c r="D1517"/>
      <c r="E1517"/>
      <c r="F1517"/>
      <c r="G1517"/>
      <c r="H1517"/>
      <c r="I1517"/>
      <c r="J1517"/>
    </row>
    <row r="1518" spans="1:10" x14ac:dyDescent="0.35">
      <c r="A1518"/>
      <c r="B1518"/>
      <c r="C1518"/>
      <c r="D1518"/>
      <c r="E1518"/>
      <c r="F1518"/>
      <c r="G1518"/>
      <c r="H1518"/>
      <c r="I1518"/>
      <c r="J1518"/>
    </row>
    <row r="1519" spans="1:10" x14ac:dyDescent="0.35">
      <c r="A1519"/>
      <c r="B1519"/>
      <c r="C1519"/>
      <c r="D1519"/>
      <c r="E1519"/>
      <c r="F1519"/>
      <c r="G1519"/>
      <c r="H1519"/>
      <c r="I1519"/>
      <c r="J1519"/>
    </row>
    <row r="1520" spans="1:10" x14ac:dyDescent="0.35">
      <c r="A1520"/>
      <c r="B1520"/>
      <c r="C1520"/>
      <c r="D1520"/>
      <c r="E1520"/>
      <c r="F1520"/>
      <c r="G1520"/>
      <c r="H1520"/>
      <c r="I1520"/>
      <c r="J1520"/>
    </row>
    <row r="1521" spans="1:10" x14ac:dyDescent="0.35">
      <c r="A1521"/>
      <c r="B1521"/>
      <c r="C1521"/>
      <c r="D1521"/>
      <c r="E1521"/>
      <c r="F1521"/>
      <c r="G1521"/>
      <c r="H1521"/>
      <c r="I1521"/>
      <c r="J1521"/>
    </row>
    <row r="1522" spans="1:10" x14ac:dyDescent="0.35">
      <c r="A1522"/>
      <c r="B1522"/>
      <c r="C1522"/>
      <c r="D1522"/>
      <c r="E1522"/>
      <c r="F1522"/>
      <c r="G1522"/>
      <c r="H1522"/>
      <c r="I1522"/>
      <c r="J1522"/>
    </row>
    <row r="1523" spans="1:10" x14ac:dyDescent="0.35">
      <c r="A1523"/>
      <c r="B1523"/>
      <c r="C1523"/>
      <c r="D1523"/>
      <c r="E1523"/>
      <c r="F1523"/>
      <c r="G1523"/>
      <c r="H1523"/>
      <c r="I1523"/>
      <c r="J1523"/>
    </row>
    <row r="1524" spans="1:10" x14ac:dyDescent="0.35">
      <c r="A1524"/>
      <c r="B1524"/>
      <c r="C1524"/>
      <c r="D1524"/>
      <c r="E1524"/>
      <c r="F1524"/>
      <c r="G1524"/>
      <c r="H1524"/>
      <c r="I1524"/>
      <c r="J1524"/>
    </row>
    <row r="1525" spans="1:10" x14ac:dyDescent="0.35">
      <c r="A1525"/>
      <c r="B1525"/>
      <c r="C1525"/>
      <c r="D1525"/>
      <c r="E1525"/>
      <c r="F1525"/>
      <c r="G1525"/>
      <c r="H1525"/>
      <c r="I1525"/>
      <c r="J1525"/>
    </row>
    <row r="1526" spans="1:10" x14ac:dyDescent="0.35">
      <c r="A1526"/>
      <c r="B1526"/>
      <c r="C1526"/>
      <c r="D1526"/>
      <c r="E1526"/>
      <c r="F1526"/>
      <c r="G1526"/>
      <c r="H1526"/>
      <c r="I1526"/>
      <c r="J1526"/>
    </row>
    <row r="1527" spans="1:10" x14ac:dyDescent="0.35">
      <c r="A1527"/>
      <c r="B1527"/>
      <c r="C1527"/>
      <c r="D1527"/>
      <c r="E1527"/>
      <c r="F1527"/>
      <c r="G1527"/>
      <c r="H1527"/>
      <c r="I1527"/>
      <c r="J1527"/>
    </row>
    <row r="1528" spans="1:10" x14ac:dyDescent="0.35">
      <c r="A1528"/>
      <c r="B1528"/>
      <c r="C1528"/>
      <c r="D1528"/>
      <c r="E1528"/>
      <c r="F1528"/>
      <c r="G1528"/>
      <c r="H1528"/>
      <c r="I1528"/>
      <c r="J1528"/>
    </row>
    <row r="1529" spans="1:10" x14ac:dyDescent="0.35">
      <c r="A1529"/>
      <c r="B1529"/>
      <c r="C1529"/>
      <c r="D1529"/>
      <c r="E1529"/>
      <c r="F1529"/>
      <c r="G1529"/>
      <c r="H1529"/>
      <c r="I1529"/>
      <c r="J1529"/>
    </row>
    <row r="1530" spans="1:10" x14ac:dyDescent="0.35">
      <c r="A1530"/>
      <c r="B1530"/>
      <c r="C1530"/>
      <c r="D1530"/>
      <c r="E1530"/>
      <c r="F1530"/>
      <c r="G1530"/>
      <c r="H1530"/>
      <c r="I1530"/>
      <c r="J1530"/>
    </row>
    <row r="1531" spans="1:10" x14ac:dyDescent="0.35">
      <c r="A1531"/>
      <c r="B1531"/>
      <c r="C1531"/>
      <c r="D1531"/>
      <c r="E1531"/>
      <c r="F1531"/>
      <c r="G1531"/>
      <c r="H1531"/>
      <c r="I1531"/>
      <c r="J1531"/>
    </row>
    <row r="1532" spans="1:10" x14ac:dyDescent="0.35">
      <c r="A1532"/>
      <c r="B1532"/>
      <c r="C1532"/>
      <c r="D1532"/>
      <c r="E1532"/>
      <c r="F1532"/>
      <c r="G1532"/>
      <c r="H1532"/>
      <c r="I1532"/>
      <c r="J1532"/>
    </row>
    <row r="1533" spans="1:10" x14ac:dyDescent="0.35">
      <c r="A1533"/>
      <c r="B1533"/>
      <c r="C1533"/>
      <c r="D1533"/>
      <c r="E1533"/>
      <c r="F1533"/>
      <c r="G1533"/>
      <c r="H1533"/>
      <c r="I1533"/>
      <c r="J1533"/>
    </row>
    <row r="1534" spans="1:10" x14ac:dyDescent="0.35">
      <c r="A1534"/>
      <c r="B1534"/>
      <c r="C1534"/>
      <c r="D1534"/>
      <c r="E1534"/>
      <c r="F1534"/>
      <c r="G1534"/>
      <c r="H1534"/>
      <c r="I1534"/>
      <c r="J1534"/>
    </row>
    <row r="1535" spans="1:10" x14ac:dyDescent="0.35">
      <c r="A1535"/>
      <c r="B1535"/>
      <c r="C1535"/>
      <c r="D1535"/>
      <c r="E1535"/>
      <c r="F1535"/>
      <c r="G1535"/>
      <c r="H1535"/>
      <c r="I1535"/>
      <c r="J1535"/>
    </row>
    <row r="1536" spans="1:10" x14ac:dyDescent="0.35">
      <c r="A1536"/>
      <c r="B1536"/>
      <c r="C1536"/>
      <c r="D1536"/>
      <c r="E1536"/>
      <c r="F1536"/>
      <c r="G1536"/>
      <c r="H1536"/>
      <c r="I1536"/>
      <c r="J1536"/>
    </row>
    <row r="1537" spans="1:10" x14ac:dyDescent="0.35">
      <c r="A1537"/>
      <c r="B1537"/>
      <c r="C1537"/>
      <c r="D1537"/>
      <c r="E1537"/>
      <c r="F1537"/>
      <c r="G1537"/>
      <c r="H1537"/>
      <c r="I1537"/>
      <c r="J1537"/>
    </row>
    <row r="1538" spans="1:10" x14ac:dyDescent="0.35">
      <c r="A1538"/>
      <c r="B1538"/>
      <c r="C1538"/>
      <c r="D1538"/>
      <c r="E1538"/>
      <c r="F1538"/>
      <c r="G1538"/>
      <c r="H1538"/>
      <c r="I1538"/>
      <c r="J1538"/>
    </row>
    <row r="1539" spans="1:10" x14ac:dyDescent="0.35">
      <c r="A1539"/>
      <c r="B1539"/>
      <c r="C1539"/>
      <c r="D1539"/>
      <c r="E1539"/>
      <c r="F1539"/>
      <c r="G1539"/>
      <c r="H1539"/>
      <c r="I1539"/>
      <c r="J1539"/>
    </row>
    <row r="1540" spans="1:10" x14ac:dyDescent="0.35">
      <c r="A1540"/>
      <c r="B1540"/>
      <c r="C1540"/>
      <c r="D1540"/>
      <c r="E1540"/>
      <c r="F1540"/>
      <c r="G1540"/>
      <c r="H1540"/>
      <c r="I1540"/>
      <c r="J1540"/>
    </row>
    <row r="1541" spans="1:10" x14ac:dyDescent="0.35">
      <c r="A1541"/>
      <c r="B1541"/>
      <c r="C1541"/>
      <c r="D1541"/>
      <c r="E1541"/>
      <c r="F1541"/>
      <c r="G1541"/>
      <c r="H1541"/>
      <c r="I1541"/>
      <c r="J1541"/>
    </row>
    <row r="1542" spans="1:10" x14ac:dyDescent="0.35">
      <c r="A1542"/>
      <c r="B1542"/>
      <c r="C1542"/>
      <c r="D1542"/>
      <c r="E1542"/>
      <c r="F1542"/>
      <c r="G1542"/>
      <c r="H1542"/>
      <c r="I1542"/>
      <c r="J1542"/>
    </row>
    <row r="1543" spans="1:10" x14ac:dyDescent="0.35">
      <c r="A1543"/>
      <c r="B1543"/>
      <c r="C1543"/>
      <c r="D1543"/>
      <c r="E1543"/>
      <c r="F1543"/>
      <c r="G1543"/>
      <c r="H1543"/>
      <c r="I1543"/>
      <c r="J1543"/>
    </row>
    <row r="1544" spans="1:10" x14ac:dyDescent="0.35">
      <c r="A1544"/>
      <c r="B1544"/>
      <c r="C1544"/>
      <c r="D1544"/>
      <c r="E1544"/>
      <c r="F1544"/>
      <c r="G1544"/>
      <c r="H1544"/>
      <c r="I1544"/>
      <c r="J1544"/>
    </row>
    <row r="1545" spans="1:10" x14ac:dyDescent="0.35">
      <c r="A1545"/>
      <c r="B1545"/>
      <c r="C1545"/>
      <c r="D1545"/>
      <c r="E1545"/>
      <c r="F1545"/>
      <c r="G1545"/>
      <c r="H1545"/>
      <c r="I1545"/>
      <c r="J1545"/>
    </row>
    <row r="1546" spans="1:10" x14ac:dyDescent="0.35">
      <c r="A1546"/>
      <c r="B1546"/>
      <c r="C1546"/>
      <c r="D1546"/>
      <c r="E1546"/>
      <c r="F1546"/>
      <c r="G1546"/>
      <c r="H1546"/>
      <c r="I1546"/>
      <c r="J1546"/>
    </row>
    <row r="1547" spans="1:10" x14ac:dyDescent="0.35">
      <c r="A1547"/>
      <c r="B1547"/>
      <c r="C1547"/>
      <c r="D1547"/>
      <c r="E1547"/>
      <c r="F1547"/>
      <c r="G1547"/>
      <c r="H1547"/>
      <c r="I1547"/>
      <c r="J1547"/>
    </row>
    <row r="1548" spans="1:10" x14ac:dyDescent="0.35">
      <c r="A1548"/>
      <c r="B1548"/>
      <c r="C1548"/>
      <c r="D1548"/>
      <c r="E1548"/>
      <c r="F1548"/>
      <c r="G1548"/>
      <c r="H1548"/>
      <c r="I1548"/>
      <c r="J1548"/>
    </row>
    <row r="1549" spans="1:10" x14ac:dyDescent="0.35">
      <c r="A1549"/>
      <c r="B1549"/>
      <c r="C1549"/>
      <c r="D1549"/>
      <c r="E1549"/>
      <c r="F1549"/>
      <c r="G1549"/>
      <c r="H1549"/>
      <c r="I1549"/>
      <c r="J1549"/>
    </row>
    <row r="1550" spans="1:10" x14ac:dyDescent="0.35">
      <c r="A1550"/>
      <c r="B1550"/>
      <c r="C1550"/>
      <c r="D1550"/>
      <c r="E1550"/>
      <c r="F1550"/>
      <c r="G1550"/>
      <c r="H1550"/>
      <c r="I1550"/>
      <c r="J1550"/>
    </row>
    <row r="1551" spans="1:10" x14ac:dyDescent="0.35">
      <c r="A1551"/>
      <c r="B1551"/>
      <c r="C1551"/>
      <c r="D1551"/>
      <c r="E1551"/>
      <c r="F1551"/>
      <c r="G1551"/>
      <c r="H1551"/>
      <c r="I1551"/>
      <c r="J1551"/>
    </row>
    <row r="1552" spans="1:10" x14ac:dyDescent="0.35">
      <c r="A1552"/>
      <c r="B1552"/>
      <c r="C1552"/>
      <c r="D1552"/>
      <c r="E1552"/>
      <c r="F1552"/>
      <c r="G1552"/>
      <c r="H1552"/>
      <c r="I1552"/>
      <c r="J1552"/>
    </row>
    <row r="1553" spans="1:10" x14ac:dyDescent="0.35">
      <c r="A1553"/>
      <c r="B1553"/>
      <c r="C1553"/>
      <c r="D1553"/>
      <c r="E1553"/>
      <c r="F1553"/>
      <c r="G1553"/>
      <c r="H1553"/>
      <c r="I1553"/>
      <c r="J1553"/>
    </row>
    <row r="1554" spans="1:10" x14ac:dyDescent="0.35">
      <c r="A1554"/>
      <c r="B1554"/>
      <c r="C1554"/>
      <c r="D1554"/>
      <c r="E1554"/>
      <c r="F1554"/>
      <c r="G1554"/>
      <c r="H1554"/>
      <c r="I1554"/>
      <c r="J1554"/>
    </row>
    <row r="1555" spans="1:10" x14ac:dyDescent="0.35">
      <c r="A1555"/>
      <c r="B1555"/>
      <c r="C1555"/>
      <c r="D1555"/>
      <c r="E1555"/>
      <c r="F1555"/>
      <c r="G1555"/>
      <c r="H1555"/>
      <c r="I1555"/>
      <c r="J1555"/>
    </row>
    <row r="1556" spans="1:10" x14ac:dyDescent="0.35">
      <c r="A1556"/>
      <c r="B1556"/>
      <c r="C1556"/>
      <c r="D1556"/>
      <c r="E1556"/>
      <c r="F1556"/>
      <c r="G1556"/>
      <c r="H1556"/>
      <c r="I1556"/>
      <c r="J1556"/>
    </row>
    <row r="1557" spans="1:10" x14ac:dyDescent="0.35">
      <c r="A1557"/>
      <c r="B1557"/>
      <c r="C1557"/>
      <c r="D1557"/>
      <c r="E1557"/>
      <c r="F1557"/>
      <c r="G1557"/>
      <c r="H1557"/>
      <c r="I1557"/>
      <c r="J1557"/>
    </row>
    <row r="1558" spans="1:10" x14ac:dyDescent="0.35">
      <c r="A1558"/>
      <c r="B1558"/>
      <c r="C1558"/>
      <c r="D1558"/>
      <c r="E1558"/>
      <c r="F1558"/>
      <c r="G1558"/>
      <c r="H1558"/>
      <c r="I1558"/>
      <c r="J1558"/>
    </row>
    <row r="1559" spans="1:10" x14ac:dyDescent="0.35">
      <c r="A1559"/>
      <c r="B1559"/>
      <c r="C1559"/>
      <c r="D1559"/>
      <c r="E1559"/>
      <c r="F1559"/>
      <c r="G1559"/>
      <c r="H1559"/>
      <c r="I1559"/>
      <c r="J1559"/>
    </row>
    <row r="1560" spans="1:10" x14ac:dyDescent="0.35">
      <c r="A1560"/>
      <c r="B1560"/>
      <c r="C1560"/>
      <c r="D1560"/>
      <c r="E1560"/>
      <c r="F1560"/>
      <c r="G1560"/>
      <c r="H1560"/>
      <c r="I1560"/>
      <c r="J1560"/>
    </row>
    <row r="1561" spans="1:10" x14ac:dyDescent="0.35">
      <c r="A1561"/>
      <c r="B1561"/>
      <c r="C1561"/>
      <c r="D1561"/>
      <c r="E1561"/>
      <c r="F1561"/>
      <c r="G1561"/>
      <c r="H1561"/>
      <c r="I1561"/>
      <c r="J1561"/>
    </row>
    <row r="1562" spans="1:10" x14ac:dyDescent="0.35">
      <c r="A1562"/>
      <c r="B1562"/>
      <c r="C1562"/>
      <c r="D1562"/>
      <c r="E1562"/>
      <c r="F1562"/>
      <c r="G1562"/>
      <c r="H1562"/>
      <c r="I1562"/>
      <c r="J1562"/>
    </row>
    <row r="1563" spans="1:10" x14ac:dyDescent="0.35">
      <c r="A1563"/>
      <c r="B1563"/>
      <c r="C1563"/>
      <c r="D1563"/>
      <c r="E1563"/>
      <c r="F1563"/>
      <c r="G1563"/>
      <c r="H1563"/>
      <c r="I1563"/>
      <c r="J1563"/>
    </row>
    <row r="1564" spans="1:10" x14ac:dyDescent="0.35">
      <c r="A1564"/>
      <c r="B1564"/>
      <c r="C1564"/>
      <c r="D1564"/>
      <c r="E1564"/>
      <c r="F1564"/>
      <c r="G1564"/>
      <c r="H1564"/>
      <c r="I1564"/>
      <c r="J1564"/>
    </row>
    <row r="1565" spans="1:10" x14ac:dyDescent="0.35">
      <c r="A1565"/>
      <c r="B1565"/>
      <c r="C1565"/>
      <c r="D1565"/>
      <c r="E1565"/>
      <c r="F1565"/>
      <c r="G1565"/>
      <c r="H1565"/>
      <c r="I1565"/>
      <c r="J1565"/>
    </row>
    <row r="1566" spans="1:10" x14ac:dyDescent="0.35">
      <c r="A1566"/>
      <c r="B1566"/>
      <c r="C1566"/>
      <c r="D1566"/>
      <c r="E1566"/>
      <c r="F1566"/>
      <c r="G1566"/>
      <c r="H1566"/>
      <c r="I1566"/>
      <c r="J1566"/>
    </row>
    <row r="1567" spans="1:10" x14ac:dyDescent="0.35">
      <c r="A1567"/>
      <c r="B1567"/>
      <c r="C1567"/>
      <c r="D1567"/>
      <c r="E1567"/>
      <c r="F1567"/>
      <c r="G1567"/>
      <c r="H1567"/>
      <c r="I1567"/>
      <c r="J1567"/>
    </row>
    <row r="1568" spans="1:10" x14ac:dyDescent="0.35">
      <c r="A1568"/>
      <c r="B1568"/>
      <c r="C1568"/>
      <c r="D1568"/>
      <c r="E1568"/>
      <c r="F1568"/>
      <c r="G1568"/>
      <c r="H1568"/>
      <c r="I1568"/>
      <c r="J1568"/>
    </row>
    <row r="1569" spans="1:10" x14ac:dyDescent="0.35">
      <c r="A1569"/>
      <c r="B1569"/>
      <c r="C1569"/>
      <c r="D1569"/>
      <c r="E1569"/>
      <c r="F1569"/>
      <c r="G1569"/>
      <c r="H1569"/>
      <c r="I1569"/>
      <c r="J1569"/>
    </row>
    <row r="1570" spans="1:10" x14ac:dyDescent="0.35">
      <c r="A1570"/>
      <c r="B1570"/>
      <c r="C1570"/>
      <c r="D1570"/>
      <c r="E1570"/>
      <c r="F1570"/>
      <c r="G1570"/>
      <c r="H1570"/>
      <c r="I1570"/>
      <c r="J1570"/>
    </row>
    <row r="1571" spans="1:10" x14ac:dyDescent="0.35">
      <c r="A1571"/>
      <c r="B1571"/>
      <c r="C1571"/>
      <c r="D1571"/>
      <c r="E1571"/>
      <c r="F1571"/>
      <c r="G1571"/>
      <c r="H1571"/>
      <c r="I1571"/>
      <c r="J1571"/>
    </row>
    <row r="1572" spans="1:10" x14ac:dyDescent="0.35">
      <c r="A1572"/>
      <c r="B1572"/>
      <c r="C1572"/>
      <c r="D1572"/>
      <c r="E1572"/>
      <c r="F1572"/>
      <c r="G1572"/>
      <c r="H1572"/>
      <c r="I1572"/>
      <c r="J1572"/>
    </row>
    <row r="1573" spans="1:10" x14ac:dyDescent="0.35">
      <c r="A1573"/>
      <c r="B1573"/>
      <c r="C1573"/>
      <c r="D1573"/>
      <c r="E1573"/>
      <c r="F1573"/>
      <c r="G1573"/>
      <c r="H1573"/>
      <c r="I1573"/>
      <c r="J1573"/>
    </row>
    <row r="1574" spans="1:10" x14ac:dyDescent="0.35">
      <c r="A1574"/>
      <c r="B1574"/>
      <c r="C1574"/>
      <c r="D1574"/>
      <c r="E1574"/>
      <c r="F1574"/>
      <c r="G1574"/>
      <c r="H1574"/>
      <c r="I1574"/>
      <c r="J1574"/>
    </row>
    <row r="1575" spans="1:10" x14ac:dyDescent="0.35">
      <c r="A1575"/>
      <c r="B1575"/>
      <c r="C1575"/>
      <c r="D1575"/>
      <c r="E1575"/>
      <c r="F1575"/>
      <c r="G1575"/>
      <c r="H1575"/>
      <c r="I1575"/>
      <c r="J1575"/>
    </row>
    <row r="1576" spans="1:10" x14ac:dyDescent="0.35">
      <c r="A1576"/>
      <c r="B1576"/>
      <c r="C1576"/>
      <c r="D1576"/>
      <c r="E1576"/>
      <c r="F1576"/>
      <c r="G1576"/>
      <c r="H1576"/>
      <c r="I1576"/>
      <c r="J1576"/>
    </row>
    <row r="1577" spans="1:10" x14ac:dyDescent="0.35">
      <c r="A1577"/>
      <c r="B1577"/>
      <c r="C1577"/>
      <c r="D1577"/>
      <c r="E1577"/>
      <c r="F1577"/>
      <c r="G1577"/>
      <c r="H1577"/>
      <c r="I1577"/>
      <c r="J1577"/>
    </row>
    <row r="1578" spans="1:10" x14ac:dyDescent="0.35">
      <c r="A1578"/>
      <c r="B1578"/>
      <c r="C1578"/>
      <c r="D1578"/>
      <c r="E1578"/>
      <c r="F1578"/>
      <c r="G1578"/>
      <c r="H1578"/>
      <c r="I1578"/>
      <c r="J1578"/>
    </row>
    <row r="1579" spans="1:10" x14ac:dyDescent="0.35">
      <c r="A1579"/>
      <c r="B1579"/>
      <c r="C1579"/>
      <c r="D1579"/>
      <c r="E1579"/>
      <c r="F1579"/>
      <c r="G1579"/>
      <c r="H1579"/>
      <c r="I1579"/>
      <c r="J1579"/>
    </row>
    <row r="1580" spans="1:10" x14ac:dyDescent="0.35">
      <c r="A1580"/>
      <c r="B1580"/>
      <c r="C1580"/>
      <c r="D1580"/>
      <c r="E1580"/>
      <c r="F1580"/>
      <c r="G1580"/>
      <c r="H1580"/>
      <c r="I1580"/>
      <c r="J1580"/>
    </row>
    <row r="1581" spans="1:10" x14ac:dyDescent="0.35">
      <c r="A1581"/>
      <c r="B1581"/>
      <c r="C1581"/>
      <c r="D1581"/>
      <c r="E1581"/>
      <c r="F1581"/>
      <c r="G1581"/>
      <c r="H1581"/>
      <c r="I1581"/>
      <c r="J1581"/>
    </row>
    <row r="1582" spans="1:10" x14ac:dyDescent="0.35">
      <c r="A1582"/>
      <c r="B1582"/>
      <c r="C1582"/>
      <c r="D1582"/>
      <c r="E1582"/>
      <c r="F1582"/>
      <c r="G1582"/>
      <c r="H1582"/>
      <c r="I1582"/>
      <c r="J1582"/>
    </row>
    <row r="1583" spans="1:10" x14ac:dyDescent="0.35">
      <c r="A1583"/>
      <c r="B1583"/>
      <c r="C1583"/>
      <c r="D1583"/>
      <c r="E1583"/>
      <c r="F1583"/>
      <c r="G1583"/>
      <c r="H1583"/>
      <c r="I1583"/>
      <c r="J1583"/>
    </row>
    <row r="1584" spans="1:10" x14ac:dyDescent="0.35">
      <c r="A1584"/>
      <c r="B1584"/>
      <c r="C1584"/>
      <c r="D1584"/>
      <c r="E1584"/>
      <c r="F1584"/>
      <c r="G1584"/>
      <c r="H1584"/>
      <c r="I1584"/>
      <c r="J1584"/>
    </row>
    <row r="1585" spans="1:10" x14ac:dyDescent="0.35">
      <c r="A1585"/>
      <c r="B1585"/>
      <c r="C1585"/>
      <c r="D1585"/>
      <c r="E1585"/>
      <c r="F1585"/>
      <c r="G1585"/>
      <c r="H1585"/>
      <c r="I1585"/>
      <c r="J1585"/>
    </row>
    <row r="1586" spans="1:10" x14ac:dyDescent="0.35">
      <c r="A1586"/>
      <c r="B1586"/>
      <c r="C1586"/>
      <c r="D1586"/>
      <c r="E1586"/>
      <c r="F1586"/>
      <c r="G1586"/>
      <c r="H1586"/>
      <c r="I1586"/>
      <c r="J1586"/>
    </row>
    <row r="1587" spans="1:10" x14ac:dyDescent="0.35">
      <c r="A1587"/>
      <c r="B1587"/>
      <c r="C1587"/>
      <c r="D1587"/>
      <c r="E1587"/>
      <c r="F1587"/>
      <c r="G1587"/>
      <c r="H1587"/>
      <c r="I1587"/>
      <c r="J1587"/>
    </row>
    <row r="1588" spans="1:10" x14ac:dyDescent="0.35">
      <c r="A1588"/>
      <c r="B1588"/>
      <c r="C1588"/>
      <c r="D1588"/>
      <c r="E1588"/>
      <c r="F1588"/>
      <c r="G1588"/>
      <c r="H1588"/>
      <c r="I1588"/>
      <c r="J1588"/>
    </row>
    <row r="1589" spans="1:10" x14ac:dyDescent="0.35">
      <c r="A1589"/>
      <c r="B1589"/>
      <c r="C1589"/>
      <c r="D1589"/>
      <c r="E1589"/>
      <c r="F1589"/>
      <c r="G1589"/>
      <c r="H1589"/>
      <c r="I1589"/>
      <c r="J1589"/>
    </row>
    <row r="1590" spans="1:10" x14ac:dyDescent="0.35">
      <c r="A1590"/>
      <c r="B1590"/>
      <c r="C1590"/>
      <c r="D1590"/>
      <c r="E1590"/>
      <c r="F1590"/>
      <c r="G1590"/>
      <c r="H1590"/>
      <c r="I1590"/>
      <c r="J1590"/>
    </row>
    <row r="1591" spans="1:10" x14ac:dyDescent="0.35">
      <c r="A1591"/>
      <c r="B1591"/>
      <c r="C1591"/>
      <c r="D1591"/>
      <c r="E1591"/>
      <c r="F1591"/>
      <c r="G1591"/>
      <c r="H1591"/>
      <c r="I1591"/>
      <c r="J1591"/>
    </row>
    <row r="1592" spans="1:10" x14ac:dyDescent="0.35">
      <c r="A1592"/>
      <c r="B1592"/>
      <c r="C1592"/>
      <c r="D1592"/>
      <c r="E1592"/>
      <c r="F1592"/>
      <c r="G1592"/>
      <c r="H1592"/>
      <c r="I1592"/>
      <c r="J1592"/>
    </row>
    <row r="1593" spans="1:10" x14ac:dyDescent="0.35">
      <c r="A1593"/>
      <c r="B1593"/>
      <c r="C1593"/>
      <c r="D1593"/>
      <c r="E1593"/>
      <c r="F1593"/>
      <c r="G1593"/>
      <c r="H1593"/>
      <c r="I1593"/>
      <c r="J1593"/>
    </row>
    <row r="1594" spans="1:10" x14ac:dyDescent="0.35">
      <c r="A1594"/>
      <c r="B1594"/>
      <c r="C1594"/>
      <c r="D1594"/>
      <c r="E1594"/>
      <c r="F1594"/>
      <c r="G1594"/>
      <c r="H1594"/>
      <c r="I1594"/>
      <c r="J1594"/>
    </row>
    <row r="1595" spans="1:10" x14ac:dyDescent="0.35">
      <c r="A1595"/>
      <c r="B1595"/>
      <c r="C1595"/>
      <c r="D1595"/>
      <c r="E1595"/>
      <c r="F1595"/>
      <c r="G1595"/>
      <c r="H1595"/>
      <c r="I1595"/>
      <c r="J1595"/>
    </row>
    <row r="1596" spans="1:10" x14ac:dyDescent="0.35">
      <c r="A1596"/>
      <c r="B1596"/>
      <c r="C1596"/>
      <c r="D1596"/>
      <c r="E1596"/>
      <c r="F1596"/>
      <c r="G1596"/>
      <c r="H1596"/>
      <c r="I1596"/>
      <c r="J1596"/>
    </row>
    <row r="1597" spans="1:10" x14ac:dyDescent="0.35">
      <c r="A1597"/>
      <c r="B1597"/>
      <c r="C1597"/>
      <c r="D1597"/>
      <c r="E1597"/>
      <c r="F1597"/>
      <c r="G1597"/>
      <c r="H1597"/>
      <c r="I1597"/>
      <c r="J1597"/>
    </row>
    <row r="1598" spans="1:10" x14ac:dyDescent="0.35">
      <c r="A1598"/>
      <c r="B1598"/>
      <c r="C1598"/>
      <c r="D1598"/>
      <c r="E1598"/>
      <c r="F1598"/>
      <c r="G1598"/>
      <c r="H1598"/>
      <c r="I1598"/>
      <c r="J1598"/>
    </row>
    <row r="1599" spans="1:10" x14ac:dyDescent="0.35">
      <c r="A1599"/>
      <c r="B1599"/>
      <c r="C1599"/>
      <c r="D1599"/>
      <c r="E1599"/>
      <c r="F1599"/>
      <c r="G1599"/>
      <c r="H1599"/>
      <c r="I1599"/>
      <c r="J1599"/>
    </row>
    <row r="1600" spans="1:10" x14ac:dyDescent="0.35">
      <c r="A1600"/>
      <c r="B1600"/>
      <c r="C1600"/>
      <c r="D1600"/>
      <c r="E1600"/>
      <c r="F1600"/>
      <c r="G1600"/>
      <c r="H1600"/>
      <c r="I1600"/>
      <c r="J1600"/>
    </row>
    <row r="1601" spans="1:10" x14ac:dyDescent="0.35">
      <c r="A1601"/>
      <c r="B1601"/>
      <c r="C1601"/>
      <c r="D1601"/>
      <c r="E1601"/>
      <c r="F1601"/>
      <c r="G1601"/>
      <c r="H1601"/>
      <c r="I1601"/>
      <c r="J1601"/>
    </row>
    <row r="1602" spans="1:10" x14ac:dyDescent="0.35">
      <c r="A1602"/>
      <c r="B1602"/>
      <c r="C1602"/>
      <c r="D1602"/>
      <c r="E1602"/>
      <c r="F1602"/>
      <c r="G1602"/>
      <c r="H1602"/>
      <c r="I1602"/>
      <c r="J1602"/>
    </row>
    <row r="1603" spans="1:10" x14ac:dyDescent="0.35">
      <c r="A1603"/>
      <c r="B1603"/>
      <c r="C1603"/>
      <c r="D1603"/>
      <c r="E1603"/>
      <c r="F1603"/>
      <c r="G1603"/>
      <c r="H1603"/>
      <c r="I1603"/>
      <c r="J1603"/>
    </row>
    <row r="1604" spans="1:10" x14ac:dyDescent="0.35">
      <c r="A1604"/>
      <c r="B1604"/>
      <c r="C1604"/>
      <c r="D1604"/>
      <c r="E1604"/>
      <c r="F1604"/>
      <c r="G1604"/>
      <c r="H1604"/>
      <c r="I1604"/>
      <c r="J1604"/>
    </row>
    <row r="1605" spans="1:10" x14ac:dyDescent="0.35">
      <c r="A1605"/>
      <c r="B1605"/>
      <c r="C1605"/>
      <c r="D1605"/>
      <c r="E1605"/>
      <c r="F1605"/>
      <c r="G1605"/>
      <c r="H1605"/>
      <c r="I1605"/>
      <c r="J1605"/>
    </row>
    <row r="1606" spans="1:10" x14ac:dyDescent="0.35">
      <c r="A1606"/>
      <c r="B1606"/>
      <c r="C1606"/>
      <c r="D1606"/>
      <c r="E1606"/>
      <c r="F1606"/>
      <c r="G1606"/>
      <c r="H1606"/>
      <c r="I1606"/>
      <c r="J1606"/>
    </row>
    <row r="1607" spans="1:10" x14ac:dyDescent="0.35">
      <c r="A1607"/>
      <c r="B1607"/>
      <c r="C1607"/>
      <c r="D1607"/>
      <c r="E1607"/>
      <c r="F1607"/>
      <c r="G1607"/>
      <c r="H1607"/>
      <c r="I1607"/>
      <c r="J1607"/>
    </row>
    <row r="1608" spans="1:10" x14ac:dyDescent="0.35">
      <c r="A1608"/>
      <c r="B1608"/>
      <c r="C1608"/>
      <c r="D1608"/>
      <c r="E1608"/>
      <c r="F1608"/>
      <c r="G1608"/>
      <c r="H1608"/>
      <c r="I1608"/>
      <c r="J1608"/>
    </row>
    <row r="1609" spans="1:10" x14ac:dyDescent="0.35">
      <c r="A1609"/>
      <c r="B1609"/>
      <c r="C1609"/>
      <c r="D1609"/>
      <c r="E1609"/>
      <c r="F1609"/>
      <c r="G1609"/>
      <c r="H1609"/>
      <c r="I1609"/>
      <c r="J1609"/>
    </row>
    <row r="1610" spans="1:10" x14ac:dyDescent="0.35">
      <c r="A1610"/>
      <c r="B1610"/>
      <c r="C1610"/>
      <c r="D1610"/>
      <c r="E1610"/>
      <c r="F1610"/>
      <c r="G1610"/>
      <c r="H1610"/>
      <c r="I1610"/>
      <c r="J1610"/>
    </row>
    <row r="1611" spans="1:10" x14ac:dyDescent="0.35">
      <c r="A1611"/>
      <c r="B1611"/>
      <c r="C1611"/>
      <c r="D1611"/>
      <c r="E1611"/>
      <c r="F1611"/>
      <c r="G1611"/>
      <c r="H1611"/>
      <c r="I1611"/>
      <c r="J1611"/>
    </row>
    <row r="1612" spans="1:10" x14ac:dyDescent="0.35">
      <c r="A1612"/>
      <c r="B1612"/>
      <c r="C1612"/>
      <c r="D1612"/>
      <c r="E1612"/>
      <c r="F1612"/>
      <c r="G1612"/>
      <c r="H1612"/>
      <c r="I1612"/>
      <c r="J1612"/>
    </row>
    <row r="1613" spans="1:10" x14ac:dyDescent="0.35">
      <c r="A1613"/>
      <c r="B1613"/>
      <c r="C1613"/>
      <c r="D1613"/>
      <c r="E1613"/>
      <c r="F1613"/>
      <c r="G1613"/>
      <c r="H1613"/>
      <c r="I1613"/>
      <c r="J1613"/>
    </row>
    <row r="1614" spans="1:10" x14ac:dyDescent="0.35">
      <c r="A1614"/>
      <c r="B1614"/>
      <c r="C1614"/>
      <c r="D1614"/>
      <c r="E1614"/>
      <c r="F1614"/>
      <c r="G1614"/>
      <c r="H1614"/>
      <c r="I1614"/>
      <c r="J1614"/>
    </row>
    <row r="1615" spans="1:10" x14ac:dyDescent="0.35">
      <c r="A1615"/>
      <c r="B1615"/>
      <c r="C1615"/>
      <c r="D1615"/>
      <c r="E1615"/>
      <c r="F1615"/>
      <c r="G1615"/>
      <c r="H1615"/>
      <c r="I1615"/>
      <c r="J1615"/>
    </row>
    <row r="1616" spans="1:10" x14ac:dyDescent="0.35">
      <c r="A1616"/>
      <c r="B1616"/>
      <c r="C1616"/>
      <c r="D1616"/>
      <c r="E1616"/>
      <c r="F1616"/>
      <c r="G1616"/>
      <c r="H1616"/>
      <c r="I1616"/>
      <c r="J1616"/>
    </row>
    <row r="1617" spans="1:10" x14ac:dyDescent="0.35">
      <c r="A1617"/>
      <c r="B1617"/>
      <c r="C1617"/>
      <c r="D1617"/>
      <c r="E1617"/>
      <c r="F1617"/>
      <c r="G1617"/>
      <c r="H1617"/>
      <c r="I1617"/>
      <c r="J1617"/>
    </row>
    <row r="1618" spans="1:10" x14ac:dyDescent="0.35">
      <c r="A1618"/>
      <c r="B1618"/>
      <c r="C1618"/>
      <c r="D1618"/>
      <c r="E1618"/>
      <c r="F1618"/>
      <c r="G1618"/>
      <c r="H1618"/>
      <c r="I1618"/>
      <c r="J1618"/>
    </row>
    <row r="1619" spans="1:10" x14ac:dyDescent="0.35">
      <c r="A1619"/>
      <c r="B1619"/>
      <c r="C1619"/>
      <c r="D1619"/>
      <c r="E1619"/>
      <c r="F1619"/>
      <c r="G1619"/>
      <c r="H1619"/>
      <c r="I1619"/>
      <c r="J1619"/>
    </row>
    <row r="1620" spans="1:10" x14ac:dyDescent="0.35">
      <c r="A1620"/>
      <c r="B1620"/>
      <c r="C1620"/>
      <c r="D1620"/>
      <c r="E1620"/>
      <c r="F1620"/>
      <c r="G1620"/>
      <c r="H1620"/>
      <c r="I1620"/>
      <c r="J1620"/>
    </row>
    <row r="1621" spans="1:10" x14ac:dyDescent="0.35">
      <c r="A1621"/>
      <c r="B1621"/>
      <c r="C1621"/>
      <c r="D1621"/>
      <c r="E1621"/>
      <c r="F1621"/>
      <c r="G1621"/>
      <c r="H1621"/>
      <c r="I1621"/>
      <c r="J1621"/>
    </row>
    <row r="1622" spans="1:10" x14ac:dyDescent="0.35">
      <c r="A1622"/>
      <c r="B1622"/>
      <c r="C1622"/>
      <c r="D1622"/>
      <c r="E1622"/>
      <c r="F1622"/>
      <c r="G1622"/>
      <c r="H1622"/>
      <c r="I1622"/>
      <c r="J1622"/>
    </row>
    <row r="1623" spans="1:10" x14ac:dyDescent="0.35">
      <c r="A1623"/>
      <c r="B1623"/>
      <c r="C1623"/>
      <c r="D1623"/>
      <c r="E1623"/>
      <c r="F1623"/>
      <c r="G1623"/>
      <c r="H1623"/>
      <c r="I1623"/>
      <c r="J1623"/>
    </row>
    <row r="1624" spans="1:10" x14ac:dyDescent="0.35">
      <c r="A1624"/>
      <c r="B1624"/>
      <c r="C1624"/>
      <c r="D1624"/>
      <c r="E1624"/>
      <c r="F1624"/>
      <c r="G1624"/>
      <c r="H1624"/>
      <c r="I1624"/>
      <c r="J1624"/>
    </row>
    <row r="1625" spans="1:10" x14ac:dyDescent="0.35">
      <c r="A1625"/>
      <c r="B1625"/>
      <c r="C1625"/>
      <c r="D1625"/>
      <c r="E1625"/>
      <c r="F1625"/>
      <c r="G1625"/>
      <c r="H1625"/>
      <c r="I1625"/>
      <c r="J1625"/>
    </row>
    <row r="1626" spans="1:10" x14ac:dyDescent="0.35">
      <c r="A1626"/>
      <c r="B1626"/>
      <c r="C1626"/>
      <c r="D1626"/>
      <c r="E1626"/>
      <c r="F1626"/>
      <c r="G1626"/>
      <c r="H1626"/>
      <c r="I1626"/>
      <c r="J1626"/>
    </row>
    <row r="1627" spans="1:10" x14ac:dyDescent="0.35">
      <c r="A1627"/>
      <c r="B1627"/>
      <c r="C1627"/>
      <c r="D1627"/>
      <c r="E1627"/>
      <c r="F1627"/>
      <c r="G1627"/>
      <c r="H1627"/>
      <c r="I1627"/>
      <c r="J1627"/>
    </row>
    <row r="1628" spans="1:10" x14ac:dyDescent="0.35">
      <c r="A1628"/>
      <c r="B1628"/>
      <c r="C1628"/>
      <c r="D1628"/>
      <c r="E1628"/>
      <c r="F1628"/>
      <c r="G1628"/>
      <c r="H1628"/>
      <c r="I1628"/>
      <c r="J1628"/>
    </row>
    <row r="1629" spans="1:10" x14ac:dyDescent="0.35">
      <c r="A1629"/>
      <c r="B1629"/>
      <c r="C1629"/>
      <c r="D1629"/>
      <c r="E1629"/>
      <c r="F1629"/>
      <c r="G1629"/>
      <c r="H1629"/>
      <c r="I1629"/>
      <c r="J1629"/>
    </row>
    <row r="1630" spans="1:10" x14ac:dyDescent="0.35">
      <c r="A1630"/>
      <c r="B1630"/>
      <c r="C1630"/>
      <c r="D1630"/>
      <c r="E1630"/>
      <c r="F1630"/>
      <c r="G1630"/>
      <c r="H1630"/>
      <c r="I1630"/>
      <c r="J1630"/>
    </row>
    <row r="1631" spans="1:10" x14ac:dyDescent="0.35">
      <c r="A1631"/>
      <c r="B1631"/>
      <c r="C1631"/>
      <c r="D1631"/>
      <c r="E1631"/>
      <c r="F1631"/>
      <c r="G1631"/>
      <c r="H1631"/>
      <c r="I1631"/>
      <c r="J1631"/>
    </row>
    <row r="1632" spans="1:10" x14ac:dyDescent="0.35">
      <c r="A1632"/>
      <c r="B1632"/>
      <c r="C1632"/>
      <c r="D1632"/>
      <c r="E1632"/>
      <c r="F1632"/>
      <c r="G1632"/>
      <c r="H1632"/>
      <c r="I1632"/>
      <c r="J1632"/>
    </row>
    <row r="1633" spans="1:10" x14ac:dyDescent="0.35">
      <c r="A1633"/>
      <c r="B1633"/>
      <c r="C1633"/>
      <c r="D1633"/>
      <c r="E1633"/>
      <c r="F1633"/>
      <c r="G1633"/>
      <c r="H1633"/>
      <c r="I1633"/>
      <c r="J1633"/>
    </row>
    <row r="1634" spans="1:10" x14ac:dyDescent="0.35">
      <c r="A1634"/>
      <c r="B1634"/>
      <c r="C1634"/>
      <c r="D1634"/>
      <c r="E1634"/>
      <c r="F1634"/>
      <c r="G1634"/>
      <c r="H1634"/>
      <c r="I1634"/>
      <c r="J1634"/>
    </row>
    <row r="1635" spans="1:10" x14ac:dyDescent="0.35">
      <c r="A1635"/>
      <c r="B1635"/>
      <c r="C1635"/>
      <c r="D1635"/>
      <c r="E1635"/>
      <c r="F1635"/>
      <c r="G1635"/>
      <c r="H1635"/>
      <c r="I1635"/>
      <c r="J1635"/>
    </row>
    <row r="1636" spans="1:10" x14ac:dyDescent="0.35">
      <c r="A1636"/>
      <c r="B1636"/>
      <c r="C1636"/>
      <c r="D1636"/>
      <c r="E1636"/>
      <c r="F1636"/>
      <c r="G1636"/>
      <c r="H1636"/>
      <c r="I1636"/>
      <c r="J1636"/>
    </row>
    <row r="1637" spans="1:10" x14ac:dyDescent="0.35">
      <c r="A1637"/>
      <c r="B1637"/>
      <c r="C1637"/>
      <c r="D1637"/>
      <c r="E1637"/>
      <c r="F1637"/>
      <c r="G1637"/>
      <c r="H1637"/>
      <c r="I1637"/>
      <c r="J1637"/>
    </row>
    <row r="1638" spans="1:10" x14ac:dyDescent="0.35">
      <c r="A1638"/>
      <c r="B1638"/>
      <c r="C1638"/>
      <c r="D1638"/>
      <c r="E1638"/>
      <c r="F1638"/>
      <c r="G1638"/>
      <c r="H1638"/>
      <c r="I1638"/>
      <c r="J1638"/>
    </row>
    <row r="1639" spans="1:10" x14ac:dyDescent="0.35">
      <c r="A1639"/>
      <c r="B1639"/>
      <c r="C1639"/>
      <c r="D1639"/>
      <c r="E1639"/>
      <c r="F1639"/>
      <c r="G1639"/>
      <c r="H1639"/>
      <c r="I1639"/>
      <c r="J1639"/>
    </row>
    <row r="1640" spans="1:10" x14ac:dyDescent="0.35">
      <c r="A1640"/>
      <c r="B1640"/>
      <c r="C1640"/>
      <c r="D1640"/>
      <c r="E1640"/>
      <c r="F1640"/>
      <c r="G1640"/>
      <c r="H1640"/>
      <c r="I1640"/>
      <c r="J1640"/>
    </row>
    <row r="1641" spans="1:10" x14ac:dyDescent="0.35">
      <c r="A1641"/>
      <c r="B1641"/>
      <c r="C1641"/>
      <c r="D1641"/>
      <c r="E1641"/>
      <c r="F1641"/>
      <c r="G1641"/>
      <c r="H1641"/>
      <c r="I1641"/>
      <c r="J1641"/>
    </row>
    <row r="1642" spans="1:10" x14ac:dyDescent="0.35">
      <c r="A1642"/>
      <c r="B1642"/>
      <c r="C1642"/>
      <c r="D1642"/>
      <c r="E1642"/>
      <c r="F1642"/>
      <c r="G1642"/>
      <c r="H1642"/>
      <c r="I1642"/>
      <c r="J1642"/>
    </row>
    <row r="1643" spans="1:10" x14ac:dyDescent="0.35">
      <c r="A1643"/>
      <c r="B1643"/>
      <c r="C1643"/>
      <c r="D1643"/>
      <c r="E1643"/>
      <c r="F1643"/>
      <c r="G1643"/>
      <c r="H1643"/>
      <c r="I1643"/>
      <c r="J1643"/>
    </row>
    <row r="1644" spans="1:10" x14ac:dyDescent="0.35">
      <c r="A1644"/>
      <c r="B1644"/>
      <c r="C1644"/>
      <c r="D1644"/>
      <c r="E1644"/>
      <c r="F1644"/>
      <c r="G1644"/>
      <c r="H1644"/>
      <c r="I1644"/>
      <c r="J1644"/>
    </row>
    <row r="1645" spans="1:10" x14ac:dyDescent="0.35">
      <c r="A1645"/>
      <c r="B1645"/>
      <c r="C1645"/>
      <c r="D1645"/>
      <c r="E1645"/>
      <c r="F1645"/>
      <c r="G1645"/>
      <c r="H1645"/>
      <c r="I1645"/>
      <c r="J1645"/>
    </row>
    <row r="1646" spans="1:10" x14ac:dyDescent="0.35">
      <c r="A1646"/>
      <c r="B1646"/>
      <c r="C1646"/>
      <c r="D1646"/>
      <c r="E1646"/>
      <c r="F1646"/>
      <c r="G1646"/>
      <c r="H1646"/>
      <c r="I1646"/>
      <c r="J1646"/>
    </row>
    <row r="1647" spans="1:10" x14ac:dyDescent="0.35">
      <c r="A1647"/>
      <c r="B1647"/>
      <c r="C1647"/>
      <c r="D1647"/>
      <c r="E1647"/>
      <c r="F1647"/>
      <c r="G1647"/>
      <c r="H1647"/>
      <c r="I1647"/>
      <c r="J1647"/>
    </row>
    <row r="1648" spans="1:10" x14ac:dyDescent="0.35">
      <c r="A1648"/>
      <c r="B1648"/>
      <c r="C1648"/>
      <c r="D1648"/>
      <c r="E1648"/>
      <c r="F1648"/>
      <c r="G1648"/>
      <c r="H1648"/>
      <c r="I1648"/>
      <c r="J1648"/>
    </row>
    <row r="1649" spans="1:10" x14ac:dyDescent="0.35">
      <c r="A1649"/>
      <c r="B1649"/>
      <c r="C1649"/>
      <c r="D1649"/>
      <c r="E1649"/>
      <c r="F1649"/>
      <c r="G1649"/>
      <c r="H1649"/>
      <c r="I1649"/>
      <c r="J1649"/>
    </row>
    <row r="1650" spans="1:10" x14ac:dyDescent="0.35">
      <c r="A1650"/>
      <c r="B1650"/>
      <c r="C1650"/>
      <c r="D1650"/>
      <c r="E1650"/>
      <c r="F1650"/>
      <c r="G1650"/>
      <c r="H1650"/>
      <c r="I1650"/>
      <c r="J1650"/>
    </row>
    <row r="1651" spans="1:10" x14ac:dyDescent="0.35">
      <c r="A1651"/>
      <c r="B1651"/>
      <c r="C1651"/>
      <c r="D1651"/>
      <c r="E1651"/>
      <c r="F1651"/>
      <c r="G1651"/>
      <c r="H1651"/>
      <c r="I1651"/>
      <c r="J1651"/>
    </row>
    <row r="1652" spans="1:10" x14ac:dyDescent="0.35">
      <c r="A1652"/>
      <c r="B1652"/>
      <c r="C1652"/>
      <c r="D1652"/>
      <c r="E1652"/>
      <c r="F1652"/>
      <c r="G1652"/>
      <c r="H1652"/>
      <c r="I1652"/>
      <c r="J1652"/>
    </row>
    <row r="1653" spans="1:10" x14ac:dyDescent="0.35">
      <c r="A1653"/>
      <c r="B1653"/>
      <c r="C1653"/>
      <c r="D1653"/>
      <c r="E1653"/>
      <c r="F1653"/>
      <c r="G1653"/>
      <c r="H1653"/>
      <c r="I1653"/>
      <c r="J1653"/>
    </row>
    <row r="1654" spans="1:10" x14ac:dyDescent="0.35">
      <c r="A1654"/>
      <c r="B1654"/>
      <c r="C1654"/>
      <c r="D1654"/>
      <c r="E1654"/>
      <c r="F1654"/>
      <c r="G1654"/>
      <c r="H1654"/>
      <c r="I1654"/>
      <c r="J1654"/>
    </row>
    <row r="1655" spans="1:10" x14ac:dyDescent="0.35">
      <c r="A1655"/>
      <c r="B1655"/>
      <c r="C1655"/>
      <c r="D1655"/>
      <c r="E1655"/>
      <c r="F1655"/>
      <c r="G1655"/>
      <c r="H1655"/>
      <c r="I1655"/>
      <c r="J1655"/>
    </row>
    <row r="1656" spans="1:10" x14ac:dyDescent="0.35">
      <c r="A1656"/>
      <c r="B1656"/>
      <c r="C1656"/>
      <c r="D1656"/>
      <c r="E1656"/>
      <c r="F1656"/>
      <c r="G1656"/>
      <c r="H1656"/>
      <c r="I1656"/>
      <c r="J1656"/>
    </row>
    <row r="1657" spans="1:10" x14ac:dyDescent="0.35">
      <c r="A1657"/>
      <c r="B1657"/>
      <c r="C1657"/>
      <c r="D1657"/>
      <c r="E1657"/>
      <c r="F1657"/>
      <c r="G1657"/>
      <c r="H1657"/>
      <c r="I1657"/>
      <c r="J1657"/>
    </row>
    <row r="1658" spans="1:10" x14ac:dyDescent="0.35">
      <c r="A1658"/>
      <c r="B1658"/>
      <c r="C1658"/>
      <c r="D1658"/>
      <c r="E1658"/>
      <c r="F1658"/>
      <c r="G1658"/>
      <c r="H1658"/>
      <c r="I1658"/>
      <c r="J1658"/>
    </row>
    <row r="1659" spans="1:10" x14ac:dyDescent="0.35">
      <c r="A1659"/>
      <c r="B1659"/>
      <c r="C1659"/>
      <c r="D1659"/>
      <c r="E1659"/>
      <c r="F1659"/>
      <c r="G1659"/>
      <c r="H1659"/>
      <c r="I1659"/>
      <c r="J1659"/>
    </row>
    <row r="1660" spans="1:10" x14ac:dyDescent="0.35">
      <c r="A1660"/>
      <c r="B1660"/>
      <c r="C1660"/>
      <c r="D1660"/>
      <c r="E1660"/>
      <c r="F1660"/>
      <c r="G1660"/>
      <c r="H1660"/>
      <c r="I1660"/>
      <c r="J1660"/>
    </row>
    <row r="1661" spans="1:10" x14ac:dyDescent="0.35">
      <c r="A1661"/>
      <c r="B1661"/>
      <c r="C1661"/>
      <c r="D1661"/>
      <c r="E1661"/>
      <c r="F1661"/>
      <c r="G1661"/>
      <c r="H1661"/>
      <c r="I1661"/>
      <c r="J1661"/>
    </row>
    <row r="1662" spans="1:10" x14ac:dyDescent="0.35">
      <c r="A1662"/>
      <c r="B1662"/>
      <c r="C1662"/>
      <c r="D1662"/>
      <c r="E1662"/>
      <c r="F1662"/>
      <c r="G1662"/>
      <c r="H1662"/>
      <c r="I1662"/>
      <c r="J1662"/>
    </row>
    <row r="1663" spans="1:10" x14ac:dyDescent="0.35">
      <c r="A1663"/>
      <c r="B1663"/>
      <c r="C1663"/>
      <c r="D1663"/>
      <c r="E1663"/>
      <c r="F1663"/>
      <c r="G1663"/>
      <c r="H1663"/>
      <c r="I1663"/>
      <c r="J1663"/>
    </row>
    <row r="1664" spans="1:10" x14ac:dyDescent="0.35">
      <c r="A1664"/>
      <c r="B1664"/>
      <c r="C1664"/>
      <c r="D1664"/>
      <c r="E1664"/>
      <c r="F1664"/>
      <c r="G1664"/>
      <c r="H1664"/>
      <c r="I1664"/>
      <c r="J1664"/>
    </row>
    <row r="1665" spans="1:10" x14ac:dyDescent="0.35">
      <c r="A1665"/>
      <c r="B1665"/>
      <c r="C1665"/>
      <c r="D1665"/>
      <c r="E1665"/>
      <c r="F1665"/>
      <c r="G1665"/>
      <c r="H1665"/>
      <c r="I1665"/>
      <c r="J1665"/>
    </row>
    <row r="1666" spans="1:10" x14ac:dyDescent="0.35">
      <c r="A1666"/>
      <c r="B1666"/>
      <c r="C1666"/>
      <c r="D1666"/>
      <c r="E1666"/>
      <c r="F1666"/>
      <c r="G1666"/>
      <c r="H1666"/>
      <c r="I1666"/>
      <c r="J1666"/>
    </row>
    <row r="1667" spans="1:10" x14ac:dyDescent="0.35">
      <c r="A1667"/>
      <c r="B1667"/>
      <c r="C1667"/>
      <c r="D1667"/>
      <c r="E1667"/>
      <c r="F1667"/>
      <c r="G1667"/>
      <c r="H1667"/>
      <c r="I1667"/>
      <c r="J1667"/>
    </row>
    <row r="1668" spans="1:10" x14ac:dyDescent="0.35">
      <c r="A1668"/>
      <c r="B1668"/>
      <c r="C1668"/>
      <c r="D1668"/>
      <c r="E1668"/>
      <c r="F1668"/>
      <c r="G1668"/>
      <c r="H1668"/>
      <c r="I1668"/>
      <c r="J1668"/>
    </row>
    <row r="1669" spans="1:10" x14ac:dyDescent="0.35">
      <c r="A1669"/>
      <c r="B1669"/>
      <c r="C1669"/>
      <c r="D1669"/>
      <c r="E1669"/>
      <c r="F1669"/>
      <c r="G1669"/>
      <c r="H1669"/>
      <c r="I1669"/>
      <c r="J1669"/>
    </row>
    <row r="1670" spans="1:10" x14ac:dyDescent="0.35">
      <c r="A1670"/>
      <c r="B1670"/>
      <c r="C1670"/>
      <c r="D1670"/>
      <c r="E1670"/>
      <c r="F1670"/>
      <c r="G1670"/>
      <c r="H1670"/>
      <c r="I1670"/>
      <c r="J1670"/>
    </row>
    <row r="1671" spans="1:10" x14ac:dyDescent="0.35">
      <c r="A1671"/>
      <c r="B1671"/>
      <c r="C1671"/>
      <c r="D1671"/>
      <c r="E1671"/>
      <c r="F1671"/>
      <c r="G1671"/>
      <c r="H1671"/>
      <c r="I1671"/>
      <c r="J1671"/>
    </row>
    <row r="1672" spans="1:10" x14ac:dyDescent="0.35">
      <c r="A1672"/>
      <c r="B1672"/>
      <c r="C1672"/>
      <c r="D1672"/>
      <c r="E1672"/>
      <c r="F1672"/>
      <c r="G1672"/>
      <c r="H1672"/>
      <c r="I1672"/>
      <c r="J1672"/>
    </row>
    <row r="1673" spans="1:10" x14ac:dyDescent="0.35">
      <c r="A1673"/>
      <c r="B1673"/>
      <c r="C1673"/>
      <c r="D1673"/>
      <c r="E1673"/>
      <c r="F1673"/>
      <c r="G1673"/>
      <c r="H1673"/>
      <c r="I1673"/>
      <c r="J1673"/>
    </row>
    <row r="1674" spans="1:10" x14ac:dyDescent="0.35">
      <c r="A1674"/>
      <c r="B1674"/>
      <c r="C1674"/>
      <c r="D1674"/>
      <c r="E1674"/>
      <c r="F1674"/>
      <c r="G1674"/>
      <c r="H1674"/>
      <c r="I1674"/>
      <c r="J1674"/>
    </row>
    <row r="1675" spans="1:10" x14ac:dyDescent="0.35">
      <c r="A1675"/>
      <c r="B1675"/>
      <c r="C1675"/>
      <c r="D1675"/>
      <c r="E1675"/>
      <c r="F1675"/>
      <c r="G1675"/>
      <c r="H1675"/>
      <c r="I1675"/>
      <c r="J1675"/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1048576"/>
    </sheetView>
  </sheetViews>
  <sheetFormatPr baseColWidth="10" defaultColWidth="8.7265625" defaultRowHeight="14.5" x14ac:dyDescent="0.35"/>
  <cols>
    <col min="1" max="1" width="19.26953125" style="178" bestFit="1" customWidth="1"/>
    <col min="2" max="2" width="24.6328125" style="178" customWidth="1"/>
    <col min="3" max="3" width="8.7265625" style="178"/>
    <col min="4" max="4" width="11.6328125" style="178" bestFit="1" customWidth="1"/>
    <col min="5" max="16384" width="8.7265625" style="178"/>
  </cols>
  <sheetData>
    <row r="1" spans="1:7" x14ac:dyDescent="0.35">
      <c r="A1"/>
      <c r="B1"/>
      <c r="C1"/>
      <c r="D1"/>
      <c r="E1"/>
      <c r="F1"/>
      <c r="G1"/>
    </row>
    <row r="2" spans="1:7" x14ac:dyDescent="0.35">
      <c r="A2"/>
      <c r="B2"/>
      <c r="C2"/>
      <c r="D2"/>
      <c r="E2"/>
      <c r="F2"/>
      <c r="G2"/>
    </row>
    <row r="3" spans="1:7" x14ac:dyDescent="0.35">
      <c r="A3"/>
      <c r="B3"/>
      <c r="C3"/>
      <c r="D3"/>
      <c r="E3"/>
      <c r="F3"/>
      <c r="G3"/>
    </row>
    <row r="4" spans="1:7" x14ac:dyDescent="0.35">
      <c r="A4"/>
      <c r="B4"/>
      <c r="C4"/>
      <c r="D4"/>
      <c r="E4"/>
      <c r="F4"/>
      <c r="G4"/>
    </row>
    <row r="5" spans="1:7" x14ac:dyDescent="0.35">
      <c r="A5"/>
      <c r="B5"/>
      <c r="C5"/>
      <c r="D5"/>
      <c r="E5"/>
      <c r="F5"/>
      <c r="G5"/>
    </row>
    <row r="6" spans="1:7" x14ac:dyDescent="0.35">
      <c r="A6"/>
      <c r="B6"/>
      <c r="C6"/>
      <c r="D6"/>
      <c r="E6"/>
      <c r="F6"/>
      <c r="G6"/>
    </row>
    <row r="7" spans="1:7" x14ac:dyDescent="0.35">
      <c r="A7"/>
      <c r="B7"/>
      <c r="C7"/>
      <c r="D7"/>
      <c r="E7"/>
      <c r="F7"/>
      <c r="G7"/>
    </row>
    <row r="8" spans="1:7" x14ac:dyDescent="0.35">
      <c r="A8"/>
      <c r="B8"/>
      <c r="C8"/>
      <c r="D8"/>
      <c r="E8"/>
      <c r="F8"/>
      <c r="G8"/>
    </row>
    <row r="9" spans="1:7" x14ac:dyDescent="0.35">
      <c r="A9"/>
      <c r="B9"/>
      <c r="C9"/>
      <c r="D9"/>
      <c r="E9"/>
      <c r="F9"/>
      <c r="G9"/>
    </row>
    <row r="10" spans="1:7" x14ac:dyDescent="0.35">
      <c r="A10"/>
      <c r="B10"/>
      <c r="C10"/>
      <c r="D10"/>
      <c r="E10"/>
      <c r="F10"/>
      <c r="G10"/>
    </row>
    <row r="11" spans="1:7" x14ac:dyDescent="0.35">
      <c r="A11"/>
      <c r="B11"/>
      <c r="C11"/>
      <c r="D11"/>
      <c r="E11"/>
      <c r="F11"/>
      <c r="G11"/>
    </row>
    <row r="12" spans="1:7" x14ac:dyDescent="0.35">
      <c r="A12"/>
      <c r="B12"/>
      <c r="C12"/>
      <c r="D12"/>
      <c r="E12"/>
      <c r="F12"/>
      <c r="G12"/>
    </row>
    <row r="13" spans="1:7" x14ac:dyDescent="0.35">
      <c r="A13"/>
      <c r="B13"/>
      <c r="C13"/>
      <c r="D13"/>
      <c r="E13"/>
      <c r="F13"/>
      <c r="G13"/>
    </row>
    <row r="14" spans="1:7" x14ac:dyDescent="0.35">
      <c r="A14"/>
      <c r="B14"/>
      <c r="C14"/>
      <c r="D14"/>
      <c r="E14"/>
      <c r="F14"/>
      <c r="G14"/>
    </row>
    <row r="15" spans="1:7" x14ac:dyDescent="0.35">
      <c r="A15"/>
      <c r="B15"/>
      <c r="C15"/>
      <c r="D15"/>
      <c r="E15"/>
      <c r="F15"/>
      <c r="G15"/>
    </row>
    <row r="16" spans="1:7" x14ac:dyDescent="0.35">
      <c r="A16"/>
      <c r="B16"/>
      <c r="C16"/>
      <c r="D16"/>
      <c r="E16"/>
      <c r="F16"/>
      <c r="G16"/>
    </row>
    <row r="17" spans="1:7" x14ac:dyDescent="0.35">
      <c r="A17"/>
      <c r="B17"/>
      <c r="C17"/>
      <c r="D17"/>
      <c r="E17"/>
      <c r="F17"/>
      <c r="G17"/>
    </row>
    <row r="18" spans="1:7" x14ac:dyDescent="0.35">
      <c r="A18"/>
      <c r="B18"/>
      <c r="C18"/>
      <c r="D18"/>
      <c r="E18"/>
      <c r="F18"/>
      <c r="G18"/>
    </row>
    <row r="19" spans="1:7" x14ac:dyDescent="0.35">
      <c r="A19"/>
      <c r="B19"/>
      <c r="C19"/>
      <c r="D19"/>
      <c r="E19"/>
      <c r="F19"/>
      <c r="G19"/>
    </row>
    <row r="20" spans="1:7" x14ac:dyDescent="0.35">
      <c r="A20"/>
      <c r="B20"/>
      <c r="C20"/>
      <c r="D20"/>
      <c r="E20"/>
      <c r="F20"/>
      <c r="G20"/>
    </row>
    <row r="21" spans="1:7" x14ac:dyDescent="0.35">
      <c r="A21"/>
      <c r="B21"/>
      <c r="C21"/>
      <c r="D21"/>
      <c r="E21"/>
      <c r="F21"/>
      <c r="G21"/>
    </row>
    <row r="22" spans="1:7" x14ac:dyDescent="0.35">
      <c r="A22"/>
      <c r="B22"/>
      <c r="C22"/>
      <c r="D22"/>
      <c r="E22"/>
      <c r="F22"/>
      <c r="G22"/>
    </row>
    <row r="23" spans="1:7" x14ac:dyDescent="0.35">
      <c r="A23"/>
      <c r="B23"/>
      <c r="C23"/>
      <c r="D23"/>
      <c r="E23"/>
      <c r="F23"/>
      <c r="G23"/>
    </row>
    <row r="24" spans="1:7" x14ac:dyDescent="0.35">
      <c r="A24"/>
      <c r="B24"/>
      <c r="C24"/>
      <c r="D24"/>
      <c r="E24"/>
      <c r="F24"/>
      <c r="G24"/>
    </row>
    <row r="25" spans="1:7" x14ac:dyDescent="0.35">
      <c r="A25"/>
      <c r="B25"/>
      <c r="C25"/>
      <c r="D25"/>
      <c r="E25"/>
      <c r="F25"/>
      <c r="G25"/>
    </row>
    <row r="26" spans="1:7" x14ac:dyDescent="0.35">
      <c r="A26"/>
      <c r="B26"/>
      <c r="C26"/>
      <c r="D26"/>
      <c r="E26"/>
      <c r="F26"/>
      <c r="G26"/>
    </row>
    <row r="27" spans="1:7" x14ac:dyDescent="0.35">
      <c r="A27"/>
      <c r="B27"/>
      <c r="C27"/>
      <c r="D27"/>
      <c r="E27"/>
      <c r="F27"/>
      <c r="G27"/>
    </row>
    <row r="28" spans="1:7" x14ac:dyDescent="0.35">
      <c r="A28"/>
      <c r="B28"/>
      <c r="C28"/>
      <c r="D28"/>
      <c r="E28"/>
      <c r="F28"/>
      <c r="G28"/>
    </row>
    <row r="29" spans="1:7" x14ac:dyDescent="0.35">
      <c r="A29"/>
      <c r="B29"/>
      <c r="C29"/>
      <c r="D29"/>
      <c r="E29"/>
      <c r="F29"/>
      <c r="G29"/>
    </row>
    <row r="30" spans="1:7" x14ac:dyDescent="0.35">
      <c r="A30"/>
      <c r="B30"/>
      <c r="C30"/>
      <c r="D30"/>
      <c r="E30"/>
      <c r="F30"/>
      <c r="G30"/>
    </row>
    <row r="31" spans="1:7" x14ac:dyDescent="0.35">
      <c r="A31"/>
      <c r="B31"/>
      <c r="C31"/>
      <c r="D31"/>
      <c r="E31"/>
      <c r="F31"/>
      <c r="G31"/>
    </row>
    <row r="32" spans="1:7" x14ac:dyDescent="0.35">
      <c r="A32"/>
      <c r="B32"/>
      <c r="C32"/>
      <c r="D32"/>
      <c r="E32"/>
      <c r="F32"/>
      <c r="G32"/>
    </row>
    <row r="33" spans="1:7" x14ac:dyDescent="0.35">
      <c r="A33"/>
      <c r="B33"/>
      <c r="C33"/>
      <c r="D33"/>
      <c r="E33"/>
      <c r="F33"/>
      <c r="G33"/>
    </row>
    <row r="34" spans="1:7" x14ac:dyDescent="0.35">
      <c r="A34"/>
      <c r="B34"/>
      <c r="C34"/>
      <c r="D34"/>
      <c r="E34"/>
      <c r="F34"/>
      <c r="G34"/>
    </row>
    <row r="35" spans="1:7" x14ac:dyDescent="0.35">
      <c r="A35"/>
      <c r="B35"/>
      <c r="C35"/>
      <c r="D35"/>
      <c r="E35"/>
      <c r="F35"/>
      <c r="G35"/>
    </row>
    <row r="36" spans="1:7" x14ac:dyDescent="0.35">
      <c r="A36"/>
      <c r="B36"/>
      <c r="C36"/>
      <c r="D36"/>
      <c r="E36"/>
      <c r="F36"/>
      <c r="G36"/>
    </row>
    <row r="37" spans="1:7" x14ac:dyDescent="0.35">
      <c r="A37"/>
      <c r="B37"/>
      <c r="C37"/>
      <c r="D37"/>
      <c r="E37"/>
      <c r="F37"/>
      <c r="G37"/>
    </row>
    <row r="38" spans="1:7" x14ac:dyDescent="0.35">
      <c r="A38"/>
      <c r="B38"/>
      <c r="C38"/>
      <c r="D38"/>
      <c r="E38"/>
      <c r="F38"/>
      <c r="G38"/>
    </row>
    <row r="39" spans="1:7" x14ac:dyDescent="0.35">
      <c r="A39"/>
      <c r="B39"/>
      <c r="C39"/>
      <c r="D39"/>
      <c r="E39"/>
      <c r="F39"/>
      <c r="G39"/>
    </row>
    <row r="40" spans="1:7" x14ac:dyDescent="0.35">
      <c r="A40"/>
      <c r="B40"/>
      <c r="C40"/>
      <c r="D40"/>
      <c r="E40"/>
      <c r="F40"/>
      <c r="G40"/>
    </row>
    <row r="41" spans="1:7" x14ac:dyDescent="0.35">
      <c r="A41"/>
      <c r="B41"/>
      <c r="C41"/>
      <c r="D41"/>
      <c r="E41"/>
      <c r="F41"/>
      <c r="G41"/>
    </row>
    <row r="42" spans="1:7" x14ac:dyDescent="0.35">
      <c r="A42"/>
      <c r="B42"/>
      <c r="C42"/>
      <c r="D42"/>
      <c r="E42"/>
      <c r="F42"/>
      <c r="G42"/>
    </row>
    <row r="43" spans="1:7" x14ac:dyDescent="0.35">
      <c r="A43"/>
      <c r="B43"/>
      <c r="C43"/>
      <c r="D43"/>
      <c r="E43"/>
      <c r="F43"/>
      <c r="G43"/>
    </row>
    <row r="44" spans="1:7" x14ac:dyDescent="0.35">
      <c r="A44"/>
      <c r="B44"/>
      <c r="C44"/>
      <c r="D44"/>
      <c r="E44"/>
      <c r="F44"/>
      <c r="G44"/>
    </row>
    <row r="45" spans="1:7" x14ac:dyDescent="0.35">
      <c r="A45"/>
      <c r="B45"/>
      <c r="C45"/>
      <c r="D45"/>
      <c r="E45"/>
      <c r="F45"/>
      <c r="G45"/>
    </row>
    <row r="46" spans="1:7" x14ac:dyDescent="0.35">
      <c r="A46"/>
      <c r="B46"/>
      <c r="C46"/>
      <c r="D46"/>
      <c r="E46"/>
      <c r="F46"/>
      <c r="G46"/>
    </row>
    <row r="47" spans="1:7" x14ac:dyDescent="0.35">
      <c r="A47"/>
      <c r="B47"/>
      <c r="C47"/>
      <c r="D47"/>
      <c r="E47"/>
      <c r="F47"/>
      <c r="G47"/>
    </row>
    <row r="48" spans="1:7" x14ac:dyDescent="0.35">
      <c r="A48"/>
      <c r="B48"/>
      <c r="C48"/>
      <c r="D48"/>
      <c r="E48"/>
      <c r="F48"/>
      <c r="G48"/>
    </row>
    <row r="49" spans="1:7" x14ac:dyDescent="0.35">
      <c r="A49"/>
      <c r="B49"/>
      <c r="C49"/>
      <c r="D49"/>
      <c r="E49"/>
      <c r="F49"/>
      <c r="G49"/>
    </row>
    <row r="50" spans="1:7" x14ac:dyDescent="0.35">
      <c r="A50"/>
      <c r="B50"/>
      <c r="C50"/>
      <c r="D50"/>
      <c r="E50"/>
      <c r="F50"/>
      <c r="G50"/>
    </row>
    <row r="51" spans="1:7" x14ac:dyDescent="0.35">
      <c r="A51"/>
      <c r="B51"/>
      <c r="C51"/>
      <c r="D51"/>
      <c r="E51"/>
      <c r="F51"/>
      <c r="G51"/>
    </row>
    <row r="52" spans="1:7" x14ac:dyDescent="0.35">
      <c r="A52"/>
      <c r="B52"/>
      <c r="C52"/>
      <c r="D52"/>
      <c r="E52"/>
      <c r="F52"/>
      <c r="G52"/>
    </row>
    <row r="53" spans="1:7" x14ac:dyDescent="0.35">
      <c r="A53"/>
      <c r="B53"/>
      <c r="C53"/>
      <c r="D53"/>
      <c r="E53"/>
      <c r="F53"/>
      <c r="G53"/>
    </row>
    <row r="54" spans="1:7" x14ac:dyDescent="0.35">
      <c r="A54"/>
      <c r="B54"/>
      <c r="C54"/>
      <c r="D54"/>
      <c r="E54"/>
      <c r="F54"/>
      <c r="G54"/>
    </row>
    <row r="55" spans="1:7" x14ac:dyDescent="0.35">
      <c r="A55"/>
      <c r="B55"/>
      <c r="C55"/>
      <c r="D55"/>
      <c r="E55"/>
      <c r="F55"/>
      <c r="G55"/>
    </row>
    <row r="56" spans="1:7" x14ac:dyDescent="0.35">
      <c r="A56"/>
      <c r="B56"/>
      <c r="C56"/>
      <c r="D56"/>
      <c r="E56"/>
      <c r="F56"/>
      <c r="G56"/>
    </row>
    <row r="57" spans="1:7" x14ac:dyDescent="0.35">
      <c r="A57"/>
      <c r="B57"/>
      <c r="C57"/>
      <c r="D57"/>
      <c r="E57"/>
      <c r="F57"/>
      <c r="G57"/>
    </row>
    <row r="58" spans="1:7" x14ac:dyDescent="0.35">
      <c r="A58"/>
      <c r="B58"/>
      <c r="C58"/>
      <c r="D58"/>
      <c r="E58"/>
      <c r="F58"/>
      <c r="G58"/>
    </row>
    <row r="59" spans="1:7" x14ac:dyDescent="0.35">
      <c r="A59"/>
      <c r="B59"/>
      <c r="C59"/>
      <c r="D59"/>
      <c r="E59"/>
      <c r="F59"/>
      <c r="G59"/>
    </row>
    <row r="60" spans="1:7" x14ac:dyDescent="0.35">
      <c r="A60"/>
      <c r="B60"/>
      <c r="C60"/>
      <c r="D60"/>
      <c r="E60"/>
      <c r="F60"/>
      <c r="G60"/>
    </row>
    <row r="61" spans="1:7" x14ac:dyDescent="0.35">
      <c r="A61"/>
      <c r="B61"/>
      <c r="C61"/>
      <c r="D61"/>
      <c r="E61"/>
      <c r="F61"/>
      <c r="G61"/>
    </row>
    <row r="62" spans="1:7" x14ac:dyDescent="0.35">
      <c r="A62"/>
      <c r="B62"/>
      <c r="C62"/>
      <c r="D62"/>
      <c r="E62"/>
      <c r="F62"/>
      <c r="G62"/>
    </row>
    <row r="63" spans="1:7" x14ac:dyDescent="0.35">
      <c r="A63"/>
      <c r="B63"/>
      <c r="C63"/>
      <c r="D63"/>
      <c r="E63"/>
      <c r="F63"/>
      <c r="G63"/>
    </row>
    <row r="64" spans="1:7" x14ac:dyDescent="0.35">
      <c r="A64"/>
      <c r="B64"/>
      <c r="C64"/>
      <c r="D64"/>
      <c r="E64"/>
      <c r="F64"/>
      <c r="G64"/>
    </row>
    <row r="65" spans="1:7" x14ac:dyDescent="0.35">
      <c r="A65"/>
      <c r="B65"/>
      <c r="C65"/>
      <c r="D65"/>
      <c r="E65"/>
      <c r="F65"/>
      <c r="G65"/>
    </row>
    <row r="66" spans="1:7" x14ac:dyDescent="0.35">
      <c r="A66"/>
      <c r="B66"/>
      <c r="C66"/>
      <c r="D66"/>
      <c r="E66"/>
      <c r="F66"/>
      <c r="G66"/>
    </row>
    <row r="67" spans="1:7" x14ac:dyDescent="0.35">
      <c r="A67"/>
      <c r="B67"/>
      <c r="C67"/>
      <c r="D67"/>
      <c r="E67"/>
      <c r="F67"/>
      <c r="G67"/>
    </row>
    <row r="68" spans="1:7" x14ac:dyDescent="0.35">
      <c r="A68"/>
      <c r="B68"/>
      <c r="C68"/>
      <c r="D68"/>
      <c r="E68"/>
      <c r="F68"/>
      <c r="G68"/>
    </row>
    <row r="69" spans="1:7" x14ac:dyDescent="0.35">
      <c r="A69"/>
      <c r="B69"/>
      <c r="C69"/>
      <c r="D69"/>
      <c r="E69"/>
      <c r="F69"/>
      <c r="G69"/>
    </row>
    <row r="70" spans="1:7" x14ac:dyDescent="0.35">
      <c r="A70"/>
      <c r="B70"/>
      <c r="C70"/>
      <c r="D70"/>
      <c r="E70"/>
      <c r="F70"/>
      <c r="G70"/>
    </row>
    <row r="71" spans="1:7" x14ac:dyDescent="0.35">
      <c r="A71"/>
      <c r="B71"/>
      <c r="C71"/>
      <c r="D71"/>
      <c r="E71"/>
      <c r="F71"/>
      <c r="G71"/>
    </row>
    <row r="72" spans="1:7" x14ac:dyDescent="0.35">
      <c r="A72"/>
      <c r="B72"/>
      <c r="C72"/>
      <c r="D72"/>
      <c r="E72"/>
      <c r="F72"/>
      <c r="G72"/>
    </row>
    <row r="73" spans="1:7" x14ac:dyDescent="0.35">
      <c r="A73"/>
      <c r="B73"/>
      <c r="C73"/>
      <c r="D73"/>
      <c r="E73"/>
      <c r="F73"/>
      <c r="G73"/>
    </row>
    <row r="74" spans="1:7" x14ac:dyDescent="0.35">
      <c r="A74"/>
      <c r="B74"/>
      <c r="C74"/>
      <c r="D74"/>
      <c r="E74"/>
      <c r="F74"/>
      <c r="G74"/>
    </row>
    <row r="75" spans="1:7" x14ac:dyDescent="0.35">
      <c r="A75"/>
      <c r="B75"/>
      <c r="C75"/>
      <c r="D75"/>
      <c r="E75"/>
      <c r="F75"/>
      <c r="G75"/>
    </row>
    <row r="76" spans="1:7" x14ac:dyDescent="0.35">
      <c r="A76"/>
      <c r="B76"/>
      <c r="C76"/>
      <c r="D76"/>
      <c r="E76"/>
      <c r="F76"/>
      <c r="G76"/>
    </row>
    <row r="77" spans="1:7" x14ac:dyDescent="0.35">
      <c r="A77"/>
      <c r="B77"/>
      <c r="C77"/>
      <c r="D77"/>
      <c r="E77"/>
      <c r="F77"/>
      <c r="G77"/>
    </row>
    <row r="78" spans="1:7" x14ac:dyDescent="0.35">
      <c r="A78"/>
      <c r="B78"/>
      <c r="C78"/>
      <c r="D78"/>
      <c r="E78"/>
      <c r="F78"/>
      <c r="G78"/>
    </row>
    <row r="79" spans="1:7" x14ac:dyDescent="0.35">
      <c r="A79"/>
      <c r="B79"/>
      <c r="C79"/>
      <c r="D79"/>
      <c r="E79"/>
      <c r="F79"/>
      <c r="G79"/>
    </row>
    <row r="80" spans="1:7" x14ac:dyDescent="0.35">
      <c r="A80"/>
      <c r="B80"/>
      <c r="C80"/>
      <c r="D80"/>
      <c r="E80"/>
      <c r="F80"/>
      <c r="G80"/>
    </row>
    <row r="81" spans="1:7" x14ac:dyDescent="0.35">
      <c r="A81"/>
      <c r="B81"/>
      <c r="C81"/>
      <c r="D81"/>
      <c r="E81"/>
      <c r="F81"/>
      <c r="G81"/>
    </row>
    <row r="82" spans="1:7" x14ac:dyDescent="0.35">
      <c r="A82"/>
      <c r="B82"/>
      <c r="C82"/>
      <c r="D82"/>
      <c r="E82"/>
      <c r="F82"/>
      <c r="G82"/>
    </row>
    <row r="83" spans="1:7" x14ac:dyDescent="0.35">
      <c r="A83"/>
      <c r="B83"/>
      <c r="C83"/>
      <c r="D83"/>
      <c r="E83"/>
      <c r="F83"/>
      <c r="G83"/>
    </row>
    <row r="84" spans="1:7" x14ac:dyDescent="0.35">
      <c r="A84"/>
      <c r="B84"/>
      <c r="C84"/>
      <c r="D84"/>
      <c r="E84"/>
      <c r="F84"/>
      <c r="G84"/>
    </row>
    <row r="85" spans="1:7" x14ac:dyDescent="0.35">
      <c r="A85"/>
      <c r="B85"/>
      <c r="C85"/>
      <c r="D85"/>
      <c r="E85"/>
      <c r="F85"/>
      <c r="G85"/>
    </row>
    <row r="86" spans="1:7" x14ac:dyDescent="0.35">
      <c r="A86"/>
      <c r="B86"/>
      <c r="C86"/>
      <c r="D86"/>
      <c r="E86"/>
      <c r="F86"/>
      <c r="G86"/>
    </row>
    <row r="87" spans="1:7" x14ac:dyDescent="0.35">
      <c r="A87"/>
      <c r="B87"/>
      <c r="C87"/>
      <c r="D87"/>
      <c r="E87"/>
      <c r="F87"/>
      <c r="G87"/>
    </row>
    <row r="88" spans="1:7" x14ac:dyDescent="0.35">
      <c r="A88"/>
      <c r="B88"/>
      <c r="C88"/>
      <c r="D88"/>
      <c r="E88"/>
      <c r="F88"/>
      <c r="G88"/>
    </row>
    <row r="89" spans="1:7" x14ac:dyDescent="0.35">
      <c r="A89"/>
      <c r="B89"/>
      <c r="C89"/>
      <c r="D89"/>
      <c r="E89"/>
      <c r="F89"/>
      <c r="G89"/>
    </row>
    <row r="90" spans="1:7" x14ac:dyDescent="0.35">
      <c r="A90"/>
      <c r="B90"/>
      <c r="C90"/>
      <c r="D90"/>
      <c r="E90"/>
      <c r="F90"/>
      <c r="G90"/>
    </row>
    <row r="91" spans="1:7" x14ac:dyDescent="0.35">
      <c r="A91"/>
      <c r="B91"/>
      <c r="C91"/>
      <c r="D91"/>
      <c r="E91"/>
      <c r="F91"/>
      <c r="G91"/>
    </row>
    <row r="92" spans="1:7" x14ac:dyDescent="0.35">
      <c r="A92"/>
      <c r="B92"/>
      <c r="C92"/>
      <c r="D92"/>
      <c r="E92"/>
      <c r="F92"/>
      <c r="G92"/>
    </row>
    <row r="93" spans="1:7" x14ac:dyDescent="0.35">
      <c r="A93"/>
      <c r="B93"/>
      <c r="C93"/>
      <c r="D93"/>
      <c r="E93"/>
      <c r="F93"/>
      <c r="G93"/>
    </row>
    <row r="94" spans="1:7" x14ac:dyDescent="0.35">
      <c r="A94"/>
      <c r="B94"/>
      <c r="C94"/>
      <c r="D94"/>
      <c r="E94"/>
      <c r="F94"/>
      <c r="G94"/>
    </row>
    <row r="95" spans="1:7" x14ac:dyDescent="0.35">
      <c r="A95"/>
      <c r="B95"/>
      <c r="C95"/>
      <c r="D95"/>
      <c r="E95"/>
      <c r="F95"/>
      <c r="G95"/>
    </row>
    <row r="96" spans="1:7" x14ac:dyDescent="0.35">
      <c r="A96"/>
      <c r="B96"/>
      <c r="C96"/>
      <c r="D96"/>
      <c r="E96"/>
      <c r="F96"/>
      <c r="G96"/>
    </row>
    <row r="97" spans="1:7" x14ac:dyDescent="0.35">
      <c r="A97"/>
      <c r="B97"/>
      <c r="C97"/>
      <c r="D97"/>
      <c r="E97"/>
      <c r="F97"/>
      <c r="G97"/>
    </row>
    <row r="98" spans="1:7" x14ac:dyDescent="0.35">
      <c r="A98"/>
      <c r="B98"/>
      <c r="C98"/>
      <c r="D98"/>
      <c r="E98"/>
      <c r="F98"/>
      <c r="G98"/>
    </row>
    <row r="99" spans="1:7" x14ac:dyDescent="0.35">
      <c r="A99"/>
      <c r="B99"/>
      <c r="C99"/>
      <c r="D99"/>
      <c r="E99"/>
      <c r="F99"/>
      <c r="G99"/>
    </row>
    <row r="100" spans="1:7" x14ac:dyDescent="0.35">
      <c r="A100"/>
      <c r="B100"/>
      <c r="C100"/>
      <c r="D100"/>
      <c r="E100"/>
      <c r="F100"/>
      <c r="G100"/>
    </row>
    <row r="101" spans="1:7" x14ac:dyDescent="0.35">
      <c r="A101"/>
      <c r="B101"/>
      <c r="C101"/>
      <c r="D101"/>
      <c r="E101"/>
      <c r="F101"/>
      <c r="G101"/>
    </row>
    <row r="102" spans="1:7" x14ac:dyDescent="0.35">
      <c r="A102"/>
      <c r="B102"/>
      <c r="C102"/>
      <c r="D102"/>
      <c r="E102"/>
      <c r="F102"/>
      <c r="G102"/>
    </row>
    <row r="103" spans="1:7" x14ac:dyDescent="0.35">
      <c r="A103"/>
      <c r="B103"/>
      <c r="C103"/>
      <c r="D103"/>
      <c r="E103"/>
      <c r="F103"/>
      <c r="G103"/>
    </row>
    <row r="104" spans="1:7" x14ac:dyDescent="0.35">
      <c r="A104"/>
      <c r="B104"/>
      <c r="C104"/>
      <c r="D104"/>
      <c r="E104"/>
      <c r="F104"/>
      <c r="G104"/>
    </row>
    <row r="105" spans="1:7" x14ac:dyDescent="0.35">
      <c r="A105"/>
      <c r="B105"/>
      <c r="C105"/>
      <c r="D105"/>
      <c r="E105"/>
      <c r="F105"/>
      <c r="G105"/>
    </row>
    <row r="106" spans="1:7" x14ac:dyDescent="0.35">
      <c r="A106"/>
      <c r="B106"/>
      <c r="C106"/>
      <c r="D106"/>
      <c r="E106"/>
      <c r="F106"/>
      <c r="G106"/>
    </row>
    <row r="107" spans="1:7" x14ac:dyDescent="0.35">
      <c r="A107"/>
      <c r="B107"/>
      <c r="C107"/>
      <c r="D107"/>
      <c r="E107"/>
      <c r="F107"/>
      <c r="G107"/>
    </row>
    <row r="108" spans="1:7" x14ac:dyDescent="0.35">
      <c r="A108"/>
      <c r="B108"/>
      <c r="C108"/>
      <c r="D108"/>
      <c r="E108"/>
      <c r="F108"/>
      <c r="G108"/>
    </row>
    <row r="109" spans="1:7" x14ac:dyDescent="0.35">
      <c r="A109"/>
      <c r="B109"/>
      <c r="C109"/>
      <c r="D109"/>
      <c r="E109"/>
      <c r="F109"/>
      <c r="G109"/>
    </row>
    <row r="110" spans="1:7" x14ac:dyDescent="0.35">
      <c r="A110"/>
      <c r="B110"/>
      <c r="C110"/>
      <c r="D110"/>
      <c r="E110"/>
      <c r="F110"/>
      <c r="G110"/>
    </row>
    <row r="111" spans="1:7" x14ac:dyDescent="0.35">
      <c r="A111"/>
      <c r="B111"/>
      <c r="C111"/>
      <c r="D111"/>
      <c r="E111"/>
      <c r="F111"/>
      <c r="G111"/>
    </row>
    <row r="112" spans="1:7" x14ac:dyDescent="0.35">
      <c r="A112"/>
      <c r="B112"/>
      <c r="C112"/>
      <c r="D112"/>
      <c r="E112"/>
      <c r="F112"/>
      <c r="G112"/>
    </row>
    <row r="113" spans="1:7" x14ac:dyDescent="0.35">
      <c r="A113"/>
      <c r="B113"/>
      <c r="C113"/>
      <c r="D113"/>
      <c r="E113"/>
      <c r="F113"/>
      <c r="G113"/>
    </row>
    <row r="114" spans="1:7" x14ac:dyDescent="0.35">
      <c r="A114"/>
      <c r="B114"/>
      <c r="C114"/>
      <c r="D114"/>
      <c r="E114"/>
      <c r="F114"/>
      <c r="G114"/>
    </row>
    <row r="115" spans="1:7" x14ac:dyDescent="0.35">
      <c r="A115"/>
      <c r="B115"/>
      <c r="C115"/>
      <c r="D115"/>
      <c r="E115"/>
      <c r="F115"/>
      <c r="G115"/>
    </row>
    <row r="116" spans="1:7" x14ac:dyDescent="0.35">
      <c r="A116"/>
      <c r="B116"/>
      <c r="C116"/>
      <c r="D116"/>
      <c r="E116"/>
      <c r="F116"/>
      <c r="G116"/>
    </row>
    <row r="117" spans="1:7" x14ac:dyDescent="0.35">
      <c r="A117"/>
      <c r="B117"/>
      <c r="C117"/>
      <c r="D117"/>
      <c r="E117"/>
      <c r="F117"/>
      <c r="G117"/>
    </row>
    <row r="118" spans="1:7" x14ac:dyDescent="0.35">
      <c r="A118"/>
      <c r="B118"/>
      <c r="C118"/>
      <c r="D118"/>
      <c r="E118"/>
      <c r="F118"/>
      <c r="G118"/>
    </row>
    <row r="119" spans="1:7" x14ac:dyDescent="0.35">
      <c r="A119"/>
      <c r="B119"/>
      <c r="C119"/>
      <c r="D119"/>
      <c r="E119"/>
      <c r="F119"/>
      <c r="G119"/>
    </row>
    <row r="120" spans="1:7" x14ac:dyDescent="0.35">
      <c r="A120"/>
      <c r="B120"/>
      <c r="C120"/>
      <c r="D120"/>
      <c r="E120"/>
      <c r="F120"/>
      <c r="G120"/>
    </row>
    <row r="121" spans="1:7" x14ac:dyDescent="0.35">
      <c r="A121"/>
      <c r="B121"/>
      <c r="C121"/>
      <c r="D121"/>
      <c r="E121"/>
      <c r="F121"/>
      <c r="G121"/>
    </row>
    <row r="122" spans="1:7" x14ac:dyDescent="0.35">
      <c r="A122"/>
      <c r="B122"/>
      <c r="C122"/>
      <c r="D122"/>
      <c r="E122"/>
      <c r="F122"/>
      <c r="G122"/>
    </row>
    <row r="123" spans="1:7" x14ac:dyDescent="0.35">
      <c r="A123"/>
      <c r="B123"/>
      <c r="C123"/>
      <c r="D123"/>
      <c r="E123"/>
      <c r="F123"/>
      <c r="G123"/>
    </row>
    <row r="124" spans="1:7" x14ac:dyDescent="0.35">
      <c r="A124"/>
      <c r="B124"/>
      <c r="C124"/>
      <c r="D124"/>
      <c r="E124"/>
      <c r="F124"/>
      <c r="G124"/>
    </row>
    <row r="125" spans="1:7" x14ac:dyDescent="0.35">
      <c r="A125"/>
      <c r="B125"/>
      <c r="C125"/>
      <c r="D125"/>
      <c r="E125"/>
      <c r="F125"/>
      <c r="G125"/>
    </row>
    <row r="126" spans="1:7" x14ac:dyDescent="0.35">
      <c r="A126"/>
      <c r="B126"/>
      <c r="C126"/>
      <c r="D126"/>
      <c r="E126"/>
      <c r="F126"/>
      <c r="G126"/>
    </row>
    <row r="127" spans="1:7" x14ac:dyDescent="0.35">
      <c r="A127"/>
      <c r="B127"/>
      <c r="C127"/>
      <c r="D127"/>
      <c r="E127"/>
      <c r="F127"/>
      <c r="G127"/>
    </row>
    <row r="128" spans="1:7" x14ac:dyDescent="0.35">
      <c r="A128"/>
      <c r="B128"/>
      <c r="C128"/>
      <c r="D128"/>
      <c r="E128"/>
      <c r="F128"/>
      <c r="G128"/>
    </row>
    <row r="129" spans="1:7" x14ac:dyDescent="0.35">
      <c r="A129"/>
      <c r="B129"/>
      <c r="C129"/>
      <c r="D129"/>
      <c r="E129"/>
      <c r="F129"/>
      <c r="G129"/>
    </row>
    <row r="130" spans="1:7" x14ac:dyDescent="0.35">
      <c r="A130"/>
      <c r="B130"/>
      <c r="C130"/>
      <c r="D130"/>
      <c r="E130"/>
      <c r="F130"/>
      <c r="G130"/>
    </row>
    <row r="131" spans="1:7" x14ac:dyDescent="0.35">
      <c r="A131"/>
      <c r="B131"/>
      <c r="C131"/>
      <c r="D131"/>
      <c r="E131"/>
      <c r="F131"/>
      <c r="G131"/>
    </row>
    <row r="132" spans="1:7" x14ac:dyDescent="0.35">
      <c r="A132"/>
      <c r="B132"/>
      <c r="C132"/>
      <c r="D132"/>
      <c r="E132"/>
      <c r="F132"/>
      <c r="G132"/>
    </row>
    <row r="133" spans="1:7" x14ac:dyDescent="0.35">
      <c r="A133"/>
      <c r="B133"/>
      <c r="C133"/>
      <c r="D133"/>
      <c r="E133"/>
      <c r="F133"/>
      <c r="G133"/>
    </row>
    <row r="134" spans="1:7" x14ac:dyDescent="0.35">
      <c r="A134"/>
      <c r="B134"/>
      <c r="C134"/>
      <c r="D134"/>
      <c r="E134"/>
      <c r="F134"/>
      <c r="G134"/>
    </row>
    <row r="135" spans="1:7" x14ac:dyDescent="0.35">
      <c r="A135"/>
      <c r="B135"/>
      <c r="C135"/>
      <c r="D135"/>
      <c r="E135"/>
      <c r="F135"/>
      <c r="G135"/>
    </row>
    <row r="136" spans="1:7" x14ac:dyDescent="0.35">
      <c r="A136"/>
      <c r="B136"/>
      <c r="C136"/>
      <c r="D136"/>
      <c r="E136"/>
      <c r="F136"/>
      <c r="G136"/>
    </row>
    <row r="137" spans="1:7" x14ac:dyDescent="0.35">
      <c r="A137"/>
      <c r="B137"/>
      <c r="C137"/>
      <c r="D137"/>
      <c r="E137"/>
      <c r="F137"/>
      <c r="G137"/>
    </row>
    <row r="138" spans="1:7" x14ac:dyDescent="0.35">
      <c r="A138"/>
      <c r="B138"/>
      <c r="C138"/>
      <c r="D138"/>
      <c r="E138"/>
      <c r="F138"/>
      <c r="G138"/>
    </row>
    <row r="139" spans="1:7" x14ac:dyDescent="0.35">
      <c r="A139"/>
      <c r="B139"/>
      <c r="C139"/>
      <c r="D139"/>
      <c r="E139"/>
      <c r="F139"/>
      <c r="G139"/>
    </row>
    <row r="140" spans="1:7" x14ac:dyDescent="0.35">
      <c r="A140"/>
      <c r="B140"/>
      <c r="C140"/>
      <c r="D140"/>
      <c r="E140"/>
      <c r="F140"/>
      <c r="G140"/>
    </row>
    <row r="141" spans="1:7" x14ac:dyDescent="0.35">
      <c r="A141"/>
      <c r="B141"/>
      <c r="C141"/>
      <c r="D141"/>
      <c r="E141"/>
      <c r="F141"/>
      <c r="G141"/>
    </row>
    <row r="142" spans="1:7" x14ac:dyDescent="0.35">
      <c r="A142"/>
      <c r="B142"/>
      <c r="C142"/>
      <c r="D142"/>
      <c r="E142"/>
      <c r="F142"/>
      <c r="G142"/>
    </row>
    <row r="143" spans="1:7" x14ac:dyDescent="0.35">
      <c r="A143"/>
      <c r="B143"/>
      <c r="C143"/>
      <c r="D143"/>
      <c r="E143"/>
      <c r="F143"/>
      <c r="G143"/>
    </row>
    <row r="144" spans="1:7" x14ac:dyDescent="0.35">
      <c r="A144"/>
      <c r="B144"/>
      <c r="C144"/>
      <c r="D144"/>
      <c r="E144"/>
      <c r="F144"/>
      <c r="G144"/>
    </row>
    <row r="145" spans="1:7" x14ac:dyDescent="0.35">
      <c r="A145"/>
      <c r="B145"/>
      <c r="C145"/>
      <c r="D145"/>
      <c r="E145"/>
      <c r="F145"/>
      <c r="G145"/>
    </row>
    <row r="146" spans="1:7" x14ac:dyDescent="0.35">
      <c r="A146"/>
      <c r="B146"/>
      <c r="C146"/>
      <c r="D146"/>
      <c r="E146"/>
      <c r="F146"/>
      <c r="G146"/>
    </row>
    <row r="147" spans="1:7" x14ac:dyDescent="0.35">
      <c r="A147"/>
      <c r="B147"/>
      <c r="C147"/>
      <c r="D147"/>
      <c r="E147"/>
      <c r="F147"/>
      <c r="G147"/>
    </row>
    <row r="148" spans="1:7" x14ac:dyDescent="0.35">
      <c r="A148"/>
      <c r="B148"/>
      <c r="C148"/>
      <c r="D148"/>
      <c r="E148"/>
      <c r="F148"/>
      <c r="G148"/>
    </row>
    <row r="149" spans="1:7" x14ac:dyDescent="0.35">
      <c r="A149"/>
      <c r="B149"/>
      <c r="C149"/>
      <c r="D149"/>
      <c r="E149"/>
      <c r="F149"/>
      <c r="G149"/>
    </row>
    <row r="150" spans="1:7" x14ac:dyDescent="0.35">
      <c r="A150"/>
      <c r="B150"/>
      <c r="C150"/>
      <c r="D150"/>
      <c r="E150"/>
      <c r="F150"/>
      <c r="G150"/>
    </row>
    <row r="151" spans="1:7" x14ac:dyDescent="0.35">
      <c r="A151"/>
      <c r="B151"/>
      <c r="C151"/>
      <c r="D151"/>
      <c r="E151"/>
      <c r="F151"/>
      <c r="G151"/>
    </row>
    <row r="152" spans="1:7" x14ac:dyDescent="0.35">
      <c r="A152"/>
      <c r="B152"/>
      <c r="C152"/>
      <c r="D152"/>
      <c r="E152"/>
      <c r="F152"/>
      <c r="G152"/>
    </row>
    <row r="153" spans="1:7" x14ac:dyDescent="0.35">
      <c r="A153"/>
      <c r="B153"/>
      <c r="C153"/>
      <c r="D153"/>
      <c r="E153"/>
      <c r="F153"/>
      <c r="G153"/>
    </row>
    <row r="154" spans="1:7" x14ac:dyDescent="0.35">
      <c r="A154"/>
      <c r="B154"/>
      <c r="C154"/>
      <c r="D154"/>
      <c r="E154"/>
      <c r="F154"/>
      <c r="G154"/>
    </row>
    <row r="155" spans="1:7" x14ac:dyDescent="0.35">
      <c r="A155"/>
      <c r="B155"/>
      <c r="C155"/>
      <c r="D155"/>
      <c r="E155"/>
      <c r="F155"/>
      <c r="G155"/>
    </row>
    <row r="156" spans="1:7" x14ac:dyDescent="0.35">
      <c r="A156"/>
      <c r="B156"/>
      <c r="C156"/>
      <c r="D156"/>
      <c r="E156"/>
      <c r="F156"/>
      <c r="G156"/>
    </row>
    <row r="157" spans="1:7" x14ac:dyDescent="0.35">
      <c r="A157"/>
      <c r="B157"/>
      <c r="C157"/>
      <c r="D157"/>
      <c r="E157"/>
      <c r="F157"/>
      <c r="G157"/>
    </row>
    <row r="158" spans="1:7" x14ac:dyDescent="0.35">
      <c r="A158"/>
      <c r="B158"/>
      <c r="C158"/>
      <c r="D158"/>
      <c r="E158"/>
      <c r="F158"/>
      <c r="G158"/>
    </row>
    <row r="159" spans="1:7" x14ac:dyDescent="0.35">
      <c r="A159"/>
      <c r="B159"/>
      <c r="C159"/>
      <c r="D159"/>
      <c r="E159"/>
      <c r="F159"/>
      <c r="G159"/>
    </row>
    <row r="160" spans="1:7" x14ac:dyDescent="0.35">
      <c r="A160"/>
      <c r="B160"/>
      <c r="C160"/>
      <c r="D160"/>
      <c r="E160"/>
      <c r="F160"/>
      <c r="G160"/>
    </row>
    <row r="161" spans="1:7" x14ac:dyDescent="0.35">
      <c r="A161"/>
      <c r="B161"/>
      <c r="C161"/>
      <c r="D161"/>
      <c r="E161"/>
      <c r="F161"/>
      <c r="G161"/>
    </row>
    <row r="162" spans="1:7" x14ac:dyDescent="0.35">
      <c r="A162"/>
      <c r="B162"/>
      <c r="C162"/>
      <c r="D162"/>
      <c r="E162"/>
      <c r="F162"/>
      <c r="G162"/>
    </row>
    <row r="163" spans="1:7" x14ac:dyDescent="0.35">
      <c r="A163"/>
      <c r="B163"/>
      <c r="C163"/>
      <c r="D163"/>
      <c r="E163"/>
      <c r="F163"/>
      <c r="G163"/>
    </row>
    <row r="164" spans="1:7" x14ac:dyDescent="0.35">
      <c r="A164"/>
      <c r="B164"/>
      <c r="C164"/>
      <c r="D164"/>
      <c r="E164"/>
      <c r="F164"/>
      <c r="G164"/>
    </row>
    <row r="165" spans="1:7" x14ac:dyDescent="0.35">
      <c r="A165"/>
      <c r="B165"/>
      <c r="C165"/>
      <c r="D165"/>
      <c r="E165"/>
      <c r="F165"/>
      <c r="G165"/>
    </row>
    <row r="166" spans="1:7" x14ac:dyDescent="0.35">
      <c r="A166"/>
      <c r="B166"/>
      <c r="C166"/>
      <c r="D166"/>
      <c r="E166"/>
      <c r="F166"/>
      <c r="G166"/>
    </row>
    <row r="167" spans="1:7" x14ac:dyDescent="0.35">
      <c r="A167"/>
      <c r="B167"/>
      <c r="C167"/>
      <c r="D167"/>
      <c r="E167"/>
      <c r="F167"/>
      <c r="G167"/>
    </row>
    <row r="168" spans="1:7" x14ac:dyDescent="0.35">
      <c r="A168"/>
      <c r="B168"/>
      <c r="C168"/>
      <c r="D168"/>
      <c r="E168"/>
      <c r="F168"/>
      <c r="G168"/>
    </row>
    <row r="169" spans="1:7" x14ac:dyDescent="0.35">
      <c r="A169"/>
      <c r="B169"/>
      <c r="C169"/>
      <c r="D169"/>
      <c r="E169"/>
      <c r="F169"/>
      <c r="G169"/>
    </row>
    <row r="170" spans="1:7" x14ac:dyDescent="0.35">
      <c r="A170"/>
      <c r="B170"/>
      <c r="C170"/>
      <c r="D170"/>
      <c r="E170"/>
      <c r="F170"/>
      <c r="G170"/>
    </row>
    <row r="171" spans="1:7" x14ac:dyDescent="0.35">
      <c r="A171"/>
      <c r="B171"/>
      <c r="C171"/>
      <c r="D171"/>
      <c r="E171"/>
      <c r="F171"/>
      <c r="G171"/>
    </row>
    <row r="172" spans="1:7" x14ac:dyDescent="0.35">
      <c r="A172"/>
      <c r="B172"/>
      <c r="C172"/>
      <c r="D172"/>
      <c r="E172"/>
      <c r="F172"/>
      <c r="G172"/>
    </row>
    <row r="173" spans="1:7" x14ac:dyDescent="0.35">
      <c r="A173"/>
      <c r="B173"/>
      <c r="C173"/>
      <c r="D173"/>
      <c r="E173"/>
      <c r="F173"/>
      <c r="G173"/>
    </row>
    <row r="174" spans="1:7" x14ac:dyDescent="0.35">
      <c r="A174"/>
      <c r="B174"/>
      <c r="C174"/>
      <c r="D174"/>
      <c r="E174"/>
      <c r="F174"/>
      <c r="G174"/>
    </row>
    <row r="175" spans="1:7" x14ac:dyDescent="0.35">
      <c r="A175"/>
      <c r="B175"/>
      <c r="C175"/>
      <c r="D175"/>
      <c r="E175"/>
      <c r="F175"/>
      <c r="G175"/>
    </row>
    <row r="176" spans="1:7" x14ac:dyDescent="0.35">
      <c r="A176"/>
      <c r="B176"/>
      <c r="C176"/>
      <c r="D176"/>
      <c r="E176"/>
      <c r="F176"/>
      <c r="G176"/>
    </row>
    <row r="177" spans="1:7" x14ac:dyDescent="0.35">
      <c r="A177"/>
      <c r="B177"/>
      <c r="C177"/>
      <c r="D177"/>
      <c r="E177"/>
      <c r="F177"/>
      <c r="G177"/>
    </row>
    <row r="178" spans="1:7" x14ac:dyDescent="0.35">
      <c r="A178"/>
      <c r="B178"/>
      <c r="C178"/>
      <c r="D178"/>
      <c r="E178"/>
      <c r="F178"/>
      <c r="G178"/>
    </row>
    <row r="179" spans="1:7" x14ac:dyDescent="0.35">
      <c r="A179"/>
      <c r="B179"/>
      <c r="C179"/>
      <c r="D179"/>
      <c r="E179"/>
      <c r="F179"/>
      <c r="G179"/>
    </row>
    <row r="180" spans="1:7" x14ac:dyDescent="0.35">
      <c r="A180"/>
      <c r="B180"/>
      <c r="C180"/>
      <c r="D180"/>
      <c r="E180"/>
      <c r="F180"/>
      <c r="G180"/>
    </row>
    <row r="181" spans="1:7" x14ac:dyDescent="0.35">
      <c r="A181"/>
      <c r="B181"/>
      <c r="C181"/>
      <c r="D181"/>
      <c r="E181"/>
      <c r="F181"/>
      <c r="G181"/>
    </row>
    <row r="182" spans="1:7" x14ac:dyDescent="0.35">
      <c r="A182"/>
      <c r="B182"/>
      <c r="C182"/>
      <c r="D182"/>
      <c r="E182"/>
      <c r="F182"/>
      <c r="G182"/>
    </row>
    <row r="183" spans="1:7" x14ac:dyDescent="0.35">
      <c r="A183"/>
      <c r="B183"/>
      <c r="C183"/>
      <c r="D183"/>
      <c r="E183"/>
      <c r="F183"/>
      <c r="G183"/>
    </row>
    <row r="184" spans="1:7" x14ac:dyDescent="0.35">
      <c r="A184"/>
      <c r="B184"/>
      <c r="C184"/>
      <c r="D184"/>
      <c r="E184"/>
      <c r="F184"/>
      <c r="G184"/>
    </row>
    <row r="185" spans="1:7" x14ac:dyDescent="0.35">
      <c r="A185"/>
      <c r="B185"/>
      <c r="C185"/>
      <c r="D185"/>
      <c r="E185"/>
      <c r="F185"/>
      <c r="G185"/>
    </row>
    <row r="186" spans="1:7" x14ac:dyDescent="0.35">
      <c r="A186"/>
      <c r="B186"/>
      <c r="C186"/>
      <c r="D186"/>
      <c r="E186"/>
      <c r="F186"/>
      <c r="G186"/>
    </row>
    <row r="187" spans="1:7" x14ac:dyDescent="0.35">
      <c r="A187"/>
      <c r="B187"/>
      <c r="C187"/>
      <c r="D187"/>
      <c r="E187"/>
      <c r="F187"/>
      <c r="G187"/>
    </row>
    <row r="188" spans="1:7" x14ac:dyDescent="0.35">
      <c r="A188"/>
      <c r="B188"/>
      <c r="C188"/>
      <c r="D188"/>
      <c r="E188"/>
      <c r="F188"/>
      <c r="G188"/>
    </row>
    <row r="189" spans="1:7" x14ac:dyDescent="0.35">
      <c r="A189"/>
      <c r="B189"/>
      <c r="C189"/>
      <c r="D189"/>
      <c r="E189"/>
      <c r="F189"/>
      <c r="G189"/>
    </row>
    <row r="190" spans="1:7" x14ac:dyDescent="0.35">
      <c r="A190"/>
      <c r="B190"/>
      <c r="C190"/>
      <c r="D190"/>
      <c r="E190"/>
      <c r="F190"/>
      <c r="G190"/>
    </row>
    <row r="191" spans="1:7" x14ac:dyDescent="0.35">
      <c r="A191"/>
      <c r="B191"/>
      <c r="C191"/>
      <c r="D191"/>
      <c r="E191"/>
      <c r="F191"/>
      <c r="G191"/>
    </row>
    <row r="192" spans="1:7" x14ac:dyDescent="0.35">
      <c r="A192"/>
      <c r="B192"/>
      <c r="C192"/>
      <c r="D192"/>
      <c r="E192"/>
      <c r="F192"/>
      <c r="G192"/>
    </row>
    <row r="193" spans="1:7" x14ac:dyDescent="0.35">
      <c r="A193"/>
      <c r="B193"/>
      <c r="C193"/>
      <c r="D193"/>
      <c r="E193"/>
      <c r="F193"/>
      <c r="G193"/>
    </row>
    <row r="194" spans="1:7" x14ac:dyDescent="0.35">
      <c r="A194"/>
      <c r="B194"/>
      <c r="C194"/>
      <c r="D194"/>
      <c r="E194"/>
      <c r="F194"/>
      <c r="G194"/>
    </row>
    <row r="195" spans="1:7" x14ac:dyDescent="0.35">
      <c r="A195"/>
      <c r="B195"/>
      <c r="C195"/>
      <c r="D195"/>
      <c r="E195"/>
      <c r="F195"/>
      <c r="G195"/>
    </row>
    <row r="196" spans="1:7" x14ac:dyDescent="0.35">
      <c r="A196"/>
      <c r="B196"/>
      <c r="C196"/>
      <c r="D196"/>
      <c r="E196"/>
      <c r="F196"/>
      <c r="G196"/>
    </row>
    <row r="197" spans="1:7" x14ac:dyDescent="0.35">
      <c r="A197"/>
      <c r="B197"/>
      <c r="C197"/>
      <c r="D197"/>
      <c r="E197"/>
      <c r="F197"/>
      <c r="G197"/>
    </row>
    <row r="198" spans="1:7" x14ac:dyDescent="0.35">
      <c r="A198"/>
      <c r="B198"/>
      <c r="C198"/>
      <c r="D198"/>
      <c r="E198"/>
      <c r="F198"/>
      <c r="G198"/>
    </row>
    <row r="199" spans="1:7" x14ac:dyDescent="0.35">
      <c r="A199"/>
      <c r="B199"/>
      <c r="C199"/>
      <c r="D199"/>
      <c r="E199"/>
      <c r="F199"/>
      <c r="G199"/>
    </row>
    <row r="200" spans="1:7" x14ac:dyDescent="0.35">
      <c r="A200"/>
      <c r="B200"/>
      <c r="C200"/>
      <c r="D200"/>
      <c r="E200"/>
      <c r="F200"/>
      <c r="G200"/>
    </row>
    <row r="201" spans="1:7" x14ac:dyDescent="0.35">
      <c r="A201"/>
      <c r="B201"/>
      <c r="C201"/>
      <c r="D201"/>
      <c r="E201"/>
      <c r="F201"/>
      <c r="G201"/>
    </row>
    <row r="202" spans="1:7" x14ac:dyDescent="0.35">
      <c r="A202"/>
      <c r="B202"/>
      <c r="C202"/>
      <c r="D202"/>
      <c r="E202"/>
      <c r="F202"/>
      <c r="G202"/>
    </row>
    <row r="203" spans="1:7" x14ac:dyDescent="0.35">
      <c r="A203"/>
      <c r="B203"/>
      <c r="C203"/>
      <c r="D203"/>
      <c r="E203"/>
      <c r="F203"/>
      <c r="G203"/>
    </row>
    <row r="204" spans="1:7" x14ac:dyDescent="0.35">
      <c r="A204"/>
      <c r="B204"/>
      <c r="C204"/>
      <c r="D204"/>
      <c r="E204"/>
      <c r="F204"/>
      <c r="G204"/>
    </row>
    <row r="205" spans="1:7" x14ac:dyDescent="0.35">
      <c r="A205"/>
      <c r="B205"/>
      <c r="C205"/>
      <c r="D205"/>
      <c r="E205"/>
      <c r="F205"/>
      <c r="G205"/>
    </row>
    <row r="206" spans="1:7" x14ac:dyDescent="0.35">
      <c r="A206"/>
      <c r="B206"/>
      <c r="C206"/>
      <c r="D206"/>
      <c r="E206"/>
      <c r="F206"/>
      <c r="G206"/>
    </row>
    <row r="207" spans="1:7" x14ac:dyDescent="0.35">
      <c r="A207"/>
      <c r="B207"/>
      <c r="C207"/>
      <c r="D207"/>
      <c r="E207"/>
      <c r="F207"/>
      <c r="G207"/>
    </row>
    <row r="208" spans="1:7" x14ac:dyDescent="0.35">
      <c r="A208"/>
      <c r="B208"/>
      <c r="C208"/>
      <c r="D208"/>
      <c r="E208"/>
      <c r="F208"/>
      <c r="G208"/>
    </row>
    <row r="209" spans="1:7" x14ac:dyDescent="0.35">
      <c r="A209"/>
      <c r="B209"/>
      <c r="C209"/>
      <c r="D209"/>
      <c r="E209"/>
      <c r="F209"/>
      <c r="G209"/>
    </row>
    <row r="210" spans="1:7" x14ac:dyDescent="0.35">
      <c r="A210"/>
      <c r="B210"/>
      <c r="C210"/>
      <c r="D210"/>
      <c r="E210"/>
      <c r="F210"/>
      <c r="G210"/>
    </row>
    <row r="211" spans="1:7" x14ac:dyDescent="0.35">
      <c r="A211"/>
      <c r="B211"/>
      <c r="C211"/>
      <c r="D211"/>
      <c r="E211"/>
      <c r="F211"/>
      <c r="G211"/>
    </row>
    <row r="212" spans="1:7" x14ac:dyDescent="0.35">
      <c r="A212"/>
      <c r="B212"/>
      <c r="C212"/>
      <c r="D212"/>
      <c r="E212"/>
      <c r="F212"/>
      <c r="G212"/>
    </row>
    <row r="213" spans="1:7" x14ac:dyDescent="0.35">
      <c r="A213"/>
      <c r="B213"/>
      <c r="C213"/>
      <c r="D213"/>
      <c r="E213"/>
      <c r="F213"/>
      <c r="G213"/>
    </row>
    <row r="214" spans="1:7" x14ac:dyDescent="0.35">
      <c r="A214"/>
      <c r="B214"/>
      <c r="C214"/>
      <c r="D214"/>
      <c r="E214"/>
      <c r="F214"/>
      <c r="G214"/>
    </row>
    <row r="215" spans="1:7" x14ac:dyDescent="0.35">
      <c r="A215"/>
      <c r="B215"/>
      <c r="C215"/>
      <c r="D215"/>
      <c r="E215"/>
      <c r="F215"/>
      <c r="G215"/>
    </row>
    <row r="216" spans="1:7" x14ac:dyDescent="0.35">
      <c r="A216"/>
      <c r="B216"/>
      <c r="C216"/>
      <c r="D216"/>
      <c r="E216"/>
      <c r="F216"/>
      <c r="G216"/>
    </row>
    <row r="217" spans="1:7" x14ac:dyDescent="0.35">
      <c r="A217"/>
      <c r="B217"/>
      <c r="C217"/>
      <c r="D217"/>
      <c r="E217"/>
      <c r="F217"/>
      <c r="G217"/>
    </row>
    <row r="218" spans="1:7" x14ac:dyDescent="0.35">
      <c r="A218"/>
      <c r="B218"/>
      <c r="C218"/>
      <c r="D218"/>
      <c r="E218"/>
      <c r="F218"/>
      <c r="G218"/>
    </row>
    <row r="219" spans="1:7" x14ac:dyDescent="0.35">
      <c r="A219"/>
      <c r="B219"/>
      <c r="C219"/>
      <c r="D219"/>
      <c r="E219"/>
      <c r="F219"/>
      <c r="G219"/>
    </row>
    <row r="220" spans="1:7" x14ac:dyDescent="0.35">
      <c r="A220"/>
      <c r="B220"/>
      <c r="C220"/>
      <c r="D220"/>
      <c r="E220"/>
      <c r="F220"/>
      <c r="G220"/>
    </row>
    <row r="221" spans="1:7" x14ac:dyDescent="0.35">
      <c r="A221"/>
      <c r="B221"/>
      <c r="C221"/>
      <c r="D221"/>
      <c r="E221"/>
      <c r="F221"/>
      <c r="G221"/>
    </row>
    <row r="222" spans="1:7" x14ac:dyDescent="0.35">
      <c r="A222"/>
      <c r="B222"/>
      <c r="C222"/>
      <c r="D222"/>
      <c r="E222"/>
      <c r="F222"/>
      <c r="G222"/>
    </row>
    <row r="223" spans="1:7" x14ac:dyDescent="0.35">
      <c r="A223"/>
      <c r="B223"/>
      <c r="C223"/>
      <c r="D223"/>
      <c r="E223"/>
      <c r="F223"/>
      <c r="G223"/>
    </row>
    <row r="224" spans="1:7" x14ac:dyDescent="0.35">
      <c r="A224"/>
      <c r="B224"/>
      <c r="C224"/>
      <c r="D224"/>
      <c r="E224"/>
      <c r="F224"/>
      <c r="G224"/>
    </row>
    <row r="225" spans="1:7" x14ac:dyDescent="0.35">
      <c r="A225"/>
      <c r="B225"/>
      <c r="C225"/>
      <c r="D225"/>
      <c r="E225"/>
      <c r="F225"/>
      <c r="G225"/>
    </row>
    <row r="226" spans="1:7" x14ac:dyDescent="0.35">
      <c r="A226"/>
      <c r="B226"/>
      <c r="C226"/>
      <c r="D226"/>
      <c r="E226"/>
      <c r="F226"/>
      <c r="G226"/>
    </row>
    <row r="227" spans="1:7" x14ac:dyDescent="0.35">
      <c r="A227"/>
      <c r="B227"/>
      <c r="C227"/>
      <c r="D227"/>
      <c r="E227"/>
      <c r="F227"/>
      <c r="G227"/>
    </row>
    <row r="228" spans="1:7" x14ac:dyDescent="0.35">
      <c r="A228"/>
      <c r="B228"/>
      <c r="C228"/>
      <c r="D228"/>
      <c r="E228"/>
      <c r="F228"/>
      <c r="G228"/>
    </row>
    <row r="229" spans="1:7" x14ac:dyDescent="0.35">
      <c r="A229"/>
      <c r="B229"/>
      <c r="C229"/>
      <c r="D229"/>
      <c r="E229"/>
      <c r="F229"/>
      <c r="G229"/>
    </row>
    <row r="230" spans="1:7" x14ac:dyDescent="0.35">
      <c r="A230"/>
      <c r="B230"/>
      <c r="C230"/>
      <c r="D230"/>
      <c r="E230"/>
      <c r="F230"/>
      <c r="G230"/>
    </row>
    <row r="231" spans="1:7" x14ac:dyDescent="0.35">
      <c r="A231"/>
      <c r="B231"/>
      <c r="C231"/>
      <c r="D231"/>
      <c r="E231"/>
      <c r="F231"/>
      <c r="G231"/>
    </row>
    <row r="232" spans="1:7" x14ac:dyDescent="0.35">
      <c r="A232"/>
      <c r="B232"/>
      <c r="C232"/>
      <c r="D232"/>
      <c r="E232"/>
      <c r="F232"/>
      <c r="G232"/>
    </row>
    <row r="233" spans="1:7" x14ac:dyDescent="0.35">
      <c r="A233"/>
      <c r="B233"/>
      <c r="C233"/>
      <c r="D233"/>
      <c r="E233"/>
      <c r="F233"/>
      <c r="G233"/>
    </row>
    <row r="234" spans="1:7" x14ac:dyDescent="0.35">
      <c r="A234"/>
      <c r="B234"/>
      <c r="C234"/>
      <c r="D234"/>
      <c r="E234"/>
      <c r="F234"/>
      <c r="G234"/>
    </row>
    <row r="235" spans="1:7" x14ac:dyDescent="0.35">
      <c r="A235"/>
      <c r="B235"/>
      <c r="C235"/>
      <c r="D235"/>
      <c r="E235"/>
      <c r="F235"/>
      <c r="G235"/>
    </row>
    <row r="236" spans="1:7" x14ac:dyDescent="0.35">
      <c r="A236"/>
      <c r="B236"/>
      <c r="C236"/>
      <c r="D236"/>
      <c r="E236"/>
      <c r="F236"/>
      <c r="G236"/>
    </row>
    <row r="237" spans="1:7" x14ac:dyDescent="0.35">
      <c r="A237"/>
      <c r="B237"/>
      <c r="C237"/>
      <c r="D237"/>
      <c r="E237"/>
      <c r="F237"/>
      <c r="G237"/>
    </row>
    <row r="238" spans="1:7" x14ac:dyDescent="0.35">
      <c r="A238"/>
      <c r="B238"/>
      <c r="C238"/>
      <c r="D238"/>
      <c r="E238"/>
      <c r="F238"/>
      <c r="G238"/>
    </row>
    <row r="239" spans="1:7" x14ac:dyDescent="0.35">
      <c r="A239"/>
      <c r="B239"/>
      <c r="C239"/>
      <c r="D239"/>
      <c r="E239"/>
      <c r="F239"/>
      <c r="G239"/>
    </row>
    <row r="240" spans="1:7" x14ac:dyDescent="0.35">
      <c r="A240"/>
      <c r="B240"/>
      <c r="C240"/>
      <c r="D240"/>
      <c r="E240"/>
      <c r="F240"/>
      <c r="G240"/>
    </row>
    <row r="241" spans="1:7" x14ac:dyDescent="0.35">
      <c r="A241"/>
      <c r="B241"/>
      <c r="C241"/>
      <c r="D241"/>
      <c r="E241"/>
      <c r="F241"/>
      <c r="G241"/>
    </row>
    <row r="242" spans="1:7" x14ac:dyDescent="0.35">
      <c r="A242"/>
      <c r="B242"/>
      <c r="C242"/>
      <c r="D242"/>
      <c r="E242"/>
      <c r="F242"/>
      <c r="G242"/>
    </row>
    <row r="243" spans="1:7" x14ac:dyDescent="0.35">
      <c r="A243"/>
      <c r="B243"/>
      <c r="C243"/>
      <c r="D243"/>
      <c r="E243"/>
      <c r="F243"/>
      <c r="G243"/>
    </row>
    <row r="244" spans="1:7" x14ac:dyDescent="0.35">
      <c r="A244"/>
      <c r="B244"/>
      <c r="C244"/>
      <c r="D244"/>
      <c r="E244"/>
      <c r="F244"/>
      <c r="G244"/>
    </row>
    <row r="245" spans="1:7" x14ac:dyDescent="0.35">
      <c r="A245"/>
      <c r="B245"/>
      <c r="C245"/>
      <c r="D245"/>
      <c r="E245"/>
      <c r="F245"/>
      <c r="G245"/>
    </row>
    <row r="246" spans="1:7" x14ac:dyDescent="0.35">
      <c r="A246"/>
      <c r="B246"/>
      <c r="C246"/>
      <c r="D246"/>
      <c r="E246"/>
      <c r="F246"/>
      <c r="G246"/>
    </row>
    <row r="247" spans="1:7" x14ac:dyDescent="0.35">
      <c r="A247"/>
      <c r="B247"/>
      <c r="C247"/>
      <c r="D247"/>
      <c r="E247"/>
      <c r="F247"/>
      <c r="G247"/>
    </row>
    <row r="248" spans="1:7" x14ac:dyDescent="0.35">
      <c r="A248"/>
      <c r="B248"/>
      <c r="C248"/>
      <c r="D248"/>
      <c r="E248"/>
      <c r="F248"/>
      <c r="G248"/>
    </row>
    <row r="249" spans="1:7" x14ac:dyDescent="0.35">
      <c r="A249"/>
      <c r="B249"/>
      <c r="C249"/>
      <c r="D249"/>
      <c r="E249"/>
      <c r="F249"/>
      <c r="G249"/>
    </row>
    <row r="250" spans="1:7" x14ac:dyDescent="0.35">
      <c r="A250"/>
      <c r="B250"/>
      <c r="C250"/>
      <c r="D250"/>
      <c r="E250"/>
      <c r="F250"/>
      <c r="G250"/>
    </row>
    <row r="251" spans="1:7" x14ac:dyDescent="0.35">
      <c r="A251"/>
      <c r="B251"/>
      <c r="C251"/>
      <c r="D251"/>
      <c r="E251"/>
      <c r="F251"/>
      <c r="G251"/>
    </row>
    <row r="252" spans="1:7" x14ac:dyDescent="0.35">
      <c r="A252"/>
      <c r="B252"/>
      <c r="C252"/>
      <c r="D252"/>
      <c r="E252"/>
      <c r="F252"/>
      <c r="G252"/>
    </row>
    <row r="253" spans="1:7" x14ac:dyDescent="0.35">
      <c r="A253"/>
      <c r="B253"/>
      <c r="C253"/>
      <c r="D253"/>
      <c r="E253"/>
      <c r="F253"/>
      <c r="G253"/>
    </row>
    <row r="254" spans="1:7" x14ac:dyDescent="0.35">
      <c r="A254"/>
      <c r="B254"/>
      <c r="C254"/>
      <c r="D254"/>
      <c r="E254"/>
      <c r="F254"/>
      <c r="G254"/>
    </row>
    <row r="255" spans="1:7" x14ac:dyDescent="0.35">
      <c r="A255"/>
      <c r="B255"/>
      <c r="C255"/>
      <c r="D255"/>
      <c r="E255"/>
      <c r="F255"/>
      <c r="G255"/>
    </row>
    <row r="256" spans="1:7" x14ac:dyDescent="0.35">
      <c r="A256"/>
      <c r="B256"/>
      <c r="C256"/>
      <c r="D256"/>
      <c r="E256"/>
      <c r="F256"/>
      <c r="G256"/>
    </row>
    <row r="257" spans="1:7" x14ac:dyDescent="0.35">
      <c r="A257"/>
      <c r="B257"/>
      <c r="C257"/>
      <c r="D257"/>
      <c r="E257"/>
      <c r="F257"/>
      <c r="G257"/>
    </row>
    <row r="258" spans="1:7" x14ac:dyDescent="0.35">
      <c r="A258"/>
      <c r="B258"/>
      <c r="C258"/>
      <c r="D258"/>
      <c r="E258"/>
      <c r="F258"/>
      <c r="G258"/>
    </row>
    <row r="259" spans="1:7" x14ac:dyDescent="0.35">
      <c r="A259"/>
      <c r="B259"/>
      <c r="C259"/>
      <c r="D259"/>
      <c r="E259"/>
      <c r="F259"/>
      <c r="G259"/>
    </row>
    <row r="260" spans="1:7" x14ac:dyDescent="0.35">
      <c r="A260"/>
      <c r="B260"/>
      <c r="C260"/>
      <c r="D260"/>
      <c r="E260"/>
      <c r="F260"/>
      <c r="G260"/>
    </row>
    <row r="261" spans="1:7" x14ac:dyDescent="0.35">
      <c r="A261"/>
      <c r="B261"/>
      <c r="C261"/>
      <c r="D261"/>
      <c r="E261"/>
      <c r="F261"/>
      <c r="G261"/>
    </row>
    <row r="262" spans="1:7" x14ac:dyDescent="0.35">
      <c r="A262"/>
      <c r="B262"/>
      <c r="C262"/>
      <c r="D262"/>
      <c r="E262"/>
      <c r="F262"/>
      <c r="G262"/>
    </row>
    <row r="263" spans="1:7" x14ac:dyDescent="0.35">
      <c r="A263"/>
      <c r="B263"/>
      <c r="C263"/>
      <c r="D263"/>
      <c r="E263"/>
      <c r="F263"/>
      <c r="G263"/>
    </row>
    <row r="264" spans="1:7" x14ac:dyDescent="0.35">
      <c r="A264"/>
      <c r="B264"/>
      <c r="C264"/>
      <c r="D264"/>
      <c r="E264"/>
      <c r="F264"/>
      <c r="G264"/>
    </row>
    <row r="265" spans="1:7" x14ac:dyDescent="0.35">
      <c r="A265"/>
      <c r="B265"/>
      <c r="C265"/>
      <c r="D265"/>
      <c r="E265"/>
      <c r="F265"/>
      <c r="G265"/>
    </row>
    <row r="266" spans="1:7" x14ac:dyDescent="0.35">
      <c r="A266"/>
      <c r="B266"/>
      <c r="C266"/>
      <c r="D266"/>
      <c r="E266"/>
      <c r="F266"/>
      <c r="G266"/>
    </row>
    <row r="267" spans="1:7" x14ac:dyDescent="0.35">
      <c r="A267"/>
      <c r="B267"/>
      <c r="C267"/>
      <c r="D267"/>
      <c r="E267"/>
      <c r="F267"/>
      <c r="G267"/>
    </row>
    <row r="268" spans="1:7" x14ac:dyDescent="0.35">
      <c r="A268"/>
      <c r="B268"/>
      <c r="C268"/>
      <c r="D268"/>
      <c r="E268"/>
      <c r="F268"/>
      <c r="G268"/>
    </row>
    <row r="269" spans="1:7" x14ac:dyDescent="0.35">
      <c r="A269"/>
      <c r="B269"/>
      <c r="C269"/>
      <c r="D269"/>
      <c r="E269"/>
      <c r="F269"/>
      <c r="G269"/>
    </row>
    <row r="270" spans="1:7" x14ac:dyDescent="0.35">
      <c r="A270"/>
      <c r="B270"/>
      <c r="C270"/>
      <c r="D270"/>
      <c r="E270"/>
      <c r="F270"/>
      <c r="G270"/>
    </row>
    <row r="271" spans="1:7" x14ac:dyDescent="0.35">
      <c r="A271"/>
      <c r="B271"/>
      <c r="C271"/>
      <c r="D271"/>
      <c r="E271"/>
      <c r="F271"/>
      <c r="G271"/>
    </row>
    <row r="272" spans="1:7" x14ac:dyDescent="0.35">
      <c r="A272"/>
      <c r="B272"/>
      <c r="C272"/>
      <c r="D272"/>
      <c r="E272"/>
      <c r="F272"/>
      <c r="G272"/>
    </row>
    <row r="273" spans="1:7" x14ac:dyDescent="0.35">
      <c r="A273"/>
      <c r="B273"/>
      <c r="C273"/>
      <c r="D273"/>
      <c r="E273"/>
      <c r="F273"/>
      <c r="G273"/>
    </row>
    <row r="274" spans="1:7" x14ac:dyDescent="0.35">
      <c r="A274"/>
      <c r="B274"/>
      <c r="C274"/>
      <c r="D274"/>
      <c r="E274"/>
      <c r="F274"/>
      <c r="G274"/>
    </row>
    <row r="275" spans="1:7" x14ac:dyDescent="0.35">
      <c r="A275"/>
      <c r="B275"/>
      <c r="C275"/>
      <c r="D275"/>
      <c r="E275"/>
      <c r="F275"/>
      <c r="G275"/>
    </row>
    <row r="276" spans="1:7" x14ac:dyDescent="0.35">
      <c r="A276"/>
      <c r="B276"/>
      <c r="C276"/>
      <c r="D276"/>
      <c r="E276"/>
      <c r="F276"/>
      <c r="G276"/>
    </row>
    <row r="277" spans="1:7" x14ac:dyDescent="0.35">
      <c r="A277"/>
      <c r="B277"/>
      <c r="C277"/>
      <c r="D277"/>
      <c r="E277"/>
      <c r="F277"/>
      <c r="G277"/>
    </row>
    <row r="278" spans="1:7" x14ac:dyDescent="0.35">
      <c r="A278"/>
      <c r="B278"/>
      <c r="C278"/>
      <c r="D278"/>
      <c r="E278"/>
      <c r="F278"/>
      <c r="G278"/>
    </row>
    <row r="279" spans="1:7" x14ac:dyDescent="0.35">
      <c r="A279"/>
      <c r="B279"/>
      <c r="C279"/>
      <c r="D279"/>
      <c r="E279"/>
      <c r="F279"/>
      <c r="G279"/>
    </row>
    <row r="280" spans="1:7" x14ac:dyDescent="0.35">
      <c r="A280"/>
      <c r="B280"/>
      <c r="C280"/>
      <c r="D280"/>
      <c r="E280"/>
      <c r="F280"/>
      <c r="G280"/>
    </row>
    <row r="281" spans="1:7" x14ac:dyDescent="0.35">
      <c r="A281"/>
      <c r="B281"/>
      <c r="C281"/>
      <c r="D281"/>
      <c r="E281"/>
      <c r="F281"/>
      <c r="G281"/>
    </row>
    <row r="282" spans="1:7" x14ac:dyDescent="0.35">
      <c r="A282"/>
      <c r="B282"/>
      <c r="C282"/>
      <c r="D282"/>
      <c r="E282"/>
      <c r="F282"/>
      <c r="G282"/>
    </row>
    <row r="283" spans="1:7" x14ac:dyDescent="0.35">
      <c r="A283"/>
      <c r="B283"/>
      <c r="C283"/>
      <c r="D283"/>
      <c r="E283"/>
      <c r="F283"/>
      <c r="G283"/>
    </row>
    <row r="284" spans="1:7" x14ac:dyDescent="0.35">
      <c r="A284"/>
      <c r="B284"/>
      <c r="C284"/>
      <c r="D284"/>
      <c r="E284"/>
      <c r="F284"/>
      <c r="G284"/>
    </row>
    <row r="285" spans="1:7" x14ac:dyDescent="0.35">
      <c r="A285"/>
      <c r="B285"/>
      <c r="C285"/>
      <c r="D285"/>
      <c r="E285"/>
      <c r="F285"/>
      <c r="G285"/>
    </row>
    <row r="286" spans="1:7" x14ac:dyDescent="0.35">
      <c r="A286"/>
      <c r="B286"/>
      <c r="C286"/>
      <c r="D286"/>
      <c r="E286"/>
      <c r="F286"/>
      <c r="G286"/>
    </row>
    <row r="287" spans="1:7" x14ac:dyDescent="0.35">
      <c r="A287"/>
      <c r="B287"/>
      <c r="C287"/>
      <c r="D287"/>
      <c r="E287"/>
      <c r="F287"/>
      <c r="G287"/>
    </row>
    <row r="288" spans="1:7" x14ac:dyDescent="0.35">
      <c r="A288"/>
      <c r="B288"/>
      <c r="C288"/>
      <c r="D288"/>
      <c r="E288"/>
      <c r="F288"/>
      <c r="G288"/>
    </row>
    <row r="289" spans="1:7" x14ac:dyDescent="0.35">
      <c r="A289"/>
      <c r="B289"/>
      <c r="C289"/>
      <c r="D289"/>
      <c r="E289"/>
      <c r="F289"/>
      <c r="G289"/>
    </row>
    <row r="290" spans="1:7" x14ac:dyDescent="0.35">
      <c r="A290"/>
      <c r="B290"/>
      <c r="C290"/>
      <c r="D290"/>
      <c r="E290"/>
      <c r="F290"/>
      <c r="G290"/>
    </row>
    <row r="291" spans="1:7" x14ac:dyDescent="0.35">
      <c r="A291"/>
      <c r="B291"/>
      <c r="C291"/>
      <c r="D291"/>
      <c r="E291"/>
      <c r="F291"/>
      <c r="G291"/>
    </row>
    <row r="292" spans="1:7" x14ac:dyDescent="0.35">
      <c r="A292"/>
      <c r="B292"/>
      <c r="C292"/>
      <c r="D292"/>
      <c r="E292"/>
      <c r="F292"/>
      <c r="G292"/>
    </row>
    <row r="293" spans="1:7" x14ac:dyDescent="0.35">
      <c r="A293"/>
      <c r="B293"/>
      <c r="C293"/>
      <c r="D293"/>
      <c r="E293"/>
      <c r="F293"/>
      <c r="G293"/>
    </row>
    <row r="294" spans="1:7" x14ac:dyDescent="0.35">
      <c r="A294"/>
      <c r="B294"/>
      <c r="C294"/>
      <c r="D294"/>
      <c r="E294"/>
      <c r="F294"/>
      <c r="G294"/>
    </row>
    <row r="295" spans="1:7" x14ac:dyDescent="0.35">
      <c r="A295"/>
      <c r="B295"/>
      <c r="C295"/>
      <c r="D295"/>
      <c r="E295"/>
      <c r="F295"/>
      <c r="G295"/>
    </row>
    <row r="296" spans="1:7" x14ac:dyDescent="0.35">
      <c r="A296"/>
      <c r="B296"/>
      <c r="C296"/>
      <c r="D296"/>
      <c r="E296"/>
      <c r="F296"/>
      <c r="G296"/>
    </row>
    <row r="297" spans="1:7" x14ac:dyDescent="0.35">
      <c r="A297"/>
      <c r="B297"/>
      <c r="C297"/>
      <c r="D297"/>
      <c r="E297"/>
      <c r="F297"/>
      <c r="G297"/>
    </row>
    <row r="298" spans="1:7" x14ac:dyDescent="0.35">
      <c r="A298"/>
      <c r="B298"/>
      <c r="C298"/>
      <c r="D298"/>
      <c r="E298"/>
      <c r="F298"/>
      <c r="G298"/>
    </row>
    <row r="299" spans="1:7" x14ac:dyDescent="0.35">
      <c r="A299"/>
      <c r="B299"/>
      <c r="C299"/>
      <c r="D299"/>
      <c r="E299"/>
      <c r="F299"/>
      <c r="G299"/>
    </row>
    <row r="300" spans="1:7" x14ac:dyDescent="0.35">
      <c r="A300"/>
      <c r="B300"/>
      <c r="C300"/>
      <c r="D300"/>
      <c r="E300"/>
      <c r="F300"/>
      <c r="G300"/>
    </row>
    <row r="301" spans="1:7" x14ac:dyDescent="0.35">
      <c r="A301"/>
      <c r="B301"/>
      <c r="C301"/>
      <c r="D301"/>
      <c r="E301"/>
      <c r="F301"/>
      <c r="G301"/>
    </row>
    <row r="302" spans="1:7" x14ac:dyDescent="0.35">
      <c r="A302"/>
      <c r="B302"/>
      <c r="C302"/>
      <c r="D302"/>
      <c r="E302"/>
      <c r="F302"/>
      <c r="G302"/>
    </row>
    <row r="303" spans="1:7" x14ac:dyDescent="0.35">
      <c r="A303"/>
      <c r="B303"/>
      <c r="C303"/>
      <c r="D303"/>
      <c r="E303"/>
      <c r="F303"/>
      <c r="G303"/>
    </row>
    <row r="304" spans="1:7" x14ac:dyDescent="0.35">
      <c r="A304"/>
      <c r="B304"/>
      <c r="C304"/>
      <c r="D304"/>
      <c r="E304"/>
      <c r="F304"/>
      <c r="G304"/>
    </row>
    <row r="305" spans="1:7" x14ac:dyDescent="0.35">
      <c r="A305"/>
      <c r="B305"/>
      <c r="C305"/>
      <c r="D305"/>
      <c r="E305"/>
      <c r="F305"/>
      <c r="G305"/>
    </row>
    <row r="306" spans="1:7" x14ac:dyDescent="0.35">
      <c r="A306"/>
      <c r="B306"/>
      <c r="C306"/>
      <c r="D306"/>
      <c r="E306"/>
      <c r="F306"/>
      <c r="G306"/>
    </row>
    <row r="307" spans="1:7" x14ac:dyDescent="0.35">
      <c r="A307"/>
      <c r="B307"/>
      <c r="C307"/>
      <c r="D307"/>
      <c r="E307"/>
      <c r="F307"/>
      <c r="G307"/>
    </row>
    <row r="308" spans="1:7" x14ac:dyDescent="0.35">
      <c r="A308"/>
      <c r="B308"/>
      <c r="C308"/>
      <c r="D308"/>
      <c r="E308"/>
      <c r="F308"/>
      <c r="G308"/>
    </row>
    <row r="309" spans="1:7" x14ac:dyDescent="0.35">
      <c r="A309"/>
      <c r="B309"/>
      <c r="C309"/>
      <c r="D309"/>
      <c r="E309"/>
      <c r="F309"/>
      <c r="G309"/>
    </row>
    <row r="310" spans="1:7" x14ac:dyDescent="0.35">
      <c r="A310"/>
      <c r="B310"/>
      <c r="C310"/>
      <c r="D310"/>
      <c r="E310"/>
      <c r="F310"/>
      <c r="G310"/>
    </row>
    <row r="311" spans="1:7" x14ac:dyDescent="0.35">
      <c r="A311"/>
      <c r="B311"/>
      <c r="C311"/>
      <c r="D311"/>
      <c r="E311"/>
      <c r="F311"/>
      <c r="G311"/>
    </row>
    <row r="312" spans="1:7" x14ac:dyDescent="0.35">
      <c r="A312"/>
      <c r="B312"/>
      <c r="C312"/>
      <c r="D312"/>
      <c r="E312"/>
      <c r="F312"/>
      <c r="G312"/>
    </row>
    <row r="313" spans="1:7" x14ac:dyDescent="0.35">
      <c r="A313"/>
      <c r="B313"/>
      <c r="C313"/>
      <c r="D313"/>
      <c r="E313"/>
      <c r="F313"/>
      <c r="G313"/>
    </row>
    <row r="314" spans="1:7" x14ac:dyDescent="0.35">
      <c r="A314"/>
      <c r="B314"/>
      <c r="C314"/>
      <c r="D314"/>
      <c r="E314"/>
      <c r="F314"/>
      <c r="G314"/>
    </row>
    <row r="315" spans="1:7" x14ac:dyDescent="0.35">
      <c r="A315"/>
      <c r="B315"/>
      <c r="C315"/>
      <c r="D315"/>
      <c r="E315"/>
      <c r="F315"/>
      <c r="G315"/>
    </row>
    <row r="316" spans="1:7" x14ac:dyDescent="0.35">
      <c r="A316"/>
      <c r="B316"/>
      <c r="C316"/>
      <c r="D316"/>
      <c r="E316"/>
      <c r="F316"/>
      <c r="G316"/>
    </row>
    <row r="317" spans="1:7" x14ac:dyDescent="0.35">
      <c r="A317"/>
      <c r="B317"/>
      <c r="C317"/>
      <c r="D317"/>
      <c r="E317"/>
      <c r="F317"/>
      <c r="G317"/>
    </row>
    <row r="318" spans="1:7" x14ac:dyDescent="0.35">
      <c r="A318"/>
      <c r="B318"/>
      <c r="C318"/>
      <c r="D318"/>
      <c r="E318"/>
      <c r="F318"/>
      <c r="G318"/>
    </row>
    <row r="319" spans="1:7" x14ac:dyDescent="0.35">
      <c r="A319"/>
      <c r="B319"/>
      <c r="C319"/>
      <c r="D319"/>
      <c r="E319"/>
      <c r="F319"/>
      <c r="G319"/>
    </row>
    <row r="320" spans="1:7" x14ac:dyDescent="0.35">
      <c r="A320"/>
      <c r="B320"/>
      <c r="C320"/>
      <c r="D320"/>
      <c r="E320"/>
      <c r="F320"/>
      <c r="G320"/>
    </row>
    <row r="321" spans="1:7" x14ac:dyDescent="0.35">
      <c r="A321"/>
      <c r="B321"/>
      <c r="C321"/>
      <c r="D321"/>
      <c r="E321"/>
      <c r="F321"/>
      <c r="G321"/>
    </row>
    <row r="322" spans="1:7" x14ac:dyDescent="0.35">
      <c r="A322"/>
      <c r="B322"/>
      <c r="C322"/>
      <c r="D322"/>
      <c r="E322"/>
      <c r="F322"/>
      <c r="G322"/>
    </row>
    <row r="323" spans="1:7" x14ac:dyDescent="0.35">
      <c r="A323"/>
      <c r="B323"/>
      <c r="C323"/>
      <c r="D323"/>
      <c r="E323"/>
      <c r="F323"/>
      <c r="G323"/>
    </row>
    <row r="324" spans="1:7" x14ac:dyDescent="0.35">
      <c r="A324"/>
      <c r="B324"/>
      <c r="C324"/>
      <c r="D324"/>
      <c r="E324"/>
      <c r="F324"/>
      <c r="G324"/>
    </row>
    <row r="325" spans="1:7" x14ac:dyDescent="0.35">
      <c r="A325"/>
      <c r="B325"/>
      <c r="C325"/>
      <c r="D325"/>
      <c r="E325"/>
      <c r="F325"/>
      <c r="G325"/>
    </row>
    <row r="326" spans="1:7" x14ac:dyDescent="0.35">
      <c r="A326"/>
      <c r="B326"/>
      <c r="C326"/>
      <c r="D326"/>
      <c r="E326"/>
      <c r="F326"/>
      <c r="G326"/>
    </row>
    <row r="327" spans="1:7" x14ac:dyDescent="0.35">
      <c r="A327"/>
      <c r="B327"/>
      <c r="C327"/>
      <c r="D327"/>
      <c r="E327"/>
      <c r="F327"/>
      <c r="G327"/>
    </row>
    <row r="328" spans="1:7" x14ac:dyDescent="0.35">
      <c r="A328"/>
      <c r="B328"/>
      <c r="C328"/>
      <c r="D328"/>
      <c r="E328"/>
      <c r="F328"/>
      <c r="G328"/>
    </row>
    <row r="329" spans="1:7" x14ac:dyDescent="0.35">
      <c r="A329"/>
      <c r="B329"/>
      <c r="C329"/>
      <c r="D329"/>
      <c r="E329"/>
      <c r="F329"/>
      <c r="G329"/>
    </row>
    <row r="330" spans="1:7" x14ac:dyDescent="0.35">
      <c r="A330"/>
      <c r="B330"/>
      <c r="C330"/>
      <c r="D330"/>
      <c r="E330"/>
      <c r="F330"/>
      <c r="G330"/>
    </row>
    <row r="331" spans="1:7" x14ac:dyDescent="0.35">
      <c r="A331"/>
      <c r="B331"/>
      <c r="C331"/>
      <c r="D331"/>
      <c r="E331"/>
      <c r="F331"/>
      <c r="G331"/>
    </row>
    <row r="332" spans="1:7" x14ac:dyDescent="0.35">
      <c r="A332"/>
      <c r="B332"/>
      <c r="C332"/>
      <c r="D332"/>
      <c r="E332"/>
      <c r="F332"/>
      <c r="G332"/>
    </row>
    <row r="333" spans="1:7" x14ac:dyDescent="0.35">
      <c r="A333"/>
      <c r="B333"/>
      <c r="C333"/>
      <c r="D333"/>
      <c r="E333"/>
      <c r="F333"/>
      <c r="G333"/>
    </row>
    <row r="334" spans="1:7" x14ac:dyDescent="0.35">
      <c r="A334"/>
      <c r="B334"/>
      <c r="C334"/>
      <c r="D334"/>
      <c r="E334"/>
      <c r="F334"/>
      <c r="G334"/>
    </row>
    <row r="335" spans="1:7" x14ac:dyDescent="0.35">
      <c r="A335"/>
      <c r="B335"/>
      <c r="C335"/>
      <c r="D335"/>
      <c r="E335"/>
      <c r="F335"/>
      <c r="G335"/>
    </row>
    <row r="336" spans="1:7" x14ac:dyDescent="0.35">
      <c r="A336"/>
      <c r="B336"/>
      <c r="C336"/>
      <c r="D336"/>
      <c r="E336"/>
      <c r="F336"/>
      <c r="G336"/>
    </row>
    <row r="337" spans="1:7" x14ac:dyDescent="0.35">
      <c r="A337"/>
      <c r="B337"/>
      <c r="C337"/>
      <c r="D337"/>
      <c r="E337"/>
      <c r="F337"/>
      <c r="G337"/>
    </row>
    <row r="338" spans="1:7" x14ac:dyDescent="0.35">
      <c r="A338"/>
      <c r="B338"/>
      <c r="C338"/>
      <c r="D338"/>
      <c r="E338"/>
      <c r="F338"/>
      <c r="G338"/>
    </row>
    <row r="339" spans="1:7" x14ac:dyDescent="0.35">
      <c r="A339"/>
      <c r="B339"/>
      <c r="C339"/>
      <c r="D339"/>
      <c r="E339"/>
      <c r="F339"/>
      <c r="G339"/>
    </row>
    <row r="340" spans="1:7" x14ac:dyDescent="0.35">
      <c r="A340"/>
      <c r="B340"/>
      <c r="C340"/>
      <c r="D340"/>
      <c r="E340"/>
      <c r="F340"/>
      <c r="G340"/>
    </row>
    <row r="341" spans="1:7" x14ac:dyDescent="0.35">
      <c r="A341"/>
      <c r="B341"/>
      <c r="C341"/>
      <c r="D341"/>
      <c r="E341"/>
      <c r="F341"/>
      <c r="G341"/>
    </row>
    <row r="342" spans="1:7" x14ac:dyDescent="0.35">
      <c r="A342"/>
      <c r="B342"/>
      <c r="C342"/>
      <c r="D342"/>
      <c r="E342"/>
      <c r="F342"/>
      <c r="G342"/>
    </row>
    <row r="343" spans="1:7" x14ac:dyDescent="0.35">
      <c r="A343"/>
      <c r="B343"/>
      <c r="C343"/>
      <c r="D343"/>
      <c r="E343"/>
      <c r="F343"/>
      <c r="G343"/>
    </row>
    <row r="344" spans="1:7" x14ac:dyDescent="0.35">
      <c r="A344"/>
      <c r="B344"/>
      <c r="C344"/>
      <c r="D344"/>
      <c r="E344"/>
      <c r="F344"/>
      <c r="G344"/>
    </row>
    <row r="345" spans="1:7" x14ac:dyDescent="0.35">
      <c r="A345"/>
      <c r="B345"/>
      <c r="C345"/>
      <c r="D345"/>
      <c r="E345"/>
      <c r="F345"/>
      <c r="G345"/>
    </row>
    <row r="346" spans="1:7" x14ac:dyDescent="0.35">
      <c r="A346"/>
      <c r="B346"/>
      <c r="C346"/>
      <c r="D346"/>
      <c r="E346"/>
      <c r="F346"/>
      <c r="G346"/>
    </row>
    <row r="347" spans="1:7" x14ac:dyDescent="0.35">
      <c r="A347"/>
      <c r="B347"/>
      <c r="C347"/>
      <c r="D347"/>
      <c r="E347"/>
      <c r="F347"/>
      <c r="G347"/>
    </row>
    <row r="348" spans="1:7" x14ac:dyDescent="0.35">
      <c r="A348"/>
      <c r="B348"/>
      <c r="C348"/>
      <c r="D348"/>
      <c r="E348"/>
      <c r="F348"/>
      <c r="G348"/>
    </row>
    <row r="349" spans="1:7" x14ac:dyDescent="0.35">
      <c r="A349"/>
      <c r="B349"/>
      <c r="C349"/>
      <c r="D349"/>
      <c r="E349"/>
      <c r="F349"/>
      <c r="G349"/>
    </row>
    <row r="350" spans="1:7" x14ac:dyDescent="0.35">
      <c r="A350"/>
      <c r="B350"/>
      <c r="C350"/>
      <c r="D350"/>
      <c r="E350"/>
      <c r="F350"/>
      <c r="G350"/>
    </row>
    <row r="351" spans="1:7" x14ac:dyDescent="0.35">
      <c r="A351"/>
      <c r="B351"/>
      <c r="C351"/>
      <c r="D351"/>
      <c r="E351"/>
      <c r="F351"/>
      <c r="G351"/>
    </row>
    <row r="352" spans="1:7" x14ac:dyDescent="0.35">
      <c r="A352"/>
      <c r="B352"/>
      <c r="C352"/>
      <c r="D352"/>
      <c r="E352"/>
      <c r="F352"/>
      <c r="G352"/>
    </row>
    <row r="353" spans="1:7" x14ac:dyDescent="0.35">
      <c r="A353"/>
      <c r="B353"/>
      <c r="C353"/>
      <c r="D353"/>
      <c r="E353"/>
      <c r="F353"/>
      <c r="G353"/>
    </row>
    <row r="354" spans="1:7" x14ac:dyDescent="0.35">
      <c r="A354"/>
      <c r="B354"/>
      <c r="C354"/>
      <c r="D354"/>
      <c r="E354"/>
      <c r="F354"/>
      <c r="G354"/>
    </row>
    <row r="355" spans="1:7" x14ac:dyDescent="0.35">
      <c r="A355"/>
      <c r="B355"/>
      <c r="C355"/>
      <c r="D355"/>
      <c r="E355"/>
      <c r="F355"/>
      <c r="G355"/>
    </row>
    <row r="356" spans="1:7" x14ac:dyDescent="0.35">
      <c r="A356"/>
      <c r="B356"/>
      <c r="C356"/>
      <c r="D356"/>
      <c r="E356"/>
      <c r="F356"/>
      <c r="G356"/>
    </row>
    <row r="357" spans="1:7" x14ac:dyDescent="0.35">
      <c r="A357"/>
      <c r="B357"/>
      <c r="C357"/>
      <c r="D357"/>
      <c r="E357"/>
      <c r="F357"/>
      <c r="G357"/>
    </row>
    <row r="358" spans="1:7" x14ac:dyDescent="0.35">
      <c r="A358"/>
      <c r="B358"/>
      <c r="C358"/>
      <c r="D358"/>
      <c r="E358"/>
      <c r="F358"/>
      <c r="G358"/>
    </row>
    <row r="359" spans="1:7" x14ac:dyDescent="0.35">
      <c r="A359"/>
      <c r="B359"/>
      <c r="C359"/>
      <c r="D359"/>
      <c r="E359"/>
      <c r="F359"/>
      <c r="G359"/>
    </row>
    <row r="360" spans="1:7" x14ac:dyDescent="0.35">
      <c r="A360"/>
      <c r="B360"/>
      <c r="C360"/>
      <c r="D360"/>
      <c r="E360"/>
      <c r="F360"/>
      <c r="G360"/>
    </row>
    <row r="361" spans="1:7" x14ac:dyDescent="0.35">
      <c r="A361"/>
      <c r="B361"/>
      <c r="C361"/>
      <c r="D361"/>
      <c r="E361"/>
      <c r="F361"/>
      <c r="G361"/>
    </row>
    <row r="362" spans="1:7" x14ac:dyDescent="0.35">
      <c r="A362"/>
      <c r="B362"/>
      <c r="C362"/>
      <c r="D362"/>
      <c r="E362"/>
      <c r="F362"/>
      <c r="G362"/>
    </row>
    <row r="363" spans="1:7" x14ac:dyDescent="0.35">
      <c r="A363"/>
      <c r="B363"/>
      <c r="C363"/>
      <c r="D363"/>
      <c r="E363"/>
      <c r="F363"/>
      <c r="G363"/>
    </row>
    <row r="364" spans="1:7" x14ac:dyDescent="0.35">
      <c r="A364"/>
      <c r="B364"/>
      <c r="C364"/>
      <c r="D364"/>
      <c r="E364"/>
      <c r="F364"/>
      <c r="G364"/>
    </row>
    <row r="365" spans="1:7" x14ac:dyDescent="0.35">
      <c r="A365"/>
      <c r="B365"/>
      <c r="C365"/>
      <c r="D365"/>
      <c r="E365"/>
      <c r="F365"/>
      <c r="G365"/>
    </row>
    <row r="366" spans="1:7" x14ac:dyDescent="0.35">
      <c r="A366"/>
      <c r="B366"/>
      <c r="C366"/>
      <c r="D366"/>
      <c r="E366"/>
      <c r="F366"/>
      <c r="G366"/>
    </row>
    <row r="367" spans="1:7" x14ac:dyDescent="0.35">
      <c r="A367"/>
      <c r="B367"/>
      <c r="C367"/>
      <c r="D367"/>
      <c r="E367"/>
      <c r="F367"/>
      <c r="G367"/>
    </row>
    <row r="368" spans="1:7" x14ac:dyDescent="0.35">
      <c r="A368"/>
      <c r="B368"/>
      <c r="C368"/>
      <c r="D368"/>
      <c r="E368"/>
      <c r="F368"/>
      <c r="G368"/>
    </row>
    <row r="369" spans="1:7" x14ac:dyDescent="0.35">
      <c r="A369"/>
      <c r="B369"/>
      <c r="C369"/>
      <c r="D369"/>
      <c r="E369"/>
      <c r="F369"/>
      <c r="G369"/>
    </row>
    <row r="370" spans="1:7" x14ac:dyDescent="0.35">
      <c r="A370"/>
      <c r="B370"/>
      <c r="C370"/>
      <c r="D370"/>
      <c r="E370"/>
      <c r="F370"/>
      <c r="G370"/>
    </row>
    <row r="371" spans="1:7" x14ac:dyDescent="0.35">
      <c r="A371"/>
      <c r="B371"/>
      <c r="C371"/>
      <c r="D371"/>
      <c r="E371"/>
      <c r="F371"/>
      <c r="G371"/>
    </row>
    <row r="372" spans="1:7" x14ac:dyDescent="0.35">
      <c r="A372"/>
      <c r="B372"/>
      <c r="C372"/>
      <c r="D372"/>
      <c r="E372"/>
      <c r="F372"/>
      <c r="G372"/>
    </row>
    <row r="373" spans="1:7" x14ac:dyDescent="0.35">
      <c r="A373"/>
      <c r="B373"/>
      <c r="C373"/>
      <c r="D373"/>
      <c r="E373"/>
      <c r="F373"/>
      <c r="G373"/>
    </row>
    <row r="374" spans="1:7" x14ac:dyDescent="0.35">
      <c r="A374"/>
      <c r="B374"/>
      <c r="C374"/>
      <c r="D374"/>
      <c r="E374"/>
      <c r="F374"/>
      <c r="G374"/>
    </row>
    <row r="375" spans="1:7" x14ac:dyDescent="0.35">
      <c r="A375"/>
      <c r="B375"/>
      <c r="C375"/>
      <c r="D375"/>
      <c r="E375"/>
      <c r="F375"/>
      <c r="G375"/>
    </row>
    <row r="376" spans="1:7" x14ac:dyDescent="0.35">
      <c r="A376"/>
      <c r="B376"/>
      <c r="C376"/>
      <c r="D376"/>
      <c r="E376"/>
      <c r="F376"/>
      <c r="G376"/>
    </row>
    <row r="377" spans="1:7" x14ac:dyDescent="0.35">
      <c r="A377"/>
      <c r="B377"/>
      <c r="C377"/>
      <c r="D377"/>
      <c r="E377"/>
      <c r="F377"/>
      <c r="G377"/>
    </row>
    <row r="378" spans="1:7" x14ac:dyDescent="0.35">
      <c r="A378"/>
      <c r="B378"/>
      <c r="C378"/>
      <c r="D378"/>
      <c r="E378"/>
      <c r="F378"/>
      <c r="G378"/>
    </row>
    <row r="379" spans="1:7" x14ac:dyDescent="0.35">
      <c r="A379"/>
      <c r="B379"/>
      <c r="C379"/>
      <c r="D379"/>
      <c r="E379"/>
      <c r="F379"/>
      <c r="G379"/>
    </row>
    <row r="380" spans="1:7" x14ac:dyDescent="0.35">
      <c r="A380"/>
      <c r="B380"/>
      <c r="C380"/>
      <c r="D380"/>
      <c r="E380"/>
      <c r="F380"/>
      <c r="G380"/>
    </row>
    <row r="381" spans="1:7" x14ac:dyDescent="0.35">
      <c r="A381"/>
      <c r="B381"/>
      <c r="C381"/>
      <c r="D381"/>
      <c r="E381"/>
      <c r="F381"/>
      <c r="G381"/>
    </row>
    <row r="382" spans="1:7" x14ac:dyDescent="0.35">
      <c r="A382"/>
      <c r="B382"/>
      <c r="C382"/>
      <c r="D382"/>
      <c r="E382"/>
      <c r="F382"/>
      <c r="G382"/>
    </row>
    <row r="383" spans="1:7" x14ac:dyDescent="0.35">
      <c r="A383"/>
      <c r="B383"/>
      <c r="C383"/>
      <c r="D383"/>
      <c r="E383"/>
      <c r="F383"/>
      <c r="G383"/>
    </row>
    <row r="384" spans="1:7" x14ac:dyDescent="0.35">
      <c r="A384"/>
      <c r="B384"/>
      <c r="C384"/>
      <c r="D384"/>
      <c r="E384"/>
      <c r="F384"/>
      <c r="G384"/>
    </row>
    <row r="385" spans="1:7" x14ac:dyDescent="0.35">
      <c r="A385"/>
      <c r="B385"/>
      <c r="C385"/>
      <c r="D385"/>
      <c r="E385"/>
      <c r="F385"/>
      <c r="G385"/>
    </row>
    <row r="386" spans="1:7" x14ac:dyDescent="0.35">
      <c r="A386"/>
      <c r="B386"/>
      <c r="C386"/>
      <c r="D386"/>
      <c r="E386"/>
      <c r="F386"/>
      <c r="G386"/>
    </row>
    <row r="387" spans="1:7" x14ac:dyDescent="0.35">
      <c r="A387"/>
      <c r="B387"/>
      <c r="C387"/>
      <c r="D387"/>
      <c r="E387"/>
      <c r="F387"/>
      <c r="G387"/>
    </row>
    <row r="388" spans="1:7" x14ac:dyDescent="0.35">
      <c r="A388"/>
      <c r="B388"/>
      <c r="C388"/>
      <c r="D388"/>
      <c r="E388"/>
      <c r="F388"/>
      <c r="G388"/>
    </row>
    <row r="389" spans="1:7" x14ac:dyDescent="0.35">
      <c r="A389"/>
      <c r="B389"/>
      <c r="C389"/>
      <c r="D389"/>
      <c r="E389"/>
      <c r="F389"/>
      <c r="G389"/>
    </row>
    <row r="390" spans="1:7" x14ac:dyDescent="0.35">
      <c r="A390"/>
      <c r="B390"/>
      <c r="C390"/>
      <c r="D390"/>
      <c r="E390"/>
      <c r="F390"/>
      <c r="G390"/>
    </row>
    <row r="391" spans="1:7" x14ac:dyDescent="0.35">
      <c r="A391"/>
      <c r="B391"/>
      <c r="C391"/>
      <c r="D391"/>
      <c r="E391"/>
      <c r="F391"/>
      <c r="G391"/>
    </row>
    <row r="392" spans="1:7" x14ac:dyDescent="0.35">
      <c r="A392"/>
      <c r="B392"/>
      <c r="C392"/>
      <c r="D392"/>
      <c r="E392"/>
      <c r="F392"/>
      <c r="G392"/>
    </row>
    <row r="393" spans="1:7" x14ac:dyDescent="0.35">
      <c r="A393"/>
      <c r="B393"/>
      <c r="C393"/>
      <c r="D393"/>
      <c r="E393"/>
      <c r="F393"/>
      <c r="G393"/>
    </row>
    <row r="394" spans="1:7" x14ac:dyDescent="0.35">
      <c r="A394"/>
      <c r="B394"/>
      <c r="C394"/>
      <c r="D394"/>
      <c r="E394"/>
      <c r="F394"/>
      <c r="G394"/>
    </row>
    <row r="395" spans="1:7" x14ac:dyDescent="0.35">
      <c r="A395"/>
      <c r="B395"/>
      <c r="C395"/>
      <c r="D395"/>
      <c r="E395"/>
      <c r="F395"/>
      <c r="G395"/>
    </row>
    <row r="396" spans="1:7" x14ac:dyDescent="0.35">
      <c r="A396"/>
      <c r="B396"/>
      <c r="C396"/>
      <c r="D396"/>
      <c r="E396"/>
      <c r="F396"/>
      <c r="G396"/>
    </row>
    <row r="397" spans="1:7" x14ac:dyDescent="0.35">
      <c r="A397"/>
      <c r="B397"/>
      <c r="C397"/>
      <c r="D397"/>
      <c r="E397"/>
      <c r="F397"/>
      <c r="G397"/>
    </row>
    <row r="398" spans="1:7" x14ac:dyDescent="0.35">
      <c r="A398"/>
      <c r="B398"/>
      <c r="C398"/>
      <c r="D398"/>
      <c r="E398"/>
      <c r="F398"/>
      <c r="G398"/>
    </row>
    <row r="399" spans="1:7" x14ac:dyDescent="0.35">
      <c r="A399"/>
      <c r="B399"/>
      <c r="C399"/>
      <c r="D399"/>
      <c r="E399"/>
      <c r="F399"/>
      <c r="G399"/>
    </row>
    <row r="400" spans="1:7" x14ac:dyDescent="0.35">
      <c r="A400"/>
      <c r="B400"/>
      <c r="C400"/>
      <c r="D400"/>
      <c r="E400"/>
      <c r="F400"/>
      <c r="G400"/>
    </row>
    <row r="401" spans="1:7" x14ac:dyDescent="0.35">
      <c r="A401"/>
      <c r="B401"/>
      <c r="C401"/>
      <c r="D401"/>
      <c r="E401"/>
      <c r="F401"/>
      <c r="G401"/>
    </row>
    <row r="402" spans="1:7" x14ac:dyDescent="0.35">
      <c r="A402"/>
      <c r="B402"/>
      <c r="C402"/>
      <c r="D402"/>
      <c r="E402"/>
      <c r="F402"/>
      <c r="G402"/>
    </row>
    <row r="403" spans="1:7" x14ac:dyDescent="0.35">
      <c r="A403"/>
      <c r="B403"/>
      <c r="C403"/>
      <c r="D403"/>
      <c r="E403"/>
      <c r="F403"/>
      <c r="G403"/>
    </row>
    <row r="404" spans="1:7" x14ac:dyDescent="0.35">
      <c r="A404"/>
      <c r="B404"/>
      <c r="C404"/>
      <c r="D404"/>
      <c r="E404"/>
      <c r="F404"/>
      <c r="G404"/>
    </row>
    <row r="405" spans="1:7" x14ac:dyDescent="0.35">
      <c r="A405"/>
      <c r="B405"/>
      <c r="C405"/>
      <c r="D405"/>
      <c r="E405"/>
      <c r="F405"/>
      <c r="G405"/>
    </row>
    <row r="406" spans="1:7" x14ac:dyDescent="0.35">
      <c r="A406"/>
      <c r="B406"/>
      <c r="C406"/>
      <c r="D406"/>
      <c r="E406"/>
      <c r="F406"/>
      <c r="G406"/>
    </row>
    <row r="407" spans="1:7" x14ac:dyDescent="0.35">
      <c r="A407"/>
      <c r="B407"/>
      <c r="C407"/>
      <c r="D407"/>
      <c r="E407"/>
      <c r="F407"/>
      <c r="G407"/>
    </row>
    <row r="408" spans="1:7" x14ac:dyDescent="0.35">
      <c r="A408"/>
      <c r="B408"/>
      <c r="C408"/>
      <c r="D408"/>
      <c r="E408"/>
      <c r="F408"/>
      <c r="G408"/>
    </row>
    <row r="409" spans="1:7" x14ac:dyDescent="0.35">
      <c r="A409"/>
      <c r="B409"/>
      <c r="C409"/>
      <c r="D409"/>
      <c r="E409"/>
      <c r="F409"/>
      <c r="G409"/>
    </row>
    <row r="410" spans="1:7" x14ac:dyDescent="0.35">
      <c r="A410"/>
      <c r="B410"/>
      <c r="C410"/>
      <c r="D410"/>
      <c r="E410"/>
      <c r="F410"/>
      <c r="G410"/>
    </row>
    <row r="411" spans="1:7" x14ac:dyDescent="0.35">
      <c r="A411"/>
      <c r="B411"/>
      <c r="C411"/>
      <c r="D411"/>
      <c r="E411"/>
      <c r="F411"/>
      <c r="G411"/>
    </row>
    <row r="412" spans="1:7" x14ac:dyDescent="0.35">
      <c r="A412"/>
      <c r="B412"/>
      <c r="C412"/>
      <c r="D412"/>
      <c r="E412"/>
      <c r="F412"/>
      <c r="G412"/>
    </row>
    <row r="413" spans="1:7" x14ac:dyDescent="0.35">
      <c r="A413"/>
      <c r="B413"/>
      <c r="C413"/>
      <c r="D413"/>
      <c r="E413"/>
      <c r="F413"/>
      <c r="G413"/>
    </row>
    <row r="414" spans="1:7" x14ac:dyDescent="0.35">
      <c r="A414"/>
      <c r="B414"/>
      <c r="C414"/>
      <c r="D414"/>
      <c r="E414"/>
      <c r="F414"/>
      <c r="G414"/>
    </row>
    <row r="415" spans="1:7" x14ac:dyDescent="0.35">
      <c r="A415"/>
      <c r="B415"/>
      <c r="C415"/>
      <c r="D415"/>
      <c r="E415"/>
      <c r="F415"/>
      <c r="G415"/>
    </row>
    <row r="416" spans="1:7" x14ac:dyDescent="0.35">
      <c r="A416"/>
      <c r="B416"/>
      <c r="C416"/>
      <c r="D416"/>
      <c r="E416"/>
      <c r="F416"/>
      <c r="G416"/>
    </row>
    <row r="417" spans="1:7" x14ac:dyDescent="0.35">
      <c r="A417"/>
      <c r="B417"/>
      <c r="C417"/>
      <c r="D417"/>
      <c r="E417"/>
      <c r="F417"/>
      <c r="G417"/>
    </row>
    <row r="418" spans="1:7" x14ac:dyDescent="0.35">
      <c r="A418"/>
      <c r="B418"/>
      <c r="C418"/>
      <c r="D418"/>
      <c r="E418"/>
      <c r="F418"/>
      <c r="G418"/>
    </row>
    <row r="419" spans="1:7" x14ac:dyDescent="0.35">
      <c r="A419"/>
      <c r="B419"/>
      <c r="C419"/>
      <c r="D419"/>
      <c r="E419"/>
      <c r="F419"/>
      <c r="G419"/>
    </row>
    <row r="420" spans="1:7" x14ac:dyDescent="0.35">
      <c r="A420"/>
      <c r="B420"/>
      <c r="C420"/>
      <c r="D420"/>
      <c r="E420"/>
      <c r="F420"/>
      <c r="G420"/>
    </row>
    <row r="421" spans="1:7" x14ac:dyDescent="0.35">
      <c r="A421"/>
      <c r="B421"/>
      <c r="C421"/>
      <c r="D421"/>
      <c r="E421"/>
      <c r="F421"/>
      <c r="G421"/>
    </row>
    <row r="422" spans="1:7" x14ac:dyDescent="0.35">
      <c r="A422"/>
      <c r="B422"/>
      <c r="C422"/>
      <c r="D422"/>
      <c r="E422"/>
      <c r="F422"/>
      <c r="G422"/>
    </row>
    <row r="423" spans="1:7" x14ac:dyDescent="0.35">
      <c r="A423"/>
      <c r="B423"/>
      <c r="C423"/>
      <c r="D423"/>
      <c r="E423"/>
      <c r="F423"/>
      <c r="G423"/>
    </row>
    <row r="424" spans="1:7" x14ac:dyDescent="0.35">
      <c r="A424"/>
      <c r="B424"/>
      <c r="C424"/>
      <c r="D424"/>
      <c r="E424"/>
      <c r="F424"/>
      <c r="G424"/>
    </row>
    <row r="425" spans="1:7" x14ac:dyDescent="0.35">
      <c r="A425"/>
      <c r="B425"/>
      <c r="C425"/>
      <c r="D425"/>
      <c r="E425"/>
      <c r="F425"/>
      <c r="G425"/>
    </row>
    <row r="426" spans="1:7" x14ac:dyDescent="0.35">
      <c r="A426"/>
      <c r="B426"/>
      <c r="C426"/>
      <c r="D426"/>
      <c r="E426"/>
      <c r="F426"/>
      <c r="G426"/>
    </row>
    <row r="427" spans="1:7" x14ac:dyDescent="0.35">
      <c r="A427"/>
      <c r="B427"/>
      <c r="C427"/>
      <c r="D427"/>
      <c r="E427"/>
      <c r="F427"/>
      <c r="G427"/>
    </row>
    <row r="428" spans="1:7" x14ac:dyDescent="0.35">
      <c r="A428"/>
      <c r="B428"/>
      <c r="C428"/>
      <c r="D428"/>
      <c r="E428"/>
      <c r="F428"/>
      <c r="G428"/>
    </row>
    <row r="429" spans="1:7" x14ac:dyDescent="0.35">
      <c r="A429"/>
      <c r="B429"/>
      <c r="C429"/>
      <c r="D429"/>
      <c r="E429"/>
      <c r="F429"/>
      <c r="G429"/>
    </row>
    <row r="430" spans="1:7" x14ac:dyDescent="0.35">
      <c r="A430"/>
      <c r="B430"/>
      <c r="C430"/>
      <c r="D430"/>
      <c r="E430"/>
      <c r="F430"/>
      <c r="G430"/>
    </row>
    <row r="431" spans="1:7" x14ac:dyDescent="0.35">
      <c r="A431"/>
      <c r="B431"/>
      <c r="C431"/>
      <c r="D431"/>
      <c r="E431"/>
      <c r="F431"/>
      <c r="G431"/>
    </row>
    <row r="432" spans="1:7" x14ac:dyDescent="0.35">
      <c r="A432"/>
      <c r="B432"/>
      <c r="C432"/>
      <c r="D432"/>
      <c r="E432"/>
      <c r="F432"/>
      <c r="G432"/>
    </row>
    <row r="433" spans="1:7" x14ac:dyDescent="0.35">
      <c r="A433"/>
      <c r="B433"/>
      <c r="C433"/>
      <c r="D433"/>
      <c r="E433"/>
      <c r="F433"/>
      <c r="G433"/>
    </row>
    <row r="434" spans="1:7" x14ac:dyDescent="0.35">
      <c r="A434"/>
      <c r="B434"/>
      <c r="C434"/>
      <c r="D434"/>
      <c r="E434"/>
      <c r="F434"/>
      <c r="G434"/>
    </row>
    <row r="435" spans="1:7" x14ac:dyDescent="0.35">
      <c r="A435"/>
      <c r="B435"/>
      <c r="C435"/>
      <c r="D435"/>
      <c r="E435"/>
      <c r="F435"/>
      <c r="G435"/>
    </row>
    <row r="436" spans="1:7" x14ac:dyDescent="0.35">
      <c r="A436"/>
      <c r="B436"/>
      <c r="C436"/>
      <c r="D436"/>
      <c r="E436"/>
      <c r="F436"/>
      <c r="G436"/>
    </row>
    <row r="437" spans="1:7" x14ac:dyDescent="0.35">
      <c r="A437"/>
      <c r="B437"/>
      <c r="C437"/>
      <c r="D437"/>
      <c r="E437"/>
      <c r="F437"/>
      <c r="G437"/>
    </row>
    <row r="438" spans="1:7" x14ac:dyDescent="0.35">
      <c r="A438"/>
      <c r="B438"/>
      <c r="C438"/>
      <c r="D438"/>
      <c r="E438"/>
      <c r="F438"/>
      <c r="G438"/>
    </row>
    <row r="439" spans="1:7" x14ac:dyDescent="0.35">
      <c r="A439"/>
      <c r="B439"/>
      <c r="C439"/>
      <c r="D439"/>
      <c r="E439"/>
      <c r="F439"/>
      <c r="G439"/>
    </row>
    <row r="440" spans="1:7" x14ac:dyDescent="0.35">
      <c r="A440"/>
      <c r="B440"/>
      <c r="C440"/>
      <c r="D440"/>
      <c r="E440"/>
      <c r="F440"/>
      <c r="G440"/>
    </row>
    <row r="441" spans="1:7" x14ac:dyDescent="0.35">
      <c r="A441"/>
      <c r="B441"/>
      <c r="C441"/>
      <c r="D441"/>
      <c r="E441"/>
      <c r="F441"/>
      <c r="G441"/>
    </row>
    <row r="442" spans="1:7" x14ac:dyDescent="0.35">
      <c r="A442"/>
      <c r="B442"/>
      <c r="C442"/>
      <c r="D442"/>
      <c r="E442"/>
      <c r="F442"/>
      <c r="G442"/>
    </row>
    <row r="443" spans="1:7" x14ac:dyDescent="0.35">
      <c r="A443"/>
      <c r="B443"/>
      <c r="C443"/>
      <c r="D443"/>
      <c r="E443"/>
      <c r="F443"/>
      <c r="G443"/>
    </row>
    <row r="444" spans="1:7" x14ac:dyDescent="0.35">
      <c r="A444"/>
      <c r="B444"/>
      <c r="C444"/>
      <c r="D444"/>
      <c r="E444"/>
      <c r="F444"/>
      <c r="G444"/>
    </row>
    <row r="445" spans="1:7" x14ac:dyDescent="0.35">
      <c r="A445"/>
      <c r="B445"/>
      <c r="C445"/>
      <c r="D445"/>
      <c r="E445"/>
      <c r="F445"/>
      <c r="G445"/>
    </row>
    <row r="446" spans="1:7" x14ac:dyDescent="0.35">
      <c r="A446"/>
      <c r="B446"/>
      <c r="C446"/>
      <c r="D446"/>
      <c r="E446"/>
      <c r="F446"/>
      <c r="G446"/>
    </row>
    <row r="447" spans="1:7" x14ac:dyDescent="0.35">
      <c r="A447"/>
      <c r="B447"/>
      <c r="C447"/>
      <c r="D447"/>
      <c r="E447"/>
      <c r="F447"/>
      <c r="G447"/>
    </row>
    <row r="448" spans="1:7" x14ac:dyDescent="0.35">
      <c r="A448"/>
      <c r="B448"/>
      <c r="C448"/>
      <c r="D448"/>
      <c r="E448"/>
      <c r="F448"/>
      <c r="G448"/>
    </row>
    <row r="449" spans="1:7" x14ac:dyDescent="0.35">
      <c r="A449"/>
      <c r="B449"/>
      <c r="C449"/>
      <c r="D449"/>
      <c r="E449"/>
      <c r="F449"/>
      <c r="G449"/>
    </row>
    <row r="450" spans="1:7" x14ac:dyDescent="0.35">
      <c r="A450"/>
      <c r="B450"/>
      <c r="C450"/>
      <c r="D450"/>
      <c r="E450"/>
      <c r="F450"/>
      <c r="G450"/>
    </row>
    <row r="451" spans="1:7" x14ac:dyDescent="0.35">
      <c r="A451"/>
      <c r="B451"/>
      <c r="C451"/>
      <c r="D451"/>
      <c r="E451"/>
      <c r="F451"/>
      <c r="G451"/>
    </row>
    <row r="452" spans="1:7" x14ac:dyDescent="0.35">
      <c r="A452"/>
      <c r="B452"/>
      <c r="C452"/>
      <c r="D452"/>
      <c r="E452"/>
      <c r="F452"/>
      <c r="G452"/>
    </row>
    <row r="453" spans="1:7" x14ac:dyDescent="0.35">
      <c r="A453"/>
      <c r="B453"/>
      <c r="C453"/>
      <c r="D453"/>
      <c r="E453"/>
      <c r="F453"/>
      <c r="G453"/>
    </row>
    <row r="454" spans="1:7" x14ac:dyDescent="0.35">
      <c r="A454"/>
      <c r="B454"/>
      <c r="C454"/>
      <c r="D454"/>
      <c r="E454"/>
      <c r="F454"/>
      <c r="G454"/>
    </row>
    <row r="455" spans="1:7" x14ac:dyDescent="0.35">
      <c r="A455"/>
      <c r="B455"/>
      <c r="C455"/>
      <c r="D455"/>
      <c r="E455"/>
      <c r="F455"/>
      <c r="G455"/>
    </row>
    <row r="456" spans="1:7" x14ac:dyDescent="0.35">
      <c r="A456"/>
      <c r="B456"/>
      <c r="C456"/>
      <c r="D456"/>
      <c r="E456"/>
      <c r="F456"/>
      <c r="G456"/>
    </row>
    <row r="457" spans="1:7" x14ac:dyDescent="0.35">
      <c r="A457"/>
      <c r="B457"/>
      <c r="C457"/>
      <c r="D457"/>
      <c r="E457"/>
      <c r="F457"/>
      <c r="G457"/>
    </row>
    <row r="458" spans="1:7" x14ac:dyDescent="0.35">
      <c r="A458"/>
      <c r="B458"/>
      <c r="C458"/>
      <c r="D458"/>
      <c r="E458"/>
      <c r="F458"/>
      <c r="G458"/>
    </row>
    <row r="459" spans="1:7" x14ac:dyDescent="0.35">
      <c r="A459"/>
      <c r="B459"/>
      <c r="C459"/>
      <c r="D459"/>
      <c r="E459"/>
      <c r="F459"/>
      <c r="G459"/>
    </row>
    <row r="460" spans="1:7" x14ac:dyDescent="0.35">
      <c r="A460"/>
      <c r="B460"/>
      <c r="C460"/>
      <c r="D460"/>
      <c r="E460"/>
      <c r="F460"/>
      <c r="G460"/>
    </row>
    <row r="461" spans="1:7" x14ac:dyDescent="0.35">
      <c r="A461"/>
      <c r="B461"/>
      <c r="C461"/>
      <c r="D461"/>
      <c r="E461"/>
      <c r="F461"/>
      <c r="G461"/>
    </row>
    <row r="462" spans="1:7" x14ac:dyDescent="0.35">
      <c r="A462"/>
      <c r="B462"/>
      <c r="C462"/>
      <c r="D462"/>
      <c r="E462"/>
      <c r="F462"/>
      <c r="G462"/>
    </row>
    <row r="463" spans="1:7" x14ac:dyDescent="0.35">
      <c r="A463"/>
      <c r="B463"/>
      <c r="C463"/>
      <c r="D463"/>
      <c r="E463"/>
      <c r="F463"/>
      <c r="G463"/>
    </row>
    <row r="464" spans="1:7" x14ac:dyDescent="0.35">
      <c r="A464"/>
      <c r="B464"/>
      <c r="C464"/>
      <c r="D464"/>
      <c r="E464"/>
      <c r="F464"/>
      <c r="G464"/>
    </row>
    <row r="465" spans="1:7" x14ac:dyDescent="0.35">
      <c r="A465"/>
      <c r="B465"/>
      <c r="C465"/>
      <c r="D465"/>
      <c r="E465"/>
      <c r="F465"/>
      <c r="G465"/>
    </row>
    <row r="466" spans="1:7" x14ac:dyDescent="0.35">
      <c r="A466"/>
      <c r="B466"/>
      <c r="C466"/>
      <c r="D466"/>
      <c r="E466"/>
      <c r="F466"/>
      <c r="G466"/>
    </row>
    <row r="467" spans="1:7" x14ac:dyDescent="0.35">
      <c r="A467"/>
      <c r="B467"/>
      <c r="C467"/>
      <c r="D467"/>
      <c r="E467"/>
      <c r="F467"/>
      <c r="G467"/>
    </row>
    <row r="468" spans="1:7" x14ac:dyDescent="0.35">
      <c r="A468"/>
      <c r="B468"/>
      <c r="C468"/>
      <c r="D468"/>
      <c r="E468"/>
      <c r="F468"/>
      <c r="G468"/>
    </row>
    <row r="469" spans="1:7" x14ac:dyDescent="0.35">
      <c r="A469"/>
      <c r="B469"/>
      <c r="C469"/>
      <c r="D469"/>
      <c r="E469"/>
      <c r="F469"/>
      <c r="G469"/>
    </row>
    <row r="470" spans="1:7" x14ac:dyDescent="0.35">
      <c r="A470"/>
      <c r="B470"/>
      <c r="C470"/>
      <c r="D470"/>
      <c r="E470"/>
      <c r="F470"/>
      <c r="G470"/>
    </row>
    <row r="471" spans="1:7" x14ac:dyDescent="0.35">
      <c r="A471"/>
      <c r="B471"/>
      <c r="C471"/>
      <c r="D471"/>
      <c r="E471"/>
      <c r="F471"/>
      <c r="G471"/>
    </row>
    <row r="472" spans="1:7" x14ac:dyDescent="0.35">
      <c r="A472"/>
      <c r="B472"/>
      <c r="C472"/>
      <c r="D472"/>
      <c r="E472"/>
      <c r="F472"/>
      <c r="G472"/>
    </row>
    <row r="473" spans="1:7" x14ac:dyDescent="0.35">
      <c r="A473"/>
      <c r="B473"/>
      <c r="C473"/>
      <c r="D473"/>
      <c r="E473"/>
      <c r="F473"/>
      <c r="G473"/>
    </row>
    <row r="474" spans="1:7" x14ac:dyDescent="0.35">
      <c r="A474"/>
      <c r="B474"/>
      <c r="C474"/>
      <c r="D474"/>
      <c r="E474"/>
      <c r="F474"/>
      <c r="G474"/>
    </row>
    <row r="475" spans="1:7" x14ac:dyDescent="0.35">
      <c r="A475"/>
      <c r="B475"/>
      <c r="C475"/>
      <c r="D475"/>
      <c r="E475"/>
      <c r="F475"/>
      <c r="G475"/>
    </row>
    <row r="476" spans="1:7" x14ac:dyDescent="0.35">
      <c r="A476"/>
      <c r="B476"/>
      <c r="C476"/>
      <c r="D476"/>
      <c r="E476"/>
      <c r="F476"/>
      <c r="G476"/>
    </row>
    <row r="477" spans="1:7" x14ac:dyDescent="0.35">
      <c r="A477"/>
      <c r="B477"/>
      <c r="C477"/>
      <c r="D477"/>
      <c r="E477"/>
      <c r="F477"/>
      <c r="G477"/>
    </row>
    <row r="478" spans="1:7" x14ac:dyDescent="0.35">
      <c r="A478"/>
      <c r="B478"/>
      <c r="C478"/>
      <c r="D478"/>
      <c r="E478"/>
      <c r="F478"/>
      <c r="G478"/>
    </row>
    <row r="479" spans="1:7" x14ac:dyDescent="0.35">
      <c r="A479"/>
      <c r="B479"/>
      <c r="C479"/>
      <c r="D479"/>
      <c r="E479"/>
      <c r="F479"/>
      <c r="G479"/>
    </row>
    <row r="480" spans="1:7" x14ac:dyDescent="0.35">
      <c r="A480"/>
      <c r="B480"/>
      <c r="C480"/>
      <c r="D480"/>
      <c r="E480"/>
      <c r="F480"/>
      <c r="G480"/>
    </row>
    <row r="481" spans="1:7" x14ac:dyDescent="0.35">
      <c r="A481"/>
      <c r="B481"/>
      <c r="C481"/>
      <c r="D481"/>
      <c r="E481"/>
      <c r="F481"/>
      <c r="G481"/>
    </row>
    <row r="482" spans="1:7" x14ac:dyDescent="0.35">
      <c r="A482"/>
      <c r="B482"/>
      <c r="C482"/>
      <c r="D482"/>
      <c r="E482"/>
      <c r="F482"/>
      <c r="G482"/>
    </row>
    <row r="483" spans="1:7" x14ac:dyDescent="0.35">
      <c r="A483"/>
      <c r="B483"/>
      <c r="C483"/>
      <c r="D483"/>
      <c r="E483"/>
      <c r="F483"/>
      <c r="G483"/>
    </row>
    <row r="484" spans="1:7" x14ac:dyDescent="0.35">
      <c r="A484"/>
      <c r="B484"/>
      <c r="C484"/>
      <c r="D484"/>
      <c r="E484"/>
      <c r="F484"/>
      <c r="G484"/>
    </row>
    <row r="485" spans="1:7" x14ac:dyDescent="0.35">
      <c r="A485"/>
      <c r="B485"/>
      <c r="C485"/>
      <c r="D485"/>
      <c r="E485"/>
      <c r="F485"/>
      <c r="G485"/>
    </row>
    <row r="486" spans="1:7" x14ac:dyDescent="0.35">
      <c r="A486"/>
      <c r="B486"/>
      <c r="C486"/>
      <c r="D486"/>
      <c r="E486"/>
      <c r="F486"/>
      <c r="G486"/>
    </row>
    <row r="487" spans="1:7" x14ac:dyDescent="0.35">
      <c r="A487"/>
      <c r="B487"/>
      <c r="C487"/>
      <c r="D487"/>
      <c r="E487"/>
      <c r="F487"/>
      <c r="G487"/>
    </row>
    <row r="488" spans="1:7" x14ac:dyDescent="0.35">
      <c r="A488"/>
      <c r="B488"/>
      <c r="C488"/>
      <c r="D488"/>
      <c r="E488"/>
      <c r="F488"/>
      <c r="G488"/>
    </row>
    <row r="489" spans="1:7" x14ac:dyDescent="0.35">
      <c r="A489"/>
      <c r="B489"/>
      <c r="C489"/>
      <c r="D489"/>
      <c r="E489"/>
      <c r="F489"/>
      <c r="G489"/>
    </row>
    <row r="490" spans="1:7" x14ac:dyDescent="0.35">
      <c r="A490"/>
      <c r="B490"/>
      <c r="C490"/>
      <c r="D490"/>
      <c r="E490"/>
      <c r="F490"/>
      <c r="G490"/>
    </row>
    <row r="491" spans="1:7" x14ac:dyDescent="0.35">
      <c r="A491"/>
      <c r="B491"/>
      <c r="C491"/>
      <c r="D491"/>
      <c r="E491"/>
      <c r="F491"/>
      <c r="G491"/>
    </row>
    <row r="492" spans="1:7" x14ac:dyDescent="0.35">
      <c r="A492"/>
      <c r="B492"/>
      <c r="C492"/>
      <c r="D492"/>
      <c r="E492"/>
      <c r="F492"/>
      <c r="G492"/>
    </row>
    <row r="493" spans="1:7" x14ac:dyDescent="0.35">
      <c r="A493"/>
      <c r="B493"/>
      <c r="C493"/>
      <c r="D493"/>
      <c r="E493"/>
      <c r="F493"/>
      <c r="G493"/>
    </row>
    <row r="494" spans="1:7" x14ac:dyDescent="0.35">
      <c r="A494"/>
      <c r="B494"/>
      <c r="C494"/>
      <c r="D494"/>
      <c r="E494"/>
      <c r="F494"/>
      <c r="G494"/>
    </row>
    <row r="495" spans="1:7" x14ac:dyDescent="0.35">
      <c r="A495"/>
      <c r="B495"/>
      <c r="C495"/>
      <c r="D495"/>
      <c r="E495"/>
      <c r="F495"/>
      <c r="G495"/>
    </row>
    <row r="496" spans="1:7" x14ac:dyDescent="0.35">
      <c r="A496"/>
      <c r="B496"/>
      <c r="C496"/>
      <c r="D496"/>
      <c r="E496"/>
      <c r="F496"/>
      <c r="G496"/>
    </row>
    <row r="497" spans="1:7" x14ac:dyDescent="0.35">
      <c r="A497"/>
      <c r="B497"/>
      <c r="C497"/>
      <c r="D497"/>
      <c r="E497"/>
      <c r="F497"/>
      <c r="G497"/>
    </row>
    <row r="498" spans="1:7" x14ac:dyDescent="0.35">
      <c r="A498"/>
      <c r="B498"/>
      <c r="C498"/>
      <c r="D498"/>
      <c r="E498"/>
      <c r="F498"/>
      <c r="G498"/>
    </row>
    <row r="499" spans="1:7" x14ac:dyDescent="0.35">
      <c r="A499"/>
      <c r="B499"/>
      <c r="C499"/>
      <c r="D499"/>
      <c r="E499"/>
      <c r="F499"/>
      <c r="G499"/>
    </row>
    <row r="500" spans="1:7" x14ac:dyDescent="0.35">
      <c r="A500"/>
      <c r="B500"/>
      <c r="C500"/>
      <c r="D500"/>
      <c r="E500"/>
      <c r="F500"/>
      <c r="G500"/>
    </row>
    <row r="501" spans="1:7" x14ac:dyDescent="0.35">
      <c r="A501"/>
      <c r="B501"/>
      <c r="C501"/>
      <c r="D501"/>
      <c r="E501"/>
      <c r="F501"/>
      <c r="G501"/>
    </row>
    <row r="502" spans="1:7" x14ac:dyDescent="0.35">
      <c r="A502"/>
      <c r="B502"/>
      <c r="C502"/>
      <c r="D502"/>
      <c r="E502"/>
      <c r="F502"/>
      <c r="G502"/>
    </row>
    <row r="503" spans="1:7" x14ac:dyDescent="0.35">
      <c r="A503"/>
      <c r="B503"/>
      <c r="C503"/>
      <c r="D503"/>
      <c r="E503"/>
      <c r="F503"/>
      <c r="G503"/>
    </row>
    <row r="504" spans="1:7" x14ac:dyDescent="0.35">
      <c r="A504"/>
      <c r="B504"/>
      <c r="C504"/>
      <c r="D504"/>
      <c r="E504"/>
      <c r="F504"/>
      <c r="G504"/>
    </row>
    <row r="505" spans="1:7" x14ac:dyDescent="0.35">
      <c r="A505"/>
      <c r="B505"/>
      <c r="C505"/>
      <c r="D505"/>
      <c r="E505"/>
      <c r="F505"/>
      <c r="G505"/>
    </row>
    <row r="506" spans="1:7" x14ac:dyDescent="0.35">
      <c r="A506"/>
      <c r="B506"/>
      <c r="C506"/>
      <c r="D506"/>
      <c r="E506"/>
      <c r="F506"/>
      <c r="G506"/>
    </row>
    <row r="507" spans="1:7" x14ac:dyDescent="0.35">
      <c r="A507"/>
      <c r="B507"/>
      <c r="C507"/>
      <c r="D507"/>
      <c r="E507"/>
      <c r="F507"/>
      <c r="G507"/>
    </row>
    <row r="508" spans="1:7" x14ac:dyDescent="0.35">
      <c r="A508"/>
      <c r="B508"/>
      <c r="C508"/>
      <c r="D508"/>
      <c r="E508"/>
      <c r="F508"/>
      <c r="G508"/>
    </row>
    <row r="509" spans="1:7" x14ac:dyDescent="0.35">
      <c r="A509"/>
      <c r="B509"/>
      <c r="C509"/>
      <c r="D509"/>
      <c r="E509"/>
      <c r="F509"/>
      <c r="G509"/>
    </row>
    <row r="510" spans="1:7" x14ac:dyDescent="0.35">
      <c r="A510"/>
      <c r="B510"/>
      <c r="C510"/>
      <c r="D510"/>
      <c r="E510"/>
      <c r="F510"/>
      <c r="G510"/>
    </row>
    <row r="511" spans="1:7" x14ac:dyDescent="0.35">
      <c r="A511"/>
      <c r="B511"/>
      <c r="C511"/>
      <c r="D511"/>
      <c r="E511"/>
      <c r="F511"/>
      <c r="G511"/>
    </row>
    <row r="512" spans="1:7" x14ac:dyDescent="0.35">
      <c r="A512"/>
      <c r="B512"/>
      <c r="C512"/>
      <c r="D512"/>
      <c r="E512"/>
      <c r="F512"/>
      <c r="G512"/>
    </row>
    <row r="513" spans="1:7" x14ac:dyDescent="0.35">
      <c r="A513"/>
      <c r="B513"/>
      <c r="C513"/>
      <c r="D513"/>
      <c r="E513"/>
      <c r="F513"/>
      <c r="G513"/>
    </row>
    <row r="514" spans="1:7" x14ac:dyDescent="0.35">
      <c r="A514"/>
      <c r="B514"/>
      <c r="C514"/>
      <c r="D514"/>
      <c r="E514"/>
      <c r="F514"/>
      <c r="G514"/>
    </row>
    <row r="515" spans="1:7" x14ac:dyDescent="0.35">
      <c r="A515"/>
      <c r="B515"/>
      <c r="C515"/>
      <c r="D515"/>
      <c r="E515"/>
      <c r="F515"/>
      <c r="G515"/>
    </row>
    <row r="516" spans="1:7" x14ac:dyDescent="0.35">
      <c r="A516"/>
      <c r="B516"/>
      <c r="C516"/>
      <c r="D516"/>
      <c r="E516"/>
      <c r="F516"/>
      <c r="G516"/>
    </row>
    <row r="517" spans="1:7" x14ac:dyDescent="0.35">
      <c r="A517"/>
      <c r="B517"/>
      <c r="C517"/>
      <c r="D517"/>
      <c r="E517"/>
      <c r="F517"/>
      <c r="G517"/>
    </row>
    <row r="518" spans="1:7" x14ac:dyDescent="0.35">
      <c r="A518"/>
      <c r="B518"/>
      <c r="C518"/>
      <c r="D518"/>
      <c r="E518"/>
      <c r="F518"/>
      <c r="G518"/>
    </row>
    <row r="519" spans="1:7" x14ac:dyDescent="0.35">
      <c r="A519"/>
      <c r="B519"/>
      <c r="C519"/>
      <c r="D519"/>
      <c r="E519"/>
      <c r="F519"/>
      <c r="G519"/>
    </row>
    <row r="520" spans="1:7" x14ac:dyDescent="0.35">
      <c r="A520"/>
      <c r="B520"/>
      <c r="C520"/>
      <c r="D520"/>
      <c r="E520"/>
      <c r="F520"/>
      <c r="G520"/>
    </row>
    <row r="521" spans="1:7" x14ac:dyDescent="0.35">
      <c r="A521"/>
      <c r="B521"/>
      <c r="C521"/>
      <c r="D521"/>
      <c r="E521"/>
      <c r="F521"/>
      <c r="G521"/>
    </row>
    <row r="522" spans="1:7" x14ac:dyDescent="0.35">
      <c r="A522"/>
      <c r="B522"/>
      <c r="C522"/>
      <c r="D522"/>
      <c r="E522"/>
      <c r="F522"/>
      <c r="G522"/>
    </row>
    <row r="523" spans="1:7" x14ac:dyDescent="0.35">
      <c r="A523"/>
      <c r="B523"/>
      <c r="C523"/>
      <c r="D523"/>
      <c r="E523"/>
      <c r="F523"/>
      <c r="G523"/>
    </row>
    <row r="524" spans="1:7" x14ac:dyDescent="0.35">
      <c r="A524"/>
      <c r="B524"/>
      <c r="C524"/>
      <c r="D524"/>
      <c r="E524"/>
      <c r="F524"/>
      <c r="G524"/>
    </row>
    <row r="525" spans="1:7" x14ac:dyDescent="0.35">
      <c r="A525"/>
      <c r="B525"/>
      <c r="C525"/>
      <c r="D525"/>
      <c r="E525"/>
      <c r="F525"/>
      <c r="G525"/>
    </row>
    <row r="526" spans="1:7" x14ac:dyDescent="0.35">
      <c r="A526"/>
      <c r="B526"/>
      <c r="C526"/>
      <c r="D526"/>
      <c r="E526"/>
      <c r="F526"/>
      <c r="G526"/>
    </row>
    <row r="527" spans="1:7" x14ac:dyDescent="0.35">
      <c r="A527"/>
      <c r="B527"/>
      <c r="C527"/>
      <c r="D527"/>
      <c r="E527"/>
      <c r="F527"/>
      <c r="G527"/>
    </row>
    <row r="528" spans="1:7" x14ac:dyDescent="0.35">
      <c r="A528"/>
      <c r="B528"/>
      <c r="C528"/>
      <c r="D528"/>
      <c r="E528"/>
      <c r="F528"/>
      <c r="G528"/>
    </row>
    <row r="529" spans="1:7" x14ac:dyDescent="0.35">
      <c r="A529"/>
      <c r="B529"/>
      <c r="C529"/>
      <c r="D529"/>
      <c r="E529"/>
      <c r="F529"/>
      <c r="G529"/>
    </row>
    <row r="530" spans="1:7" x14ac:dyDescent="0.35">
      <c r="A530"/>
      <c r="B530"/>
      <c r="C530"/>
      <c r="D530"/>
      <c r="E530"/>
      <c r="F530"/>
      <c r="G530"/>
    </row>
    <row r="531" spans="1:7" x14ac:dyDescent="0.35">
      <c r="A531"/>
      <c r="B531"/>
      <c r="C531"/>
      <c r="D531"/>
      <c r="E531"/>
      <c r="F531"/>
      <c r="G531"/>
    </row>
    <row r="532" spans="1:7" x14ac:dyDescent="0.35">
      <c r="A532"/>
      <c r="B532"/>
      <c r="C532"/>
      <c r="D532"/>
      <c r="E532"/>
      <c r="F532"/>
      <c r="G532"/>
    </row>
    <row r="533" spans="1:7" x14ac:dyDescent="0.35">
      <c r="A533"/>
      <c r="B533"/>
      <c r="C533"/>
      <c r="D533"/>
      <c r="E533"/>
      <c r="F533"/>
      <c r="G533"/>
    </row>
    <row r="534" spans="1:7" x14ac:dyDescent="0.35">
      <c r="A534"/>
      <c r="B534"/>
      <c r="C534"/>
      <c r="D534"/>
      <c r="E534"/>
      <c r="F534"/>
      <c r="G534"/>
    </row>
    <row r="535" spans="1:7" x14ac:dyDescent="0.35">
      <c r="A535"/>
      <c r="B535"/>
      <c r="C535"/>
      <c r="D535"/>
      <c r="E535"/>
      <c r="F535"/>
      <c r="G535"/>
    </row>
    <row r="536" spans="1:7" x14ac:dyDescent="0.35">
      <c r="A536"/>
      <c r="B536"/>
      <c r="C536"/>
      <c r="D536"/>
      <c r="E536"/>
      <c r="F536"/>
      <c r="G536"/>
    </row>
    <row r="537" spans="1:7" x14ac:dyDescent="0.35">
      <c r="A537"/>
      <c r="B537"/>
      <c r="C537"/>
      <c r="D537"/>
      <c r="E537"/>
      <c r="F537"/>
      <c r="G537"/>
    </row>
    <row r="538" spans="1:7" x14ac:dyDescent="0.35">
      <c r="A538"/>
      <c r="B538"/>
      <c r="C538"/>
      <c r="D538"/>
      <c r="E538"/>
      <c r="F538"/>
      <c r="G538"/>
    </row>
    <row r="539" spans="1:7" x14ac:dyDescent="0.35">
      <c r="A539"/>
      <c r="B539"/>
      <c r="C539"/>
      <c r="D539"/>
      <c r="E539"/>
      <c r="F539"/>
      <c r="G539"/>
    </row>
    <row r="540" spans="1:7" x14ac:dyDescent="0.35">
      <c r="A540"/>
      <c r="B540"/>
      <c r="C540"/>
      <c r="D540"/>
      <c r="E540"/>
      <c r="F540"/>
      <c r="G540"/>
    </row>
    <row r="541" spans="1:7" x14ac:dyDescent="0.35">
      <c r="A541"/>
      <c r="B541"/>
      <c r="C541"/>
      <c r="D541"/>
      <c r="E541"/>
      <c r="F541"/>
      <c r="G541"/>
    </row>
    <row r="542" spans="1:7" x14ac:dyDescent="0.35">
      <c r="A542"/>
      <c r="B542"/>
      <c r="C542"/>
      <c r="D542"/>
      <c r="E542"/>
      <c r="F542"/>
      <c r="G542"/>
    </row>
    <row r="543" spans="1:7" x14ac:dyDescent="0.35">
      <c r="A543"/>
      <c r="B543"/>
      <c r="C543"/>
      <c r="D543"/>
      <c r="E543"/>
      <c r="F543"/>
      <c r="G543"/>
    </row>
    <row r="544" spans="1:7" x14ac:dyDescent="0.35">
      <c r="A544"/>
      <c r="B544"/>
      <c r="C544"/>
      <c r="D544"/>
      <c r="E544"/>
      <c r="F544"/>
      <c r="G544"/>
    </row>
    <row r="545" spans="1:7" x14ac:dyDescent="0.35">
      <c r="A545"/>
      <c r="B545"/>
      <c r="C545"/>
      <c r="D545"/>
      <c r="E545"/>
      <c r="F545"/>
      <c r="G545"/>
    </row>
    <row r="546" spans="1:7" x14ac:dyDescent="0.35">
      <c r="A546"/>
      <c r="B546"/>
      <c r="C546"/>
      <c r="D546"/>
      <c r="E546"/>
      <c r="F546"/>
      <c r="G546"/>
    </row>
    <row r="547" spans="1:7" x14ac:dyDescent="0.35">
      <c r="A547"/>
      <c r="B547"/>
      <c r="C547"/>
      <c r="D547"/>
      <c r="E547"/>
      <c r="F547"/>
      <c r="G547"/>
    </row>
    <row r="548" spans="1:7" x14ac:dyDescent="0.35">
      <c r="A548"/>
      <c r="B548"/>
      <c r="C548"/>
      <c r="D548"/>
      <c r="E548"/>
      <c r="F548"/>
      <c r="G548"/>
    </row>
    <row r="549" spans="1:7" x14ac:dyDescent="0.35">
      <c r="A549"/>
      <c r="B549"/>
      <c r="C549"/>
      <c r="D549"/>
      <c r="E549"/>
      <c r="F549"/>
      <c r="G549"/>
    </row>
    <row r="550" spans="1:7" x14ac:dyDescent="0.35">
      <c r="A550"/>
      <c r="B550"/>
      <c r="C550"/>
      <c r="D550"/>
      <c r="E550"/>
      <c r="F550"/>
      <c r="G550"/>
    </row>
    <row r="551" spans="1:7" x14ac:dyDescent="0.35">
      <c r="A551"/>
      <c r="B551"/>
      <c r="C551"/>
      <c r="D551"/>
      <c r="E551"/>
      <c r="F551"/>
      <c r="G551"/>
    </row>
    <row r="552" spans="1:7" x14ac:dyDescent="0.35">
      <c r="A552"/>
      <c r="B552"/>
      <c r="C552"/>
      <c r="D552"/>
      <c r="E552"/>
      <c r="F552"/>
      <c r="G552"/>
    </row>
    <row r="553" spans="1:7" x14ac:dyDescent="0.35">
      <c r="A553"/>
      <c r="B553"/>
      <c r="C553"/>
      <c r="D553"/>
      <c r="E553"/>
      <c r="F553"/>
      <c r="G553"/>
    </row>
    <row r="554" spans="1:7" x14ac:dyDescent="0.35">
      <c r="A554"/>
      <c r="B554"/>
      <c r="C554"/>
      <c r="D554"/>
      <c r="E554"/>
      <c r="F554"/>
      <c r="G554"/>
    </row>
    <row r="555" spans="1:7" x14ac:dyDescent="0.35">
      <c r="A555"/>
      <c r="B555"/>
      <c r="C555"/>
      <c r="D555"/>
      <c r="E555"/>
      <c r="F555"/>
      <c r="G555"/>
    </row>
    <row r="556" spans="1:7" x14ac:dyDescent="0.35">
      <c r="A556"/>
      <c r="B556"/>
      <c r="C556"/>
      <c r="D556"/>
      <c r="E556"/>
      <c r="F556"/>
      <c r="G556"/>
    </row>
    <row r="557" spans="1:7" x14ac:dyDescent="0.35">
      <c r="A557"/>
      <c r="B557"/>
      <c r="C557"/>
      <c r="D557"/>
      <c r="E557"/>
      <c r="F557"/>
      <c r="G557"/>
    </row>
    <row r="558" spans="1:7" x14ac:dyDescent="0.35">
      <c r="A558"/>
      <c r="B558"/>
      <c r="C558"/>
      <c r="D558"/>
      <c r="E558"/>
      <c r="F558"/>
      <c r="G558"/>
    </row>
    <row r="559" spans="1:7" x14ac:dyDescent="0.35">
      <c r="A559"/>
      <c r="B559"/>
      <c r="C559"/>
      <c r="D559"/>
      <c r="E559"/>
      <c r="F559"/>
      <c r="G559"/>
    </row>
    <row r="560" spans="1:7" x14ac:dyDescent="0.35">
      <c r="A560"/>
      <c r="B560"/>
      <c r="C560"/>
      <c r="D560"/>
      <c r="E560"/>
      <c r="F560"/>
      <c r="G560"/>
    </row>
    <row r="561" spans="1:7" x14ac:dyDescent="0.35">
      <c r="A561"/>
      <c r="B561"/>
      <c r="C561"/>
      <c r="D561"/>
      <c r="E561"/>
      <c r="F561"/>
      <c r="G561"/>
    </row>
    <row r="562" spans="1:7" x14ac:dyDescent="0.35">
      <c r="A562"/>
      <c r="B562"/>
      <c r="C562"/>
      <c r="D562"/>
      <c r="E562"/>
      <c r="F562"/>
      <c r="G562"/>
    </row>
    <row r="563" spans="1:7" x14ac:dyDescent="0.35">
      <c r="A563"/>
      <c r="B563"/>
      <c r="C563"/>
      <c r="D563"/>
      <c r="E563"/>
      <c r="F563"/>
      <c r="G563"/>
    </row>
    <row r="564" spans="1:7" x14ac:dyDescent="0.35">
      <c r="A564"/>
      <c r="B564"/>
      <c r="C564"/>
      <c r="D564"/>
      <c r="E564"/>
      <c r="F564"/>
      <c r="G564"/>
    </row>
    <row r="565" spans="1:7" x14ac:dyDescent="0.35">
      <c r="A565"/>
      <c r="B565"/>
      <c r="C565"/>
      <c r="D565"/>
      <c r="E565"/>
      <c r="F565"/>
      <c r="G565"/>
    </row>
    <row r="566" spans="1:7" x14ac:dyDescent="0.35">
      <c r="A566"/>
      <c r="B566"/>
      <c r="C566"/>
      <c r="D566"/>
      <c r="E566"/>
      <c r="F566"/>
      <c r="G566"/>
    </row>
    <row r="567" spans="1:7" x14ac:dyDescent="0.35">
      <c r="A567"/>
      <c r="B567"/>
      <c r="C567"/>
      <c r="D567"/>
      <c r="E567"/>
      <c r="F567"/>
      <c r="G567"/>
    </row>
    <row r="568" spans="1:7" x14ac:dyDescent="0.35">
      <c r="A568"/>
      <c r="B568"/>
      <c r="C568"/>
      <c r="D568"/>
      <c r="E568"/>
      <c r="F568"/>
      <c r="G568"/>
    </row>
    <row r="569" spans="1:7" x14ac:dyDescent="0.35">
      <c r="A569"/>
      <c r="B569"/>
      <c r="C569"/>
      <c r="D569"/>
      <c r="E569"/>
      <c r="F569"/>
      <c r="G569"/>
    </row>
    <row r="570" spans="1:7" x14ac:dyDescent="0.35">
      <c r="A570"/>
      <c r="B570"/>
      <c r="C570"/>
      <c r="D570"/>
      <c r="E570"/>
      <c r="F570"/>
      <c r="G570"/>
    </row>
    <row r="571" spans="1:7" x14ac:dyDescent="0.35">
      <c r="A571"/>
      <c r="B571"/>
      <c r="C571"/>
      <c r="D571"/>
      <c r="E571"/>
      <c r="F571"/>
      <c r="G571"/>
    </row>
    <row r="572" spans="1:7" x14ac:dyDescent="0.35">
      <c r="A572"/>
      <c r="B572"/>
      <c r="C572"/>
      <c r="D572"/>
      <c r="E572"/>
      <c r="F572"/>
      <c r="G572"/>
    </row>
    <row r="573" spans="1:7" x14ac:dyDescent="0.35">
      <c r="A573"/>
      <c r="B573"/>
      <c r="C573"/>
      <c r="D573"/>
      <c r="E573"/>
      <c r="F573"/>
      <c r="G573"/>
    </row>
    <row r="574" spans="1:7" x14ac:dyDescent="0.35">
      <c r="A574"/>
      <c r="B574"/>
      <c r="C574"/>
      <c r="D574"/>
      <c r="E574"/>
      <c r="F574"/>
      <c r="G574"/>
    </row>
    <row r="575" spans="1:7" x14ac:dyDescent="0.35">
      <c r="A575"/>
      <c r="B575"/>
      <c r="C575"/>
      <c r="D575"/>
      <c r="E575"/>
      <c r="F575"/>
      <c r="G575"/>
    </row>
    <row r="576" spans="1:7" x14ac:dyDescent="0.35">
      <c r="A576"/>
      <c r="B576"/>
      <c r="C576"/>
      <c r="D576"/>
      <c r="E576"/>
      <c r="F576"/>
      <c r="G576"/>
    </row>
    <row r="577" spans="1:7" x14ac:dyDescent="0.35">
      <c r="A577"/>
      <c r="B577"/>
      <c r="C577"/>
      <c r="D577"/>
      <c r="E577"/>
      <c r="F577"/>
      <c r="G577"/>
    </row>
    <row r="578" spans="1:7" x14ac:dyDescent="0.35">
      <c r="A578"/>
      <c r="B578"/>
      <c r="C578"/>
      <c r="D578"/>
      <c r="E578"/>
      <c r="F578"/>
      <c r="G578"/>
    </row>
    <row r="579" spans="1:7" x14ac:dyDescent="0.35">
      <c r="A579"/>
      <c r="B579"/>
      <c r="C579"/>
      <c r="D579"/>
      <c r="E579"/>
      <c r="F579"/>
      <c r="G579"/>
    </row>
    <row r="580" spans="1:7" x14ac:dyDescent="0.35">
      <c r="A580"/>
      <c r="B580"/>
      <c r="C580"/>
      <c r="D580"/>
      <c r="E580"/>
      <c r="F580"/>
      <c r="G580"/>
    </row>
    <row r="581" spans="1:7" x14ac:dyDescent="0.35">
      <c r="A581"/>
      <c r="B581"/>
      <c r="C581"/>
      <c r="D581"/>
      <c r="E581"/>
      <c r="F581"/>
      <c r="G581"/>
    </row>
    <row r="582" spans="1:7" x14ac:dyDescent="0.35">
      <c r="A582"/>
      <c r="B582"/>
      <c r="C582"/>
      <c r="D582"/>
      <c r="E582"/>
      <c r="F582"/>
      <c r="G582"/>
    </row>
    <row r="583" spans="1:7" x14ac:dyDescent="0.35">
      <c r="A583"/>
      <c r="B583"/>
      <c r="C583"/>
      <c r="D583"/>
      <c r="E583"/>
      <c r="F583"/>
      <c r="G583"/>
    </row>
    <row r="584" spans="1:7" x14ac:dyDescent="0.35">
      <c r="A584"/>
      <c r="B584"/>
      <c r="C584"/>
      <c r="D584"/>
      <c r="E584"/>
      <c r="F584"/>
      <c r="G584"/>
    </row>
    <row r="585" spans="1:7" x14ac:dyDescent="0.35">
      <c r="A585"/>
      <c r="B585"/>
      <c r="C585"/>
      <c r="D585"/>
      <c r="E585"/>
      <c r="F585"/>
      <c r="G585"/>
    </row>
    <row r="586" spans="1:7" x14ac:dyDescent="0.35">
      <c r="A586"/>
      <c r="B586"/>
      <c r="C586"/>
      <c r="D586"/>
      <c r="E586"/>
      <c r="F586"/>
      <c r="G586"/>
    </row>
    <row r="587" spans="1:7" x14ac:dyDescent="0.35">
      <c r="A587"/>
      <c r="B587"/>
      <c r="C587"/>
      <c r="D587"/>
      <c r="E587"/>
      <c r="F587"/>
      <c r="G587"/>
    </row>
    <row r="588" spans="1:7" x14ac:dyDescent="0.35">
      <c r="A588"/>
      <c r="B588"/>
      <c r="C588"/>
      <c r="D588"/>
      <c r="E588"/>
      <c r="F588"/>
      <c r="G588"/>
    </row>
    <row r="589" spans="1:7" x14ac:dyDescent="0.35">
      <c r="A589"/>
      <c r="B589"/>
      <c r="C589"/>
      <c r="D589"/>
      <c r="E589"/>
      <c r="F589"/>
      <c r="G589"/>
    </row>
    <row r="590" spans="1:7" x14ac:dyDescent="0.35">
      <c r="A590"/>
      <c r="B590"/>
      <c r="C590"/>
      <c r="D590"/>
      <c r="E590"/>
      <c r="F590"/>
      <c r="G590"/>
    </row>
    <row r="591" spans="1:7" x14ac:dyDescent="0.35">
      <c r="A591"/>
      <c r="B591"/>
      <c r="C591"/>
      <c r="D591"/>
      <c r="E591"/>
      <c r="F591"/>
      <c r="G591"/>
    </row>
    <row r="592" spans="1:7" x14ac:dyDescent="0.35">
      <c r="A592"/>
      <c r="B592"/>
      <c r="C592"/>
      <c r="D592"/>
      <c r="E592"/>
      <c r="F592"/>
      <c r="G592"/>
    </row>
    <row r="593" spans="1:7" x14ac:dyDescent="0.35">
      <c r="A593"/>
      <c r="B593"/>
      <c r="C593"/>
      <c r="D593"/>
      <c r="E593"/>
      <c r="F593"/>
      <c r="G593"/>
    </row>
    <row r="594" spans="1:7" x14ac:dyDescent="0.35">
      <c r="A594"/>
      <c r="B594"/>
      <c r="C594"/>
      <c r="D594"/>
      <c r="E594"/>
      <c r="F594"/>
      <c r="G594"/>
    </row>
    <row r="595" spans="1:7" x14ac:dyDescent="0.35">
      <c r="A595"/>
      <c r="B595"/>
      <c r="C595"/>
      <c r="D595"/>
      <c r="E595"/>
      <c r="F595"/>
      <c r="G595"/>
    </row>
    <row r="596" spans="1:7" x14ac:dyDescent="0.35">
      <c r="A596"/>
      <c r="B596"/>
      <c r="C596"/>
      <c r="D596"/>
      <c r="E596"/>
      <c r="F596"/>
      <c r="G596"/>
    </row>
    <row r="597" spans="1:7" x14ac:dyDescent="0.35">
      <c r="A597"/>
      <c r="B597"/>
      <c r="C597"/>
      <c r="D597"/>
      <c r="E597"/>
      <c r="F597"/>
      <c r="G597"/>
    </row>
    <row r="598" spans="1:7" x14ac:dyDescent="0.35">
      <c r="A598"/>
      <c r="B598"/>
      <c r="C598"/>
      <c r="D598"/>
      <c r="E598"/>
      <c r="F598"/>
      <c r="G598"/>
    </row>
    <row r="599" spans="1:7" x14ac:dyDescent="0.35">
      <c r="A599"/>
      <c r="B599"/>
      <c r="C599"/>
      <c r="D599"/>
      <c r="E599"/>
      <c r="F599"/>
      <c r="G599"/>
    </row>
    <row r="600" spans="1:7" x14ac:dyDescent="0.35">
      <c r="A600"/>
      <c r="B600"/>
      <c r="C600"/>
      <c r="D600"/>
      <c r="E600"/>
      <c r="F600"/>
      <c r="G600"/>
    </row>
    <row r="601" spans="1:7" x14ac:dyDescent="0.35">
      <c r="A601"/>
      <c r="B601"/>
      <c r="C601"/>
      <c r="D601"/>
      <c r="E601"/>
      <c r="F601"/>
      <c r="G601"/>
    </row>
    <row r="602" spans="1:7" x14ac:dyDescent="0.35">
      <c r="A602"/>
      <c r="B602"/>
      <c r="C602"/>
      <c r="D602"/>
      <c r="E602"/>
      <c r="F602"/>
      <c r="G602"/>
    </row>
    <row r="603" spans="1:7" x14ac:dyDescent="0.35">
      <c r="A603"/>
      <c r="B603"/>
      <c r="C603"/>
      <c r="D603"/>
      <c r="E603"/>
      <c r="F603"/>
      <c r="G603"/>
    </row>
    <row r="604" spans="1:7" x14ac:dyDescent="0.35">
      <c r="A604"/>
      <c r="B604"/>
      <c r="C604"/>
      <c r="D604"/>
      <c r="E604"/>
      <c r="F604"/>
      <c r="G604"/>
    </row>
    <row r="605" spans="1:7" x14ac:dyDescent="0.35">
      <c r="A605"/>
      <c r="B605"/>
      <c r="C605"/>
      <c r="D605"/>
      <c r="E605"/>
      <c r="F605"/>
      <c r="G605"/>
    </row>
    <row r="606" spans="1:7" x14ac:dyDescent="0.35">
      <c r="A606"/>
      <c r="B606"/>
      <c r="C606"/>
      <c r="D606"/>
      <c r="E606"/>
      <c r="F606"/>
      <c r="G606"/>
    </row>
    <row r="607" spans="1:7" x14ac:dyDescent="0.35">
      <c r="A607"/>
      <c r="B607"/>
      <c r="C607"/>
      <c r="D607"/>
      <c r="E607"/>
      <c r="F607"/>
      <c r="G607"/>
    </row>
    <row r="608" spans="1:7" x14ac:dyDescent="0.35">
      <c r="A608"/>
      <c r="B608"/>
      <c r="C608"/>
      <c r="D608"/>
      <c r="E608"/>
      <c r="F608"/>
      <c r="G608"/>
    </row>
    <row r="609" spans="1:7" x14ac:dyDescent="0.35">
      <c r="A609"/>
      <c r="B609"/>
      <c r="C609"/>
      <c r="D609"/>
      <c r="E609"/>
      <c r="F609"/>
      <c r="G609"/>
    </row>
    <row r="610" spans="1:7" x14ac:dyDescent="0.35">
      <c r="A610"/>
      <c r="B610"/>
      <c r="C610"/>
      <c r="D610"/>
      <c r="E610"/>
      <c r="F610"/>
      <c r="G610"/>
    </row>
    <row r="611" spans="1:7" x14ac:dyDescent="0.35">
      <c r="A611"/>
      <c r="B611"/>
      <c r="C611"/>
      <c r="D611"/>
      <c r="E611"/>
      <c r="F611"/>
      <c r="G611"/>
    </row>
    <row r="612" spans="1:7" x14ac:dyDescent="0.35">
      <c r="A612"/>
      <c r="B612"/>
      <c r="C612"/>
      <c r="D612"/>
      <c r="E612"/>
      <c r="F612"/>
      <c r="G612"/>
    </row>
    <row r="613" spans="1:7" x14ac:dyDescent="0.35">
      <c r="A613"/>
      <c r="B613"/>
      <c r="C613"/>
      <c r="D613"/>
      <c r="E613"/>
      <c r="F613"/>
      <c r="G613"/>
    </row>
    <row r="614" spans="1:7" x14ac:dyDescent="0.35">
      <c r="A614"/>
      <c r="B614"/>
      <c r="C614"/>
      <c r="D614"/>
      <c r="E614"/>
      <c r="F614"/>
      <c r="G614"/>
    </row>
    <row r="615" spans="1:7" x14ac:dyDescent="0.35">
      <c r="A615"/>
      <c r="B615"/>
      <c r="C615"/>
      <c r="D615"/>
      <c r="E615"/>
      <c r="F615"/>
      <c r="G615"/>
    </row>
    <row r="616" spans="1:7" x14ac:dyDescent="0.35">
      <c r="A616"/>
      <c r="B616"/>
      <c r="C616"/>
      <c r="D616"/>
      <c r="E616"/>
      <c r="F616"/>
      <c r="G616"/>
    </row>
    <row r="617" spans="1:7" x14ac:dyDescent="0.35">
      <c r="A617"/>
      <c r="B617"/>
      <c r="C617"/>
      <c r="D617"/>
      <c r="E617"/>
      <c r="F617"/>
      <c r="G617"/>
    </row>
    <row r="618" spans="1:7" x14ac:dyDescent="0.35">
      <c r="A618"/>
      <c r="B618"/>
      <c r="C618"/>
      <c r="D618"/>
      <c r="E618"/>
      <c r="F618"/>
      <c r="G618"/>
    </row>
    <row r="619" spans="1:7" x14ac:dyDescent="0.35">
      <c r="A619"/>
      <c r="B619"/>
      <c r="C619"/>
      <c r="D619"/>
      <c r="E619"/>
      <c r="F619"/>
      <c r="G619"/>
    </row>
    <row r="620" spans="1:7" x14ac:dyDescent="0.35">
      <c r="A620"/>
      <c r="B620"/>
      <c r="C620"/>
      <c r="D620"/>
      <c r="E620"/>
      <c r="F620"/>
      <c r="G620"/>
    </row>
    <row r="621" spans="1:7" x14ac:dyDescent="0.35">
      <c r="A621"/>
      <c r="B621"/>
      <c r="C621"/>
      <c r="D621"/>
      <c r="E621"/>
      <c r="F621"/>
      <c r="G621"/>
    </row>
    <row r="622" spans="1:7" x14ac:dyDescent="0.35">
      <c r="A622"/>
      <c r="B622"/>
      <c r="C622"/>
      <c r="D622"/>
      <c r="E622"/>
      <c r="F622"/>
      <c r="G622"/>
    </row>
    <row r="623" spans="1:7" x14ac:dyDescent="0.35">
      <c r="A623"/>
      <c r="B623"/>
      <c r="C623"/>
      <c r="D623"/>
      <c r="E623"/>
      <c r="F623"/>
      <c r="G623"/>
    </row>
    <row r="624" spans="1:7" x14ac:dyDescent="0.35">
      <c r="A624"/>
      <c r="B624"/>
      <c r="C624"/>
      <c r="D624"/>
      <c r="E624"/>
      <c r="F624"/>
      <c r="G624"/>
    </row>
    <row r="625" spans="1:7" x14ac:dyDescent="0.35">
      <c r="A625"/>
      <c r="B625"/>
      <c r="C625"/>
      <c r="D625"/>
      <c r="E625"/>
      <c r="F625"/>
      <c r="G625"/>
    </row>
    <row r="626" spans="1:7" x14ac:dyDescent="0.35">
      <c r="A626"/>
      <c r="B626"/>
      <c r="C626"/>
      <c r="D626"/>
      <c r="E626"/>
      <c r="F626"/>
      <c r="G626"/>
    </row>
    <row r="627" spans="1:7" x14ac:dyDescent="0.35">
      <c r="A627"/>
      <c r="B627"/>
      <c r="C627"/>
      <c r="D627"/>
      <c r="E627"/>
      <c r="F627"/>
      <c r="G627"/>
    </row>
    <row r="628" spans="1:7" x14ac:dyDescent="0.35">
      <c r="A628"/>
      <c r="B628"/>
      <c r="C628"/>
      <c r="D628"/>
      <c r="E628"/>
      <c r="F628"/>
      <c r="G628"/>
    </row>
    <row r="629" spans="1:7" x14ac:dyDescent="0.35">
      <c r="A629"/>
      <c r="B629"/>
      <c r="C629"/>
      <c r="D629"/>
      <c r="E629"/>
      <c r="F629"/>
      <c r="G629"/>
    </row>
    <row r="630" spans="1:7" x14ac:dyDescent="0.35">
      <c r="A630"/>
      <c r="B630"/>
      <c r="C630"/>
      <c r="D630"/>
      <c r="E630"/>
      <c r="F630"/>
      <c r="G630"/>
    </row>
    <row r="631" spans="1:7" x14ac:dyDescent="0.35">
      <c r="A631"/>
      <c r="B631"/>
      <c r="C631"/>
      <c r="D631"/>
      <c r="E631"/>
      <c r="F631"/>
      <c r="G631"/>
    </row>
    <row r="632" spans="1:7" x14ac:dyDescent="0.35">
      <c r="A632"/>
      <c r="B632"/>
      <c r="C632"/>
      <c r="D632"/>
      <c r="E632"/>
      <c r="F632"/>
      <c r="G632"/>
    </row>
    <row r="633" spans="1:7" x14ac:dyDescent="0.35">
      <c r="A633"/>
      <c r="B633"/>
      <c r="C633"/>
      <c r="D633"/>
      <c r="E633"/>
      <c r="F633"/>
      <c r="G633"/>
    </row>
    <row r="634" spans="1:7" x14ac:dyDescent="0.35">
      <c r="A634"/>
      <c r="B634"/>
      <c r="C634"/>
      <c r="D634"/>
      <c r="E634"/>
      <c r="F634"/>
      <c r="G634"/>
    </row>
    <row r="635" spans="1:7" x14ac:dyDescent="0.35">
      <c r="A635"/>
      <c r="B635"/>
      <c r="C635"/>
      <c r="D635"/>
      <c r="E635"/>
      <c r="F635"/>
      <c r="G635"/>
    </row>
    <row r="636" spans="1:7" x14ac:dyDescent="0.35">
      <c r="A636"/>
      <c r="B636"/>
      <c r="C636"/>
      <c r="D636"/>
      <c r="E636"/>
      <c r="F636"/>
      <c r="G636"/>
    </row>
    <row r="637" spans="1:7" x14ac:dyDescent="0.35">
      <c r="A637"/>
      <c r="B637"/>
      <c r="C637"/>
      <c r="D637"/>
      <c r="E637"/>
      <c r="F637"/>
      <c r="G637"/>
    </row>
    <row r="638" spans="1:7" x14ac:dyDescent="0.35">
      <c r="A638"/>
      <c r="B638"/>
      <c r="C638"/>
      <c r="D638"/>
      <c r="E638"/>
      <c r="F638"/>
      <c r="G638"/>
    </row>
    <row r="639" spans="1:7" x14ac:dyDescent="0.35">
      <c r="A639"/>
      <c r="B639"/>
      <c r="C639"/>
      <c r="D639"/>
      <c r="E639"/>
      <c r="F639"/>
      <c r="G639"/>
    </row>
    <row r="640" spans="1:7" x14ac:dyDescent="0.35">
      <c r="A640"/>
      <c r="B640"/>
      <c r="C640"/>
      <c r="D640"/>
      <c r="E640"/>
      <c r="F640"/>
      <c r="G640"/>
    </row>
    <row r="641" spans="1:7" x14ac:dyDescent="0.35">
      <c r="A641"/>
      <c r="B641"/>
      <c r="C641"/>
      <c r="D641"/>
      <c r="E641"/>
      <c r="F641"/>
      <c r="G641"/>
    </row>
    <row r="642" spans="1:7" x14ac:dyDescent="0.35">
      <c r="A642"/>
      <c r="B642"/>
      <c r="C642"/>
      <c r="D642"/>
      <c r="E642"/>
      <c r="F642"/>
      <c r="G642"/>
    </row>
    <row r="643" spans="1:7" x14ac:dyDescent="0.35">
      <c r="A643"/>
      <c r="B643"/>
      <c r="C643"/>
      <c r="D643"/>
      <c r="E643"/>
      <c r="F643"/>
      <c r="G643"/>
    </row>
    <row r="644" spans="1:7" x14ac:dyDescent="0.35">
      <c r="A644"/>
      <c r="B644"/>
      <c r="C644"/>
      <c r="D644"/>
      <c r="E644"/>
      <c r="F644"/>
      <c r="G644"/>
    </row>
    <row r="645" spans="1:7" x14ac:dyDescent="0.35">
      <c r="A645"/>
      <c r="B645"/>
      <c r="C645"/>
      <c r="D645"/>
      <c r="E645"/>
      <c r="F645"/>
      <c r="G645"/>
    </row>
    <row r="646" spans="1:7" x14ac:dyDescent="0.35">
      <c r="A646"/>
      <c r="B646"/>
      <c r="C646"/>
      <c r="D646"/>
      <c r="E646"/>
      <c r="F646"/>
      <c r="G646"/>
    </row>
    <row r="647" spans="1:7" x14ac:dyDescent="0.35">
      <c r="A647"/>
      <c r="B647"/>
      <c r="C647"/>
      <c r="D647"/>
      <c r="E647"/>
      <c r="F647"/>
      <c r="G647"/>
    </row>
    <row r="648" spans="1:7" x14ac:dyDescent="0.35">
      <c r="A648"/>
      <c r="B648"/>
      <c r="C648"/>
      <c r="D648"/>
      <c r="E648"/>
      <c r="F648"/>
      <c r="G648"/>
    </row>
    <row r="649" spans="1:7" x14ac:dyDescent="0.35">
      <c r="A649"/>
      <c r="B649"/>
      <c r="C649"/>
      <c r="D649"/>
      <c r="E649"/>
      <c r="F649"/>
      <c r="G649"/>
    </row>
    <row r="650" spans="1:7" x14ac:dyDescent="0.35">
      <c r="A650"/>
      <c r="B650"/>
      <c r="C650"/>
      <c r="D650"/>
      <c r="E650"/>
      <c r="F650"/>
      <c r="G650"/>
    </row>
    <row r="651" spans="1:7" x14ac:dyDescent="0.35">
      <c r="A651"/>
      <c r="B651"/>
      <c r="C651"/>
      <c r="D651"/>
      <c r="E651"/>
      <c r="F651"/>
      <c r="G651"/>
    </row>
    <row r="652" spans="1:7" x14ac:dyDescent="0.35">
      <c r="A652"/>
      <c r="B652"/>
      <c r="C652"/>
      <c r="D652"/>
      <c r="E652"/>
      <c r="F652"/>
      <c r="G652"/>
    </row>
    <row r="653" spans="1:7" x14ac:dyDescent="0.35">
      <c r="A653"/>
      <c r="B653"/>
      <c r="C653"/>
      <c r="D653"/>
      <c r="E653"/>
      <c r="F653"/>
      <c r="G653"/>
    </row>
    <row r="654" spans="1:7" x14ac:dyDescent="0.35">
      <c r="A654"/>
      <c r="B654"/>
      <c r="C654"/>
      <c r="D654"/>
      <c r="E654"/>
      <c r="F654"/>
      <c r="G654"/>
    </row>
    <row r="655" spans="1:7" x14ac:dyDescent="0.35">
      <c r="A655"/>
      <c r="B655"/>
      <c r="C655"/>
      <c r="D655"/>
      <c r="E655"/>
      <c r="F655"/>
      <c r="G655"/>
    </row>
    <row r="656" spans="1:7" x14ac:dyDescent="0.35">
      <c r="A656"/>
      <c r="B656"/>
      <c r="C656"/>
      <c r="D656"/>
      <c r="E656"/>
      <c r="F656"/>
      <c r="G656"/>
    </row>
    <row r="657" spans="1:7" x14ac:dyDescent="0.35">
      <c r="A657"/>
      <c r="B657"/>
      <c r="C657"/>
      <c r="D657"/>
      <c r="E657"/>
      <c r="F657"/>
      <c r="G657"/>
    </row>
    <row r="658" spans="1:7" x14ac:dyDescent="0.35">
      <c r="A658"/>
      <c r="B658"/>
      <c r="C658"/>
      <c r="D658"/>
      <c r="E658"/>
      <c r="F658"/>
      <c r="G658"/>
    </row>
    <row r="659" spans="1:7" x14ac:dyDescent="0.35">
      <c r="A659"/>
      <c r="B659"/>
      <c r="C659"/>
      <c r="D659"/>
      <c r="E659"/>
      <c r="F659"/>
      <c r="G659"/>
    </row>
    <row r="660" spans="1:7" x14ac:dyDescent="0.35">
      <c r="A660"/>
      <c r="B660"/>
      <c r="C660"/>
      <c r="D660"/>
      <c r="E660"/>
      <c r="F660"/>
      <c r="G660"/>
    </row>
    <row r="661" spans="1:7" x14ac:dyDescent="0.35">
      <c r="A661"/>
      <c r="B661"/>
      <c r="C661"/>
      <c r="D661"/>
      <c r="E661"/>
      <c r="F661"/>
      <c r="G661"/>
    </row>
    <row r="662" spans="1:7" x14ac:dyDescent="0.35">
      <c r="A662"/>
      <c r="B662"/>
      <c r="C662"/>
      <c r="D662"/>
      <c r="E662"/>
      <c r="F662"/>
      <c r="G662"/>
    </row>
    <row r="663" spans="1:7" x14ac:dyDescent="0.35">
      <c r="A663"/>
      <c r="B663"/>
      <c r="C663"/>
      <c r="D663"/>
      <c r="E663"/>
      <c r="F663"/>
      <c r="G663"/>
    </row>
    <row r="664" spans="1:7" x14ac:dyDescent="0.35">
      <c r="A664"/>
      <c r="B664"/>
      <c r="C664"/>
      <c r="D664"/>
      <c r="E664"/>
      <c r="F664"/>
      <c r="G664"/>
    </row>
    <row r="665" spans="1:7" x14ac:dyDescent="0.35">
      <c r="A665"/>
      <c r="B665"/>
      <c r="C665"/>
      <c r="D665"/>
      <c r="E665"/>
      <c r="F665"/>
      <c r="G665"/>
    </row>
    <row r="666" spans="1:7" x14ac:dyDescent="0.35">
      <c r="A666"/>
      <c r="B666"/>
      <c r="C666"/>
      <c r="D666"/>
      <c r="E666"/>
      <c r="F666"/>
      <c r="G666"/>
    </row>
    <row r="667" spans="1:7" x14ac:dyDescent="0.35">
      <c r="A667"/>
      <c r="B667"/>
      <c r="C667"/>
      <c r="D667"/>
      <c r="E667"/>
      <c r="F667"/>
      <c r="G667"/>
    </row>
    <row r="668" spans="1:7" x14ac:dyDescent="0.35">
      <c r="A668"/>
      <c r="B668"/>
      <c r="C668"/>
      <c r="D668"/>
      <c r="E668"/>
      <c r="F668"/>
      <c r="G668"/>
    </row>
    <row r="669" spans="1:7" x14ac:dyDescent="0.35">
      <c r="A669"/>
      <c r="B669"/>
      <c r="C669"/>
      <c r="D669"/>
      <c r="E669"/>
      <c r="F669"/>
      <c r="G669"/>
    </row>
    <row r="670" spans="1:7" x14ac:dyDescent="0.35">
      <c r="A670"/>
      <c r="B670"/>
      <c r="C670"/>
      <c r="D670"/>
      <c r="E670"/>
      <c r="F670"/>
      <c r="G670"/>
    </row>
    <row r="671" spans="1:7" x14ac:dyDescent="0.35">
      <c r="A671"/>
      <c r="B671"/>
      <c r="C671"/>
      <c r="D671"/>
      <c r="E671"/>
      <c r="F671"/>
      <c r="G671"/>
    </row>
    <row r="672" spans="1:7" x14ac:dyDescent="0.35">
      <c r="A672"/>
      <c r="B672"/>
      <c r="C672"/>
      <c r="D672"/>
      <c r="E672"/>
      <c r="F672"/>
      <c r="G672"/>
    </row>
    <row r="673" spans="1:7" x14ac:dyDescent="0.35">
      <c r="A673"/>
      <c r="B673"/>
      <c r="C673"/>
      <c r="D673"/>
      <c r="E673"/>
      <c r="F673"/>
      <c r="G673"/>
    </row>
    <row r="674" spans="1:7" x14ac:dyDescent="0.35">
      <c r="A674"/>
      <c r="B674"/>
      <c r="C674"/>
      <c r="D674"/>
      <c r="E674"/>
      <c r="F674"/>
      <c r="G674"/>
    </row>
    <row r="675" spans="1:7" x14ac:dyDescent="0.35">
      <c r="A675"/>
      <c r="B675"/>
      <c r="C675"/>
      <c r="D675"/>
      <c r="E675"/>
      <c r="F675"/>
      <c r="G675"/>
    </row>
    <row r="676" spans="1:7" x14ac:dyDescent="0.35">
      <c r="A676"/>
      <c r="B676"/>
      <c r="C676"/>
      <c r="D676"/>
      <c r="E676"/>
      <c r="F676"/>
      <c r="G676"/>
    </row>
    <row r="677" spans="1:7" x14ac:dyDescent="0.35">
      <c r="A677"/>
      <c r="B677"/>
      <c r="C677"/>
      <c r="D677"/>
      <c r="E677"/>
      <c r="F677"/>
      <c r="G677"/>
    </row>
    <row r="678" spans="1:7" x14ac:dyDescent="0.35">
      <c r="A678"/>
      <c r="B678"/>
      <c r="C678"/>
      <c r="D678"/>
      <c r="E678"/>
      <c r="F678"/>
      <c r="G678"/>
    </row>
    <row r="679" spans="1:7" x14ac:dyDescent="0.35">
      <c r="A679"/>
      <c r="B679"/>
      <c r="C679"/>
      <c r="D679"/>
      <c r="E679"/>
      <c r="F679"/>
      <c r="G679"/>
    </row>
    <row r="680" spans="1:7" x14ac:dyDescent="0.35">
      <c r="A680"/>
      <c r="B680"/>
      <c r="C680"/>
      <c r="D680"/>
      <c r="E680"/>
      <c r="F680"/>
      <c r="G680"/>
    </row>
    <row r="681" spans="1:7" x14ac:dyDescent="0.35">
      <c r="A681"/>
      <c r="B681"/>
      <c r="C681"/>
      <c r="D681"/>
      <c r="E681"/>
      <c r="F681"/>
      <c r="G681"/>
    </row>
    <row r="682" spans="1:7" x14ac:dyDescent="0.35">
      <c r="A682"/>
      <c r="B682"/>
      <c r="C682"/>
      <c r="D682"/>
      <c r="E682"/>
      <c r="F682"/>
      <c r="G682"/>
    </row>
    <row r="683" spans="1:7" x14ac:dyDescent="0.35">
      <c r="A683"/>
      <c r="B683"/>
      <c r="C683"/>
      <c r="D683"/>
      <c r="E683"/>
      <c r="F683"/>
      <c r="G683"/>
    </row>
    <row r="684" spans="1:7" x14ac:dyDescent="0.35">
      <c r="A684"/>
      <c r="B684"/>
      <c r="C684"/>
      <c r="D684"/>
      <c r="E684"/>
      <c r="F684"/>
      <c r="G684"/>
    </row>
    <row r="685" spans="1:7" x14ac:dyDescent="0.35">
      <c r="A685"/>
      <c r="B685"/>
      <c r="C685"/>
      <c r="D685"/>
      <c r="E685"/>
      <c r="F685"/>
      <c r="G685"/>
    </row>
    <row r="686" spans="1:7" x14ac:dyDescent="0.35">
      <c r="A686"/>
      <c r="B686"/>
      <c r="C686"/>
      <c r="D686"/>
      <c r="E686"/>
      <c r="F686"/>
      <c r="G686"/>
    </row>
    <row r="687" spans="1:7" x14ac:dyDescent="0.35">
      <c r="A687"/>
      <c r="B687"/>
      <c r="C687"/>
      <c r="D687"/>
      <c r="E687"/>
      <c r="F687"/>
      <c r="G687"/>
    </row>
    <row r="688" spans="1:7" x14ac:dyDescent="0.35">
      <c r="A688"/>
      <c r="B688"/>
      <c r="C688"/>
      <c r="D688"/>
      <c r="E688"/>
      <c r="F688"/>
      <c r="G688"/>
    </row>
    <row r="689" spans="1:7" x14ac:dyDescent="0.35">
      <c r="A689"/>
      <c r="B689"/>
      <c r="C689"/>
      <c r="D689"/>
      <c r="E689"/>
      <c r="F689"/>
      <c r="G689"/>
    </row>
    <row r="690" spans="1:7" x14ac:dyDescent="0.35">
      <c r="A690"/>
      <c r="B690"/>
      <c r="C690"/>
      <c r="D690"/>
      <c r="E690"/>
      <c r="F690"/>
      <c r="G690"/>
    </row>
    <row r="691" spans="1:7" x14ac:dyDescent="0.35">
      <c r="A691"/>
      <c r="B691"/>
      <c r="C691"/>
      <c r="D691"/>
      <c r="E691"/>
      <c r="F691"/>
      <c r="G691"/>
    </row>
    <row r="692" spans="1:7" x14ac:dyDescent="0.35">
      <c r="A692"/>
      <c r="B692"/>
      <c r="C692"/>
      <c r="D692"/>
      <c r="E692"/>
      <c r="F692"/>
      <c r="G692"/>
    </row>
    <row r="693" spans="1:7" x14ac:dyDescent="0.35">
      <c r="A693"/>
      <c r="B693"/>
      <c r="C693"/>
      <c r="D693"/>
      <c r="E693"/>
      <c r="F693"/>
      <c r="G693"/>
    </row>
    <row r="694" spans="1:7" x14ac:dyDescent="0.35">
      <c r="A694"/>
      <c r="B694"/>
      <c r="C694"/>
      <c r="D694"/>
      <c r="E694"/>
      <c r="F694"/>
      <c r="G694"/>
    </row>
    <row r="695" spans="1:7" x14ac:dyDescent="0.35">
      <c r="A695"/>
      <c r="B695"/>
      <c r="C695"/>
      <c r="D695"/>
      <c r="E695"/>
      <c r="F695"/>
      <c r="G695"/>
    </row>
    <row r="696" spans="1:7" x14ac:dyDescent="0.35">
      <c r="A696"/>
      <c r="B696"/>
      <c r="C696"/>
      <c r="D696"/>
      <c r="E696"/>
      <c r="F696"/>
      <c r="G696"/>
    </row>
    <row r="697" spans="1:7" x14ac:dyDescent="0.35">
      <c r="A697"/>
      <c r="B697"/>
      <c r="C697"/>
      <c r="D697"/>
      <c r="E697"/>
      <c r="F697"/>
      <c r="G697"/>
    </row>
    <row r="698" spans="1:7" x14ac:dyDescent="0.35">
      <c r="A698"/>
      <c r="B698"/>
      <c r="C698"/>
      <c r="D698"/>
      <c r="E698"/>
      <c r="F698"/>
      <c r="G698"/>
    </row>
    <row r="699" spans="1:7" x14ac:dyDescent="0.35">
      <c r="A699"/>
      <c r="B699"/>
      <c r="C699"/>
      <c r="D699"/>
      <c r="E699"/>
      <c r="F699"/>
      <c r="G699"/>
    </row>
    <row r="700" spans="1:7" x14ac:dyDescent="0.35">
      <c r="A700"/>
      <c r="B700"/>
      <c r="C700"/>
      <c r="D700"/>
      <c r="E700"/>
      <c r="F700"/>
      <c r="G700"/>
    </row>
    <row r="701" spans="1:7" x14ac:dyDescent="0.35">
      <c r="A701"/>
      <c r="B701"/>
      <c r="C701"/>
      <c r="D701"/>
      <c r="E701"/>
      <c r="F701"/>
      <c r="G701"/>
    </row>
    <row r="702" spans="1:7" x14ac:dyDescent="0.35">
      <c r="A702"/>
      <c r="B702"/>
      <c r="C702"/>
      <c r="D702"/>
      <c r="E702"/>
      <c r="F702"/>
      <c r="G702"/>
    </row>
    <row r="703" spans="1:7" x14ac:dyDescent="0.35">
      <c r="A703"/>
      <c r="B703"/>
      <c r="C703"/>
      <c r="D703"/>
      <c r="E703"/>
      <c r="F703"/>
      <c r="G703"/>
    </row>
    <row r="704" spans="1:7" x14ac:dyDescent="0.35">
      <c r="A704"/>
      <c r="B704"/>
      <c r="C704"/>
      <c r="D704"/>
      <c r="E704"/>
      <c r="F704"/>
      <c r="G704"/>
    </row>
    <row r="705" spans="1:7" x14ac:dyDescent="0.35">
      <c r="A705"/>
      <c r="B705"/>
      <c r="C705"/>
      <c r="D705"/>
      <c r="E705"/>
      <c r="F705"/>
      <c r="G705"/>
    </row>
    <row r="706" spans="1:7" x14ac:dyDescent="0.35">
      <c r="A706"/>
      <c r="B706"/>
      <c r="C706"/>
      <c r="D706"/>
      <c r="E706"/>
      <c r="F706"/>
      <c r="G706"/>
    </row>
    <row r="707" spans="1:7" x14ac:dyDescent="0.35">
      <c r="A707"/>
      <c r="B707"/>
      <c r="C707"/>
      <c r="D707"/>
      <c r="E707"/>
      <c r="F707"/>
      <c r="G707"/>
    </row>
    <row r="708" spans="1:7" x14ac:dyDescent="0.35">
      <c r="A708"/>
      <c r="B708"/>
      <c r="C708"/>
      <c r="D708"/>
      <c r="E708"/>
      <c r="F708"/>
      <c r="G708"/>
    </row>
    <row r="709" spans="1:7" x14ac:dyDescent="0.35">
      <c r="A709"/>
      <c r="B709"/>
      <c r="C709"/>
      <c r="D709"/>
      <c r="E709"/>
      <c r="F709"/>
      <c r="G709"/>
    </row>
    <row r="710" spans="1:7" x14ac:dyDescent="0.35">
      <c r="A710"/>
      <c r="B710"/>
      <c r="C710"/>
      <c r="D710"/>
      <c r="E710"/>
      <c r="F710"/>
      <c r="G710"/>
    </row>
    <row r="711" spans="1:7" x14ac:dyDescent="0.35">
      <c r="A711"/>
      <c r="B711"/>
      <c r="C711"/>
      <c r="D711"/>
      <c r="E711"/>
      <c r="F711"/>
      <c r="G711"/>
    </row>
    <row r="712" spans="1:7" x14ac:dyDescent="0.35">
      <c r="A712"/>
      <c r="B712"/>
      <c r="C712"/>
      <c r="D712"/>
      <c r="E712"/>
      <c r="F712"/>
      <c r="G712"/>
    </row>
    <row r="713" spans="1:7" x14ac:dyDescent="0.35">
      <c r="A713"/>
      <c r="B713"/>
      <c r="C713"/>
      <c r="D713"/>
      <c r="E713"/>
      <c r="F713"/>
      <c r="G713"/>
    </row>
    <row r="714" spans="1:7" x14ac:dyDescent="0.35">
      <c r="A714"/>
      <c r="B714"/>
      <c r="C714"/>
      <c r="D714"/>
      <c r="E714"/>
      <c r="F714"/>
      <c r="G714"/>
    </row>
    <row r="715" spans="1:7" x14ac:dyDescent="0.35">
      <c r="A715"/>
      <c r="B715"/>
      <c r="C715"/>
      <c r="D715"/>
      <c r="E715"/>
      <c r="F715"/>
      <c r="G715"/>
    </row>
    <row r="716" spans="1:7" x14ac:dyDescent="0.35">
      <c r="A716"/>
      <c r="B716"/>
      <c r="C716"/>
      <c r="D716"/>
      <c r="E716"/>
      <c r="F716"/>
      <c r="G716"/>
    </row>
    <row r="717" spans="1:7" x14ac:dyDescent="0.35">
      <c r="A717"/>
      <c r="B717"/>
      <c r="C717"/>
      <c r="D717"/>
      <c r="E717"/>
      <c r="F717"/>
      <c r="G717"/>
    </row>
    <row r="718" spans="1:7" x14ac:dyDescent="0.35">
      <c r="A718"/>
      <c r="B718"/>
      <c r="C718"/>
      <c r="D718"/>
      <c r="E718"/>
      <c r="F718"/>
      <c r="G718"/>
    </row>
    <row r="719" spans="1:7" x14ac:dyDescent="0.35">
      <c r="A719"/>
      <c r="B719"/>
      <c r="C719"/>
      <c r="D719"/>
      <c r="E719"/>
      <c r="F719"/>
      <c r="G719"/>
    </row>
    <row r="720" spans="1:7" x14ac:dyDescent="0.35">
      <c r="A720"/>
      <c r="B720"/>
      <c r="C720"/>
      <c r="D720"/>
      <c r="E720"/>
      <c r="F720"/>
      <c r="G720"/>
    </row>
    <row r="721" spans="1:7" x14ac:dyDescent="0.35">
      <c r="A721"/>
      <c r="B721"/>
      <c r="C721"/>
      <c r="D721"/>
      <c r="E721"/>
      <c r="F721"/>
      <c r="G721"/>
    </row>
    <row r="722" spans="1:7" x14ac:dyDescent="0.35">
      <c r="A722"/>
      <c r="B722"/>
      <c r="C722"/>
      <c r="D722"/>
      <c r="E722"/>
      <c r="F722"/>
      <c r="G722"/>
    </row>
    <row r="723" spans="1:7" x14ac:dyDescent="0.35">
      <c r="A723"/>
      <c r="B723"/>
      <c r="C723"/>
      <c r="D723"/>
      <c r="E723"/>
      <c r="F723"/>
      <c r="G723"/>
    </row>
    <row r="724" spans="1:7" x14ac:dyDescent="0.35">
      <c r="A724"/>
      <c r="B724"/>
      <c r="C724"/>
      <c r="D724"/>
      <c r="E724"/>
      <c r="F724"/>
      <c r="G724"/>
    </row>
    <row r="725" spans="1:7" x14ac:dyDescent="0.35">
      <c r="A725"/>
      <c r="B725"/>
      <c r="C725"/>
      <c r="D725"/>
      <c r="E725"/>
      <c r="F725"/>
      <c r="G725"/>
    </row>
    <row r="726" spans="1:7" x14ac:dyDescent="0.35">
      <c r="A726"/>
      <c r="B726"/>
      <c r="C726"/>
      <c r="D726"/>
      <c r="E726"/>
      <c r="F726"/>
      <c r="G726"/>
    </row>
    <row r="727" spans="1:7" x14ac:dyDescent="0.35">
      <c r="A727"/>
      <c r="B727"/>
      <c r="C727"/>
      <c r="D727"/>
      <c r="E727"/>
      <c r="F727"/>
      <c r="G727"/>
    </row>
    <row r="728" spans="1:7" x14ac:dyDescent="0.35">
      <c r="A728"/>
      <c r="B728"/>
      <c r="C728"/>
      <c r="D728"/>
      <c r="E728"/>
      <c r="F728"/>
      <c r="G728"/>
    </row>
    <row r="729" spans="1:7" x14ac:dyDescent="0.35">
      <c r="A729"/>
      <c r="B729"/>
      <c r="C729"/>
      <c r="D729"/>
      <c r="E729"/>
      <c r="F729"/>
      <c r="G729"/>
    </row>
    <row r="730" spans="1:7" x14ac:dyDescent="0.35">
      <c r="A730"/>
      <c r="B730"/>
      <c r="C730"/>
      <c r="D730"/>
      <c r="E730"/>
      <c r="F730"/>
      <c r="G730"/>
    </row>
    <row r="731" spans="1:7" x14ac:dyDescent="0.35">
      <c r="A731"/>
      <c r="B731"/>
      <c r="C731"/>
      <c r="D731"/>
      <c r="E731"/>
      <c r="F731"/>
      <c r="G731"/>
    </row>
    <row r="732" spans="1:7" x14ac:dyDescent="0.35">
      <c r="A732"/>
      <c r="B732"/>
      <c r="C732"/>
      <c r="D732"/>
      <c r="E732"/>
      <c r="F732"/>
      <c r="G732"/>
    </row>
    <row r="733" spans="1:7" x14ac:dyDescent="0.35">
      <c r="A733"/>
      <c r="B733"/>
      <c r="C733"/>
      <c r="D733"/>
      <c r="E733"/>
      <c r="F733"/>
      <c r="G733"/>
    </row>
    <row r="734" spans="1:7" x14ac:dyDescent="0.35">
      <c r="A734"/>
      <c r="B734"/>
      <c r="C734"/>
      <c r="D734"/>
      <c r="E734"/>
      <c r="F734"/>
      <c r="G734"/>
    </row>
    <row r="735" spans="1:7" x14ac:dyDescent="0.35">
      <c r="A735"/>
      <c r="B735"/>
      <c r="C735"/>
      <c r="D735"/>
      <c r="E735"/>
      <c r="F735"/>
      <c r="G735"/>
    </row>
    <row r="736" spans="1:7" x14ac:dyDescent="0.35">
      <c r="A736"/>
      <c r="B736"/>
      <c r="C736"/>
      <c r="D736"/>
      <c r="E736"/>
      <c r="F736"/>
      <c r="G736"/>
    </row>
    <row r="737" spans="1:7" x14ac:dyDescent="0.35">
      <c r="A737"/>
      <c r="B737"/>
      <c r="C737"/>
      <c r="D737"/>
      <c r="E737"/>
      <c r="F737"/>
      <c r="G737"/>
    </row>
    <row r="738" spans="1:7" x14ac:dyDescent="0.35">
      <c r="A738"/>
      <c r="B738"/>
      <c r="C738"/>
      <c r="D738"/>
      <c r="E738"/>
      <c r="F738"/>
      <c r="G738"/>
    </row>
    <row r="739" spans="1:7" x14ac:dyDescent="0.35">
      <c r="A739"/>
      <c r="B739"/>
      <c r="C739"/>
      <c r="D739"/>
      <c r="E739"/>
      <c r="F739"/>
      <c r="G739"/>
    </row>
    <row r="740" spans="1:7" x14ac:dyDescent="0.35">
      <c r="A740"/>
      <c r="B740"/>
      <c r="C740"/>
      <c r="D740"/>
      <c r="E740"/>
      <c r="F740"/>
      <c r="G740"/>
    </row>
    <row r="741" spans="1:7" x14ac:dyDescent="0.35">
      <c r="A741"/>
      <c r="B741"/>
      <c r="C741"/>
      <c r="D741"/>
      <c r="E741"/>
      <c r="F741"/>
      <c r="G741"/>
    </row>
    <row r="742" spans="1:7" x14ac:dyDescent="0.35">
      <c r="A742"/>
      <c r="B742"/>
      <c r="C742"/>
      <c r="D742"/>
      <c r="E742"/>
      <c r="F742"/>
      <c r="G742"/>
    </row>
    <row r="743" spans="1:7" x14ac:dyDescent="0.35">
      <c r="A743"/>
      <c r="B743"/>
      <c r="C743"/>
      <c r="D743"/>
      <c r="E743"/>
      <c r="F743"/>
      <c r="G743"/>
    </row>
    <row r="744" spans="1:7" x14ac:dyDescent="0.35">
      <c r="A744"/>
      <c r="B744"/>
      <c r="C744"/>
      <c r="D744"/>
      <c r="E744"/>
      <c r="F744"/>
      <c r="G744"/>
    </row>
    <row r="745" spans="1:7" x14ac:dyDescent="0.35">
      <c r="A745"/>
      <c r="B745"/>
      <c r="C745"/>
      <c r="D745"/>
      <c r="E745"/>
      <c r="F745"/>
      <c r="G745"/>
    </row>
    <row r="746" spans="1:7" x14ac:dyDescent="0.35">
      <c r="A746"/>
      <c r="B746"/>
      <c r="C746"/>
      <c r="D746"/>
      <c r="E746"/>
      <c r="F746"/>
      <c r="G746"/>
    </row>
    <row r="747" spans="1:7" x14ac:dyDescent="0.35">
      <c r="A747"/>
      <c r="B747"/>
      <c r="C747"/>
      <c r="D747"/>
      <c r="E747"/>
      <c r="F747"/>
      <c r="G747"/>
    </row>
    <row r="748" spans="1:7" x14ac:dyDescent="0.35">
      <c r="A748"/>
      <c r="B748"/>
      <c r="C748"/>
      <c r="D748"/>
      <c r="E748"/>
      <c r="F748"/>
      <c r="G748"/>
    </row>
    <row r="749" spans="1:7" x14ac:dyDescent="0.35">
      <c r="A749"/>
      <c r="B749"/>
      <c r="C749"/>
      <c r="D749"/>
      <c r="E749"/>
      <c r="F749"/>
      <c r="G749"/>
    </row>
    <row r="750" spans="1:7" x14ac:dyDescent="0.35">
      <c r="A750"/>
      <c r="B750"/>
      <c r="C750"/>
      <c r="D750"/>
      <c r="E750"/>
      <c r="F750"/>
      <c r="G750"/>
    </row>
    <row r="751" spans="1:7" x14ac:dyDescent="0.35">
      <c r="A751"/>
      <c r="B751"/>
      <c r="C751"/>
      <c r="D751"/>
      <c r="E751"/>
      <c r="F751"/>
      <c r="G751"/>
    </row>
    <row r="752" spans="1:7" x14ac:dyDescent="0.35">
      <c r="A752"/>
      <c r="B752"/>
      <c r="C752"/>
      <c r="D752"/>
      <c r="E752"/>
      <c r="F752"/>
      <c r="G752"/>
    </row>
    <row r="753" spans="1:7" x14ac:dyDescent="0.35">
      <c r="A753"/>
      <c r="B753"/>
      <c r="C753"/>
      <c r="D753"/>
      <c r="E753"/>
      <c r="F753"/>
      <c r="G753"/>
    </row>
    <row r="754" spans="1:7" x14ac:dyDescent="0.35">
      <c r="A754"/>
      <c r="B754"/>
      <c r="C754"/>
      <c r="D754"/>
      <c r="E754"/>
      <c r="F754"/>
      <c r="G754"/>
    </row>
    <row r="755" spans="1:7" x14ac:dyDescent="0.35">
      <c r="A755"/>
      <c r="B755"/>
      <c r="C755"/>
      <c r="D755"/>
      <c r="E755"/>
      <c r="F755"/>
      <c r="G755"/>
    </row>
    <row r="756" spans="1:7" x14ac:dyDescent="0.35">
      <c r="A756"/>
      <c r="B756"/>
      <c r="C756"/>
      <c r="D756"/>
      <c r="E756"/>
      <c r="F756"/>
      <c r="G756"/>
    </row>
    <row r="757" spans="1:7" x14ac:dyDescent="0.35">
      <c r="A757"/>
      <c r="B757"/>
      <c r="C757"/>
      <c r="D757"/>
      <c r="E757"/>
      <c r="F757"/>
      <c r="G757"/>
    </row>
    <row r="758" spans="1:7" x14ac:dyDescent="0.35">
      <c r="A758"/>
      <c r="B758"/>
      <c r="C758"/>
      <c r="D758"/>
      <c r="E758"/>
      <c r="F758"/>
      <c r="G758"/>
    </row>
    <row r="759" spans="1:7" x14ac:dyDescent="0.35">
      <c r="A759"/>
      <c r="B759"/>
      <c r="C759"/>
      <c r="D759"/>
      <c r="E759"/>
      <c r="F759"/>
      <c r="G759"/>
    </row>
    <row r="760" spans="1:7" x14ac:dyDescent="0.35">
      <c r="A760"/>
      <c r="B760"/>
      <c r="C760"/>
      <c r="D760"/>
      <c r="E760"/>
      <c r="F760"/>
      <c r="G760"/>
    </row>
    <row r="761" spans="1:7" x14ac:dyDescent="0.35">
      <c r="A761"/>
      <c r="B761"/>
      <c r="C761"/>
      <c r="D761"/>
      <c r="E761"/>
      <c r="F761"/>
      <c r="G761"/>
    </row>
    <row r="762" spans="1:7" x14ac:dyDescent="0.35">
      <c r="A762"/>
      <c r="B762"/>
      <c r="C762"/>
      <c r="D762"/>
      <c r="E762"/>
      <c r="F762"/>
      <c r="G762"/>
    </row>
    <row r="763" spans="1:7" x14ac:dyDescent="0.35">
      <c r="A763"/>
      <c r="B763"/>
      <c r="C763"/>
      <c r="D763"/>
      <c r="E763"/>
      <c r="F763"/>
      <c r="G763"/>
    </row>
    <row r="764" spans="1:7" x14ac:dyDescent="0.35">
      <c r="A764"/>
      <c r="B764"/>
      <c r="C764"/>
      <c r="D764"/>
      <c r="E764"/>
      <c r="F764"/>
      <c r="G764"/>
    </row>
    <row r="765" spans="1:7" x14ac:dyDescent="0.35">
      <c r="A765"/>
      <c r="B765"/>
      <c r="C765"/>
      <c r="D765"/>
      <c r="E765"/>
      <c r="F765"/>
      <c r="G765"/>
    </row>
    <row r="766" spans="1:7" x14ac:dyDescent="0.35">
      <c r="A766"/>
      <c r="B766"/>
      <c r="C766"/>
      <c r="D766"/>
      <c r="E766"/>
      <c r="F766"/>
      <c r="G766"/>
    </row>
    <row r="767" spans="1:7" x14ac:dyDescent="0.35">
      <c r="A767"/>
      <c r="B767"/>
      <c r="C767"/>
      <c r="D767"/>
      <c r="E767"/>
      <c r="F767"/>
      <c r="G767"/>
    </row>
    <row r="768" spans="1:7" x14ac:dyDescent="0.35">
      <c r="A768"/>
      <c r="B768"/>
      <c r="C768"/>
      <c r="D768"/>
      <c r="E768"/>
      <c r="F768"/>
      <c r="G768"/>
    </row>
    <row r="769" spans="1:7" x14ac:dyDescent="0.35">
      <c r="A769"/>
      <c r="B769"/>
      <c r="C769"/>
      <c r="D769"/>
      <c r="E769"/>
      <c r="F769"/>
      <c r="G769"/>
    </row>
    <row r="770" spans="1:7" x14ac:dyDescent="0.35">
      <c r="A770"/>
      <c r="B770"/>
      <c r="C770"/>
      <c r="D770"/>
      <c r="E770"/>
      <c r="F770"/>
      <c r="G770"/>
    </row>
    <row r="771" spans="1:7" x14ac:dyDescent="0.35">
      <c r="A771"/>
      <c r="B771"/>
      <c r="C771"/>
      <c r="D771"/>
      <c r="E771"/>
      <c r="F771"/>
      <c r="G771"/>
    </row>
    <row r="772" spans="1:7" x14ac:dyDescent="0.35">
      <c r="A772"/>
      <c r="B772"/>
      <c r="C772"/>
      <c r="D772"/>
      <c r="E772"/>
      <c r="F772"/>
      <c r="G772"/>
    </row>
    <row r="773" spans="1:7" x14ac:dyDescent="0.35">
      <c r="A773"/>
      <c r="B773"/>
      <c r="C773"/>
      <c r="D773"/>
      <c r="E773"/>
      <c r="F773"/>
      <c r="G773"/>
    </row>
    <row r="774" spans="1:7" x14ac:dyDescent="0.35">
      <c r="A774"/>
      <c r="B774"/>
      <c r="C774"/>
      <c r="D774"/>
      <c r="E774"/>
      <c r="F774"/>
      <c r="G774"/>
    </row>
    <row r="775" spans="1:7" x14ac:dyDescent="0.35">
      <c r="A775"/>
      <c r="B775"/>
      <c r="C775"/>
      <c r="D775"/>
      <c r="E775"/>
      <c r="F775"/>
      <c r="G775"/>
    </row>
    <row r="776" spans="1:7" x14ac:dyDescent="0.35">
      <c r="A776"/>
      <c r="B776"/>
      <c r="C776"/>
      <c r="D776"/>
      <c r="E776"/>
      <c r="F776"/>
      <c r="G776"/>
    </row>
    <row r="777" spans="1:7" x14ac:dyDescent="0.35">
      <c r="A777"/>
      <c r="B777"/>
      <c r="C777"/>
      <c r="D777"/>
      <c r="E777"/>
      <c r="F777"/>
      <c r="G777"/>
    </row>
    <row r="778" spans="1:7" x14ac:dyDescent="0.35">
      <c r="A778"/>
      <c r="B778"/>
      <c r="C778"/>
      <c r="D778"/>
      <c r="E778"/>
      <c r="F778"/>
      <c r="G778"/>
    </row>
    <row r="779" spans="1:7" x14ac:dyDescent="0.35">
      <c r="A779"/>
      <c r="B779"/>
      <c r="C779"/>
      <c r="D779"/>
      <c r="E779"/>
      <c r="F779"/>
      <c r="G779"/>
    </row>
    <row r="780" spans="1:7" x14ac:dyDescent="0.35">
      <c r="A780"/>
      <c r="B780"/>
      <c r="C780"/>
      <c r="D780"/>
      <c r="E780"/>
      <c r="F780"/>
      <c r="G780"/>
    </row>
    <row r="781" spans="1:7" x14ac:dyDescent="0.35">
      <c r="A781"/>
      <c r="B781"/>
      <c r="C781"/>
      <c r="D781"/>
      <c r="E781"/>
      <c r="F781"/>
      <c r="G781"/>
    </row>
    <row r="782" spans="1:7" x14ac:dyDescent="0.35">
      <c r="A782"/>
      <c r="B782"/>
      <c r="C782"/>
      <c r="D782"/>
      <c r="E782"/>
      <c r="F782"/>
      <c r="G782"/>
    </row>
    <row r="783" spans="1:7" x14ac:dyDescent="0.35">
      <c r="A783"/>
      <c r="B783"/>
      <c r="C783"/>
      <c r="D783"/>
      <c r="E783"/>
      <c r="F783"/>
      <c r="G783"/>
    </row>
    <row r="784" spans="1:7" x14ac:dyDescent="0.35">
      <c r="A784"/>
      <c r="B784"/>
      <c r="C784"/>
      <c r="D784"/>
      <c r="E784"/>
      <c r="F784"/>
      <c r="G784"/>
    </row>
    <row r="785" spans="1:7" x14ac:dyDescent="0.35">
      <c r="A785"/>
      <c r="B785"/>
      <c r="C785"/>
      <c r="D785"/>
      <c r="E785"/>
      <c r="F785"/>
      <c r="G785"/>
    </row>
    <row r="786" spans="1:7" x14ac:dyDescent="0.35">
      <c r="A786"/>
      <c r="B786"/>
      <c r="C786"/>
      <c r="D786"/>
      <c r="E786"/>
      <c r="F786"/>
      <c r="G786"/>
    </row>
    <row r="787" spans="1:7" x14ac:dyDescent="0.35">
      <c r="A787"/>
      <c r="B787"/>
      <c r="C787"/>
      <c r="D787"/>
      <c r="E787"/>
      <c r="F787"/>
      <c r="G787"/>
    </row>
    <row r="788" spans="1:7" x14ac:dyDescent="0.35">
      <c r="A788"/>
      <c r="B788"/>
      <c r="C788"/>
      <c r="D788"/>
      <c r="E788"/>
      <c r="F788"/>
      <c r="G788"/>
    </row>
    <row r="789" spans="1:7" x14ac:dyDescent="0.35">
      <c r="A789"/>
      <c r="B789"/>
      <c r="C789"/>
      <c r="D789"/>
      <c r="E789"/>
      <c r="F789"/>
      <c r="G789"/>
    </row>
    <row r="790" spans="1:7" x14ac:dyDescent="0.35">
      <c r="A790"/>
      <c r="B790"/>
      <c r="C790"/>
      <c r="D790"/>
      <c r="E790"/>
      <c r="F790"/>
      <c r="G790"/>
    </row>
    <row r="791" spans="1:7" x14ac:dyDescent="0.35">
      <c r="A791"/>
      <c r="B791"/>
      <c r="C791"/>
      <c r="D791"/>
      <c r="E791"/>
      <c r="F791"/>
      <c r="G791"/>
    </row>
    <row r="792" spans="1:7" x14ac:dyDescent="0.35">
      <c r="A792"/>
      <c r="B792"/>
      <c r="C792"/>
      <c r="D792"/>
      <c r="E792"/>
      <c r="F792"/>
      <c r="G792"/>
    </row>
    <row r="793" spans="1:7" x14ac:dyDescent="0.35">
      <c r="A793"/>
      <c r="B793"/>
      <c r="C793"/>
      <c r="D793"/>
      <c r="E793"/>
      <c r="F793"/>
      <c r="G793"/>
    </row>
    <row r="794" spans="1:7" x14ac:dyDescent="0.35">
      <c r="A794"/>
      <c r="B794"/>
      <c r="C794"/>
      <c r="D794"/>
      <c r="E794"/>
      <c r="F794"/>
      <c r="G794"/>
    </row>
    <row r="795" spans="1:7" x14ac:dyDescent="0.35">
      <c r="A795"/>
      <c r="B795"/>
      <c r="C795"/>
      <c r="D795"/>
      <c r="E795"/>
      <c r="F795"/>
      <c r="G795"/>
    </row>
    <row r="796" spans="1:7" x14ac:dyDescent="0.35">
      <c r="A796"/>
      <c r="B796"/>
      <c r="C796"/>
      <c r="D796"/>
      <c r="E796"/>
      <c r="F796"/>
      <c r="G796"/>
    </row>
    <row r="797" spans="1:7" x14ac:dyDescent="0.35">
      <c r="A797"/>
      <c r="B797"/>
      <c r="C797"/>
      <c r="D797"/>
      <c r="E797"/>
      <c r="F797"/>
      <c r="G797"/>
    </row>
    <row r="798" spans="1:7" x14ac:dyDescent="0.35">
      <c r="A798"/>
      <c r="B798"/>
      <c r="C798"/>
      <c r="D798"/>
      <c r="E798"/>
      <c r="F798"/>
      <c r="G798"/>
    </row>
    <row r="799" spans="1:7" x14ac:dyDescent="0.35">
      <c r="A799"/>
      <c r="B799"/>
      <c r="C799"/>
      <c r="D799"/>
      <c r="E799"/>
      <c r="F799"/>
      <c r="G799"/>
    </row>
    <row r="800" spans="1:7" x14ac:dyDescent="0.35">
      <c r="A800"/>
      <c r="B800"/>
      <c r="C800"/>
      <c r="D800"/>
      <c r="E800"/>
      <c r="F800"/>
      <c r="G800"/>
    </row>
    <row r="801" spans="1:7" x14ac:dyDescent="0.35">
      <c r="A801"/>
      <c r="B801"/>
      <c r="C801"/>
      <c r="D801"/>
      <c r="E801"/>
      <c r="F801"/>
      <c r="G801"/>
    </row>
    <row r="802" spans="1:7" x14ac:dyDescent="0.35">
      <c r="A802"/>
      <c r="B802"/>
      <c r="C802"/>
      <c r="D802"/>
      <c r="E802"/>
      <c r="F802"/>
      <c r="G802"/>
    </row>
    <row r="803" spans="1:7" x14ac:dyDescent="0.35">
      <c r="A803"/>
      <c r="B803"/>
      <c r="C803"/>
      <c r="D803"/>
      <c r="E803"/>
      <c r="F803"/>
      <c r="G803"/>
    </row>
    <row r="804" spans="1:7" x14ac:dyDescent="0.35">
      <c r="A804"/>
      <c r="B804"/>
      <c r="C804"/>
      <c r="D804"/>
      <c r="E804"/>
      <c r="F804"/>
      <c r="G804"/>
    </row>
    <row r="805" spans="1:7" x14ac:dyDescent="0.35">
      <c r="A805"/>
      <c r="B805"/>
      <c r="C805"/>
      <c r="D805"/>
      <c r="E805"/>
      <c r="F805"/>
      <c r="G805"/>
    </row>
    <row r="806" spans="1:7" x14ac:dyDescent="0.35">
      <c r="A806"/>
      <c r="B806"/>
      <c r="C806"/>
      <c r="D806"/>
      <c r="E806"/>
      <c r="F806"/>
      <c r="G806"/>
    </row>
    <row r="807" spans="1:7" x14ac:dyDescent="0.35">
      <c r="A807"/>
      <c r="B807"/>
      <c r="C807"/>
      <c r="D807"/>
      <c r="E807"/>
      <c r="F807"/>
      <c r="G807"/>
    </row>
    <row r="808" spans="1:7" x14ac:dyDescent="0.35">
      <c r="A808"/>
      <c r="B808"/>
      <c r="C808"/>
      <c r="D808"/>
      <c r="E808"/>
      <c r="F808"/>
      <c r="G808"/>
    </row>
    <row r="809" spans="1:7" x14ac:dyDescent="0.35">
      <c r="A809"/>
      <c r="B809"/>
      <c r="C809"/>
      <c r="D809"/>
      <c r="E809"/>
      <c r="F809"/>
      <c r="G809"/>
    </row>
    <row r="810" spans="1:7" x14ac:dyDescent="0.35">
      <c r="A810"/>
      <c r="B810"/>
      <c r="C810"/>
      <c r="D810"/>
      <c r="E810"/>
      <c r="F810"/>
      <c r="G810"/>
    </row>
    <row r="811" spans="1:7" x14ac:dyDescent="0.35">
      <c r="A811"/>
      <c r="B811"/>
      <c r="C811"/>
      <c r="D811"/>
      <c r="E811"/>
      <c r="F811"/>
      <c r="G811"/>
    </row>
    <row r="812" spans="1:7" x14ac:dyDescent="0.35">
      <c r="A812"/>
      <c r="B812"/>
      <c r="C812"/>
      <c r="D812"/>
      <c r="E812"/>
      <c r="F812"/>
      <c r="G812"/>
    </row>
    <row r="813" spans="1:7" x14ac:dyDescent="0.35">
      <c r="A813"/>
      <c r="B813"/>
      <c r="C813"/>
      <c r="D813"/>
      <c r="E813"/>
      <c r="F813"/>
      <c r="G813"/>
    </row>
    <row r="814" spans="1:7" x14ac:dyDescent="0.35">
      <c r="A814"/>
      <c r="B814"/>
      <c r="C814"/>
      <c r="D814"/>
      <c r="E814"/>
      <c r="F814"/>
      <c r="G814"/>
    </row>
    <row r="815" spans="1:7" x14ac:dyDescent="0.35">
      <c r="A815"/>
      <c r="B815"/>
      <c r="C815"/>
      <c r="D815"/>
      <c r="E815"/>
      <c r="F815"/>
      <c r="G815"/>
    </row>
    <row r="816" spans="1:7" x14ac:dyDescent="0.35">
      <c r="A816"/>
      <c r="B816"/>
      <c r="C816"/>
      <c r="D816"/>
      <c r="E816"/>
      <c r="F816"/>
      <c r="G816"/>
    </row>
    <row r="817" spans="1:7" x14ac:dyDescent="0.35">
      <c r="A817"/>
      <c r="B817"/>
      <c r="C817"/>
      <c r="D817"/>
      <c r="E817"/>
      <c r="F817"/>
      <c r="G817"/>
    </row>
    <row r="818" spans="1:7" x14ac:dyDescent="0.35">
      <c r="A818"/>
      <c r="B818"/>
      <c r="C818"/>
      <c r="D818"/>
      <c r="E818"/>
      <c r="F818"/>
      <c r="G818"/>
    </row>
    <row r="819" spans="1:7" x14ac:dyDescent="0.35">
      <c r="A819"/>
      <c r="B819"/>
      <c r="C819"/>
      <c r="D819"/>
      <c r="E819"/>
      <c r="F819"/>
      <c r="G819"/>
    </row>
    <row r="820" spans="1:7" x14ac:dyDescent="0.35">
      <c r="A820"/>
      <c r="B820"/>
      <c r="C820"/>
      <c r="D820"/>
      <c r="E820"/>
      <c r="F820"/>
      <c r="G820"/>
    </row>
    <row r="821" spans="1:7" x14ac:dyDescent="0.35">
      <c r="A821"/>
      <c r="B821"/>
      <c r="C821"/>
      <c r="D821"/>
      <c r="E821"/>
      <c r="F821"/>
      <c r="G821"/>
    </row>
    <row r="822" spans="1:7" x14ac:dyDescent="0.35">
      <c r="A822"/>
      <c r="B822"/>
      <c r="C822"/>
      <c r="D822"/>
      <c r="E822"/>
      <c r="F822"/>
      <c r="G822"/>
    </row>
    <row r="823" spans="1:7" x14ac:dyDescent="0.35">
      <c r="A823"/>
      <c r="B823"/>
      <c r="C823"/>
      <c r="D823"/>
      <c r="E823"/>
      <c r="F823"/>
      <c r="G823"/>
    </row>
    <row r="824" spans="1:7" x14ac:dyDescent="0.35">
      <c r="A824"/>
      <c r="B824"/>
      <c r="C824"/>
      <c r="D824"/>
      <c r="E824"/>
      <c r="F824"/>
      <c r="G824"/>
    </row>
    <row r="825" spans="1:7" x14ac:dyDescent="0.35">
      <c r="A825"/>
      <c r="B825"/>
      <c r="C825"/>
      <c r="D825"/>
      <c r="E825"/>
      <c r="F825"/>
      <c r="G825"/>
    </row>
    <row r="826" spans="1:7" x14ac:dyDescent="0.35">
      <c r="A826"/>
      <c r="B826"/>
      <c r="C826"/>
      <c r="D826"/>
      <c r="E826"/>
      <c r="F826"/>
      <c r="G826"/>
    </row>
    <row r="827" spans="1:7" x14ac:dyDescent="0.35">
      <c r="A827"/>
      <c r="B827"/>
      <c r="C827"/>
      <c r="D827"/>
      <c r="E827"/>
      <c r="F827"/>
      <c r="G827"/>
    </row>
    <row r="828" spans="1:7" x14ac:dyDescent="0.35">
      <c r="A828"/>
      <c r="B828"/>
      <c r="C828"/>
      <c r="D828"/>
      <c r="E828"/>
      <c r="F828"/>
      <c r="G828"/>
    </row>
    <row r="829" spans="1:7" x14ac:dyDescent="0.35">
      <c r="A829"/>
      <c r="B829"/>
      <c r="C829"/>
      <c r="D829"/>
      <c r="E829"/>
      <c r="F829"/>
      <c r="G829"/>
    </row>
    <row r="830" spans="1:7" x14ac:dyDescent="0.35">
      <c r="A830"/>
      <c r="B830"/>
      <c r="C830"/>
      <c r="D830"/>
      <c r="E830"/>
      <c r="F830"/>
      <c r="G830"/>
    </row>
    <row r="831" spans="1:7" x14ac:dyDescent="0.35">
      <c r="A831"/>
      <c r="B831"/>
      <c r="C831"/>
      <c r="D831"/>
      <c r="E831"/>
      <c r="F831"/>
      <c r="G831"/>
    </row>
    <row r="832" spans="1:7" x14ac:dyDescent="0.35">
      <c r="A832"/>
      <c r="B832"/>
      <c r="C832"/>
      <c r="D832"/>
      <c r="E832"/>
      <c r="F832"/>
      <c r="G832"/>
    </row>
    <row r="833" spans="1:7" x14ac:dyDescent="0.35">
      <c r="A833"/>
      <c r="B833"/>
      <c r="C833"/>
      <c r="D833"/>
      <c r="E833"/>
      <c r="F833"/>
      <c r="G833"/>
    </row>
    <row r="834" spans="1:7" x14ac:dyDescent="0.35">
      <c r="A834"/>
      <c r="B834"/>
      <c r="C834"/>
      <c r="D834"/>
      <c r="E834"/>
      <c r="F834"/>
      <c r="G834"/>
    </row>
    <row r="835" spans="1:7" x14ac:dyDescent="0.35">
      <c r="A835"/>
      <c r="B835"/>
      <c r="C835"/>
      <c r="D835"/>
      <c r="E835"/>
      <c r="F835"/>
      <c r="G835"/>
    </row>
    <row r="836" spans="1:7" x14ac:dyDescent="0.35">
      <c r="A836"/>
      <c r="B836"/>
      <c r="C836"/>
      <c r="D836"/>
      <c r="E836"/>
      <c r="F836"/>
      <c r="G836"/>
    </row>
    <row r="837" spans="1:7" x14ac:dyDescent="0.35">
      <c r="A837"/>
      <c r="B837"/>
      <c r="C837"/>
      <c r="D837"/>
      <c r="E837"/>
      <c r="F837"/>
      <c r="G837"/>
    </row>
    <row r="838" spans="1:7" x14ac:dyDescent="0.35">
      <c r="A838"/>
      <c r="B838"/>
      <c r="C838"/>
      <c r="D838"/>
      <c r="E838"/>
      <c r="F838"/>
      <c r="G838"/>
    </row>
    <row r="839" spans="1:7" x14ac:dyDescent="0.35">
      <c r="A839"/>
      <c r="B839"/>
      <c r="C839"/>
      <c r="D839"/>
      <c r="E839"/>
      <c r="F839"/>
      <c r="G839"/>
    </row>
    <row r="840" spans="1:7" x14ac:dyDescent="0.35">
      <c r="A840"/>
      <c r="B840"/>
      <c r="C840"/>
      <c r="D840"/>
      <c r="E840"/>
      <c r="F840"/>
      <c r="G840"/>
    </row>
    <row r="841" spans="1:7" x14ac:dyDescent="0.35">
      <c r="A841"/>
      <c r="B841"/>
      <c r="C841"/>
      <c r="D841"/>
      <c r="E841"/>
      <c r="F841"/>
      <c r="G841"/>
    </row>
    <row r="842" spans="1:7" x14ac:dyDescent="0.35">
      <c r="A842"/>
      <c r="B842"/>
      <c r="C842"/>
      <c r="D842"/>
      <c r="E842"/>
      <c r="F842"/>
      <c r="G842"/>
    </row>
    <row r="843" spans="1:7" x14ac:dyDescent="0.35">
      <c r="A843"/>
      <c r="B843"/>
      <c r="C843"/>
      <c r="D843"/>
      <c r="E843"/>
      <c r="F843"/>
      <c r="G843"/>
    </row>
    <row r="844" spans="1:7" x14ac:dyDescent="0.35">
      <c r="A844"/>
      <c r="B844"/>
      <c r="C844"/>
      <c r="D844"/>
      <c r="E844"/>
      <c r="F844"/>
      <c r="G844"/>
    </row>
    <row r="845" spans="1:7" x14ac:dyDescent="0.35">
      <c r="A845"/>
      <c r="B845"/>
      <c r="C845"/>
      <c r="D845"/>
      <c r="E845"/>
      <c r="F845"/>
      <c r="G845"/>
    </row>
    <row r="846" spans="1:7" x14ac:dyDescent="0.35">
      <c r="A846"/>
      <c r="B846"/>
      <c r="C846"/>
      <c r="D846"/>
      <c r="E846"/>
      <c r="F846"/>
      <c r="G846"/>
    </row>
    <row r="847" spans="1:7" x14ac:dyDescent="0.35">
      <c r="A847"/>
      <c r="B847"/>
      <c r="C847"/>
      <c r="D847"/>
      <c r="E847"/>
      <c r="F847"/>
      <c r="G847"/>
    </row>
    <row r="848" spans="1:7" x14ac:dyDescent="0.35">
      <c r="A848"/>
      <c r="B848"/>
      <c r="C848"/>
      <c r="D848"/>
      <c r="E848"/>
      <c r="F848"/>
      <c r="G848"/>
    </row>
    <row r="849" spans="1:7" x14ac:dyDescent="0.35">
      <c r="A849"/>
      <c r="B849"/>
      <c r="C849"/>
      <c r="D849"/>
      <c r="E849"/>
      <c r="F849"/>
      <c r="G849"/>
    </row>
    <row r="850" spans="1:7" x14ac:dyDescent="0.35">
      <c r="A850"/>
      <c r="B850"/>
      <c r="C850"/>
      <c r="D850"/>
      <c r="E850"/>
      <c r="F850"/>
      <c r="G850"/>
    </row>
    <row r="851" spans="1:7" x14ac:dyDescent="0.35">
      <c r="A851"/>
      <c r="B851"/>
      <c r="C851"/>
      <c r="D851"/>
      <c r="E851"/>
      <c r="F851"/>
      <c r="G851"/>
    </row>
    <row r="852" spans="1:7" x14ac:dyDescent="0.35">
      <c r="A852"/>
      <c r="B852"/>
      <c r="C852"/>
      <c r="D852"/>
      <c r="E852"/>
      <c r="F852"/>
      <c r="G852"/>
    </row>
    <row r="853" spans="1:7" x14ac:dyDescent="0.35">
      <c r="A853"/>
      <c r="B853"/>
      <c r="C853"/>
      <c r="D853"/>
      <c r="E853"/>
      <c r="F853"/>
      <c r="G853"/>
    </row>
    <row r="854" spans="1:7" x14ac:dyDescent="0.35">
      <c r="A854"/>
      <c r="B854"/>
      <c r="C854"/>
      <c r="D854"/>
      <c r="E854"/>
      <c r="F854"/>
      <c r="G854"/>
    </row>
    <row r="855" spans="1:7" x14ac:dyDescent="0.35">
      <c r="A855"/>
      <c r="B855"/>
      <c r="C855"/>
      <c r="D855"/>
      <c r="E855"/>
      <c r="F855"/>
      <c r="G855"/>
    </row>
    <row r="856" spans="1:7" x14ac:dyDescent="0.35">
      <c r="A856"/>
      <c r="B856"/>
      <c r="C856"/>
      <c r="D856"/>
      <c r="E856"/>
      <c r="F856"/>
      <c r="G856"/>
    </row>
    <row r="857" spans="1:7" x14ac:dyDescent="0.35">
      <c r="A857"/>
      <c r="B857"/>
      <c r="C857"/>
      <c r="D857"/>
      <c r="E857"/>
      <c r="F857"/>
      <c r="G857"/>
    </row>
    <row r="858" spans="1:7" x14ac:dyDescent="0.35">
      <c r="A858"/>
      <c r="B858"/>
      <c r="C858"/>
      <c r="D858"/>
      <c r="E858"/>
      <c r="F858"/>
      <c r="G858"/>
    </row>
    <row r="859" spans="1:7" x14ac:dyDescent="0.35">
      <c r="A859"/>
      <c r="B859"/>
      <c r="C859"/>
      <c r="D859"/>
      <c r="E859"/>
      <c r="F859"/>
      <c r="G859"/>
    </row>
    <row r="860" spans="1:7" x14ac:dyDescent="0.35">
      <c r="A860"/>
      <c r="B860"/>
      <c r="C860"/>
      <c r="D860"/>
      <c r="E860"/>
      <c r="F860"/>
      <c r="G860"/>
    </row>
    <row r="861" spans="1:7" x14ac:dyDescent="0.35">
      <c r="A861"/>
      <c r="B861"/>
      <c r="C861"/>
      <c r="D861"/>
      <c r="E861"/>
      <c r="F861"/>
      <c r="G861"/>
    </row>
    <row r="862" spans="1:7" x14ac:dyDescent="0.35">
      <c r="A862"/>
      <c r="B862"/>
      <c r="C862"/>
      <c r="D862"/>
      <c r="E862"/>
      <c r="F862"/>
      <c r="G862"/>
    </row>
    <row r="863" spans="1:7" x14ac:dyDescent="0.35">
      <c r="A863"/>
      <c r="B863"/>
      <c r="C863"/>
      <c r="D863"/>
      <c r="E863"/>
      <c r="F863"/>
      <c r="G863"/>
    </row>
    <row r="864" spans="1:7" x14ac:dyDescent="0.35">
      <c r="A864"/>
      <c r="B864"/>
      <c r="C864"/>
      <c r="D864"/>
      <c r="E864"/>
      <c r="F864"/>
      <c r="G864"/>
    </row>
    <row r="865" spans="1:7" x14ac:dyDescent="0.35">
      <c r="A865"/>
      <c r="B865"/>
      <c r="C865"/>
      <c r="D865"/>
      <c r="E865"/>
      <c r="F865"/>
      <c r="G865"/>
    </row>
    <row r="866" spans="1:7" x14ac:dyDescent="0.35">
      <c r="A866"/>
      <c r="B866"/>
      <c r="C866"/>
      <c r="D866"/>
      <c r="E866"/>
      <c r="F866"/>
      <c r="G866"/>
    </row>
    <row r="867" spans="1:7" x14ac:dyDescent="0.35">
      <c r="A867"/>
      <c r="B867"/>
      <c r="C867"/>
      <c r="D867"/>
      <c r="E867"/>
      <c r="F867"/>
      <c r="G867"/>
    </row>
    <row r="868" spans="1:7" x14ac:dyDescent="0.35">
      <c r="A868"/>
      <c r="B868"/>
      <c r="C868"/>
      <c r="D868"/>
      <c r="E868"/>
      <c r="F868"/>
      <c r="G868"/>
    </row>
    <row r="869" spans="1:7" x14ac:dyDescent="0.35">
      <c r="A869"/>
      <c r="B869"/>
      <c r="C869"/>
      <c r="D869"/>
      <c r="E869"/>
      <c r="F869"/>
      <c r="G869"/>
    </row>
    <row r="870" spans="1:7" x14ac:dyDescent="0.35">
      <c r="A870"/>
      <c r="B870"/>
      <c r="C870"/>
      <c r="D870"/>
      <c r="E870"/>
      <c r="F870"/>
      <c r="G870"/>
    </row>
    <row r="871" spans="1:7" x14ac:dyDescent="0.35">
      <c r="A871"/>
      <c r="B871"/>
      <c r="C871"/>
      <c r="D871"/>
      <c r="E871"/>
      <c r="F871"/>
      <c r="G871"/>
    </row>
    <row r="872" spans="1:7" x14ac:dyDescent="0.35">
      <c r="A872"/>
      <c r="B872"/>
      <c r="C872"/>
      <c r="D872"/>
      <c r="E872"/>
      <c r="F872"/>
      <c r="G872"/>
    </row>
    <row r="873" spans="1:7" x14ac:dyDescent="0.35">
      <c r="A873"/>
      <c r="B873"/>
      <c r="C873"/>
      <c r="D873"/>
      <c r="E873"/>
      <c r="F873"/>
      <c r="G873"/>
    </row>
    <row r="874" spans="1:7" x14ac:dyDescent="0.35">
      <c r="A874"/>
      <c r="B874"/>
      <c r="C874"/>
      <c r="D874"/>
      <c r="E874"/>
      <c r="F874"/>
      <c r="G874"/>
    </row>
    <row r="875" spans="1:7" x14ac:dyDescent="0.35">
      <c r="A875"/>
      <c r="B875"/>
      <c r="C875"/>
      <c r="D875"/>
      <c r="E875"/>
      <c r="F875"/>
      <c r="G875"/>
    </row>
    <row r="876" spans="1:7" x14ac:dyDescent="0.35">
      <c r="A876"/>
      <c r="B876"/>
      <c r="C876"/>
      <c r="D876"/>
      <c r="E876"/>
      <c r="F876"/>
      <c r="G876"/>
    </row>
    <row r="877" spans="1:7" x14ac:dyDescent="0.35">
      <c r="A877"/>
      <c r="B877"/>
      <c r="C877"/>
      <c r="D877"/>
      <c r="E877"/>
      <c r="F877"/>
      <c r="G877"/>
    </row>
    <row r="878" spans="1:7" x14ac:dyDescent="0.35">
      <c r="A878"/>
      <c r="B878"/>
      <c r="C878"/>
      <c r="D878"/>
      <c r="E878"/>
      <c r="F878"/>
      <c r="G878"/>
    </row>
    <row r="879" spans="1:7" x14ac:dyDescent="0.35">
      <c r="A879"/>
      <c r="B879"/>
      <c r="C879"/>
      <c r="D879"/>
      <c r="E879"/>
      <c r="F879"/>
      <c r="G879"/>
    </row>
    <row r="880" spans="1:7" x14ac:dyDescent="0.35">
      <c r="A880"/>
      <c r="B880"/>
      <c r="C880"/>
      <c r="D880"/>
      <c r="E880"/>
      <c r="F880"/>
      <c r="G880"/>
    </row>
    <row r="881" spans="1:7" x14ac:dyDescent="0.35">
      <c r="A881"/>
      <c r="B881"/>
      <c r="C881"/>
      <c r="D881"/>
      <c r="E881"/>
      <c r="F881"/>
      <c r="G881"/>
    </row>
    <row r="882" spans="1:7" x14ac:dyDescent="0.35">
      <c r="A882"/>
      <c r="B882"/>
      <c r="C882"/>
      <c r="D882"/>
      <c r="E882"/>
      <c r="F882"/>
      <c r="G882"/>
    </row>
    <row r="883" spans="1:7" x14ac:dyDescent="0.35">
      <c r="A883"/>
      <c r="B883"/>
      <c r="C883"/>
      <c r="D883"/>
      <c r="E883"/>
      <c r="F883"/>
      <c r="G883"/>
    </row>
    <row r="884" spans="1:7" x14ac:dyDescent="0.35">
      <c r="A884"/>
      <c r="B884"/>
      <c r="C884"/>
      <c r="D884"/>
      <c r="E884"/>
      <c r="F884"/>
      <c r="G884"/>
    </row>
    <row r="885" spans="1:7" x14ac:dyDescent="0.35">
      <c r="A885"/>
      <c r="B885"/>
      <c r="C885"/>
      <c r="D885"/>
      <c r="E885"/>
      <c r="F885"/>
      <c r="G885"/>
    </row>
    <row r="886" spans="1:7" x14ac:dyDescent="0.35">
      <c r="A886"/>
      <c r="B886"/>
      <c r="C886"/>
      <c r="D886"/>
      <c r="E886"/>
      <c r="F886"/>
      <c r="G886"/>
    </row>
    <row r="887" spans="1:7" x14ac:dyDescent="0.35">
      <c r="A887"/>
      <c r="B887"/>
      <c r="C887"/>
      <c r="D887"/>
      <c r="E887"/>
      <c r="F887"/>
      <c r="G887"/>
    </row>
    <row r="888" spans="1:7" x14ac:dyDescent="0.35">
      <c r="A888"/>
      <c r="B888"/>
      <c r="C888"/>
      <c r="D888"/>
      <c r="E888"/>
      <c r="F888"/>
      <c r="G888"/>
    </row>
    <row r="889" spans="1:7" x14ac:dyDescent="0.35">
      <c r="A889"/>
      <c r="B889"/>
      <c r="C889"/>
      <c r="D889"/>
      <c r="E889"/>
      <c r="F889"/>
      <c r="G889"/>
    </row>
    <row r="890" spans="1:7" x14ac:dyDescent="0.35">
      <c r="A890"/>
      <c r="B890"/>
      <c r="C890"/>
      <c r="D890"/>
      <c r="E890"/>
      <c r="F890"/>
      <c r="G890"/>
    </row>
    <row r="891" spans="1:7" x14ac:dyDescent="0.35">
      <c r="A891"/>
      <c r="B891"/>
      <c r="C891"/>
      <c r="D891"/>
      <c r="E891"/>
      <c r="F891"/>
      <c r="G891"/>
    </row>
    <row r="892" spans="1:7" x14ac:dyDescent="0.35">
      <c r="A892"/>
      <c r="B892"/>
      <c r="C892"/>
      <c r="D892"/>
      <c r="E892"/>
      <c r="F892"/>
      <c r="G892"/>
    </row>
    <row r="893" spans="1:7" x14ac:dyDescent="0.35">
      <c r="A893"/>
      <c r="B893"/>
      <c r="C893"/>
      <c r="D893"/>
      <c r="E893"/>
      <c r="F893"/>
      <c r="G893"/>
    </row>
    <row r="894" spans="1:7" x14ac:dyDescent="0.35">
      <c r="A894"/>
      <c r="B894"/>
      <c r="C894"/>
      <c r="D894"/>
      <c r="E894"/>
      <c r="F894"/>
      <c r="G894"/>
    </row>
    <row r="895" spans="1:7" x14ac:dyDescent="0.35">
      <c r="A895"/>
      <c r="B895"/>
      <c r="C895"/>
      <c r="D895"/>
      <c r="E895"/>
      <c r="F895"/>
      <c r="G895"/>
    </row>
    <row r="896" spans="1:7" x14ac:dyDescent="0.35">
      <c r="A896"/>
      <c r="B896"/>
      <c r="C896"/>
      <c r="D896"/>
      <c r="E896"/>
      <c r="F896"/>
      <c r="G896"/>
    </row>
    <row r="897" spans="1:7" x14ac:dyDescent="0.35">
      <c r="A897"/>
      <c r="B897"/>
      <c r="C897"/>
      <c r="D897"/>
      <c r="E897"/>
      <c r="F897"/>
      <c r="G897"/>
    </row>
    <row r="898" spans="1:7" x14ac:dyDescent="0.35">
      <c r="A898"/>
      <c r="B898"/>
      <c r="C898"/>
      <c r="D898"/>
      <c r="E898"/>
      <c r="F898"/>
      <c r="G898"/>
    </row>
    <row r="899" spans="1:7" x14ac:dyDescent="0.35">
      <c r="A899"/>
      <c r="B899"/>
      <c r="C899"/>
      <c r="D899"/>
      <c r="E899"/>
      <c r="F899"/>
      <c r="G899"/>
    </row>
    <row r="900" spans="1:7" x14ac:dyDescent="0.35">
      <c r="A900"/>
      <c r="B900"/>
      <c r="C900"/>
      <c r="D900"/>
      <c r="E900"/>
      <c r="F900"/>
      <c r="G900"/>
    </row>
    <row r="901" spans="1:7" x14ac:dyDescent="0.35">
      <c r="A901"/>
      <c r="B901"/>
      <c r="C901"/>
      <c r="D901"/>
      <c r="E901"/>
      <c r="F901"/>
      <c r="G901"/>
    </row>
    <row r="902" spans="1:7" x14ac:dyDescent="0.35">
      <c r="A902"/>
      <c r="B902"/>
      <c r="C902"/>
      <c r="D902"/>
      <c r="E902"/>
      <c r="F902"/>
      <c r="G902"/>
    </row>
    <row r="903" spans="1:7" x14ac:dyDescent="0.35">
      <c r="A903"/>
      <c r="B903"/>
      <c r="C903"/>
      <c r="D903"/>
      <c r="E903"/>
      <c r="F903"/>
      <c r="G903"/>
    </row>
    <row r="904" spans="1:7" x14ac:dyDescent="0.35">
      <c r="A904"/>
      <c r="B904"/>
      <c r="C904"/>
      <c r="D904"/>
      <c r="E904"/>
      <c r="F904"/>
      <c r="G904"/>
    </row>
    <row r="905" spans="1:7" x14ac:dyDescent="0.35">
      <c r="A905"/>
      <c r="B905"/>
      <c r="C905"/>
      <c r="D905"/>
      <c r="E905"/>
      <c r="F905"/>
      <c r="G905"/>
    </row>
    <row r="906" spans="1:7" x14ac:dyDescent="0.35">
      <c r="A906"/>
      <c r="B906"/>
      <c r="C906"/>
      <c r="D906"/>
      <c r="E906"/>
      <c r="F906"/>
      <c r="G906"/>
    </row>
    <row r="907" spans="1:7" x14ac:dyDescent="0.35">
      <c r="A907"/>
      <c r="B907"/>
      <c r="C907"/>
      <c r="D907"/>
      <c r="E907"/>
      <c r="F907"/>
      <c r="G907"/>
    </row>
    <row r="908" spans="1:7" x14ac:dyDescent="0.35">
      <c r="A908"/>
      <c r="B908"/>
      <c r="C908"/>
      <c r="D908"/>
      <c r="E908"/>
      <c r="F908"/>
      <c r="G908"/>
    </row>
    <row r="909" spans="1:7" x14ac:dyDescent="0.35">
      <c r="A909"/>
      <c r="B909"/>
      <c r="C909"/>
      <c r="D909"/>
      <c r="E909"/>
      <c r="F909"/>
      <c r="G909"/>
    </row>
    <row r="910" spans="1:7" x14ac:dyDescent="0.35">
      <c r="A910"/>
      <c r="B910"/>
      <c r="C910"/>
      <c r="D910"/>
      <c r="E910"/>
      <c r="F910"/>
      <c r="G910"/>
    </row>
    <row r="911" spans="1:7" x14ac:dyDescent="0.35">
      <c r="A911"/>
      <c r="B911"/>
      <c r="C911"/>
      <c r="D911"/>
      <c r="E911"/>
      <c r="F911"/>
      <c r="G911"/>
    </row>
    <row r="912" spans="1:7" x14ac:dyDescent="0.35">
      <c r="A912"/>
      <c r="B912"/>
      <c r="C912"/>
      <c r="D912"/>
      <c r="E912"/>
      <c r="F912"/>
      <c r="G912"/>
    </row>
    <row r="913" spans="1:7" x14ac:dyDescent="0.35">
      <c r="A913"/>
      <c r="B913"/>
      <c r="C913"/>
      <c r="D913"/>
      <c r="E913"/>
      <c r="F913"/>
      <c r="G913"/>
    </row>
    <row r="914" spans="1:7" x14ac:dyDescent="0.35">
      <c r="A914"/>
      <c r="B914"/>
      <c r="C914"/>
      <c r="D914"/>
      <c r="E914"/>
      <c r="F914"/>
      <c r="G914"/>
    </row>
    <row r="915" spans="1:7" x14ac:dyDescent="0.35">
      <c r="A915"/>
      <c r="B915"/>
      <c r="C915"/>
      <c r="D915"/>
      <c r="E915"/>
      <c r="F915"/>
      <c r="G915"/>
    </row>
    <row r="916" spans="1:7" x14ac:dyDescent="0.35">
      <c r="A916"/>
      <c r="B916"/>
      <c r="C916"/>
      <c r="D916"/>
      <c r="E916"/>
      <c r="F916"/>
      <c r="G916"/>
    </row>
    <row r="917" spans="1:7" x14ac:dyDescent="0.35">
      <c r="A917"/>
      <c r="B917"/>
      <c r="C917"/>
      <c r="D917"/>
      <c r="E917"/>
      <c r="F917"/>
      <c r="G917"/>
    </row>
    <row r="918" spans="1:7" x14ac:dyDescent="0.35">
      <c r="A918"/>
      <c r="B918"/>
      <c r="C918"/>
      <c r="D918"/>
      <c r="E918"/>
      <c r="F918"/>
      <c r="G918"/>
    </row>
    <row r="919" spans="1:7" x14ac:dyDescent="0.35">
      <c r="A919"/>
      <c r="B919"/>
      <c r="C919"/>
      <c r="D919"/>
      <c r="E919"/>
      <c r="F919"/>
      <c r="G919"/>
    </row>
    <row r="920" spans="1:7" x14ac:dyDescent="0.35">
      <c r="A920"/>
      <c r="B920"/>
      <c r="C920"/>
      <c r="D920"/>
      <c r="E920"/>
      <c r="F920"/>
      <c r="G920"/>
    </row>
    <row r="921" spans="1:7" x14ac:dyDescent="0.35">
      <c r="A921"/>
      <c r="B921"/>
      <c r="C921"/>
      <c r="D921"/>
      <c r="E921"/>
      <c r="F921"/>
      <c r="G921"/>
    </row>
    <row r="922" spans="1:7" x14ac:dyDescent="0.35">
      <c r="A922"/>
      <c r="B922"/>
      <c r="C922"/>
      <c r="D922"/>
      <c r="E922"/>
      <c r="F922"/>
      <c r="G922"/>
    </row>
    <row r="923" spans="1:7" x14ac:dyDescent="0.35">
      <c r="A923"/>
      <c r="B923"/>
      <c r="C923"/>
      <c r="D923"/>
      <c r="E923"/>
      <c r="F923"/>
      <c r="G923"/>
    </row>
    <row r="924" spans="1:7" x14ac:dyDescent="0.35">
      <c r="A924"/>
      <c r="B924"/>
      <c r="C924"/>
      <c r="D924"/>
      <c r="E924"/>
      <c r="F924"/>
      <c r="G924"/>
    </row>
    <row r="925" spans="1:7" x14ac:dyDescent="0.35">
      <c r="A925"/>
      <c r="B925"/>
      <c r="C925"/>
      <c r="D925"/>
      <c r="E925"/>
      <c r="F925"/>
      <c r="G925"/>
    </row>
    <row r="926" spans="1:7" x14ac:dyDescent="0.35">
      <c r="A926"/>
      <c r="B926"/>
      <c r="C926"/>
      <c r="D926"/>
      <c r="E926"/>
      <c r="F926"/>
      <c r="G926"/>
    </row>
    <row r="927" spans="1:7" x14ac:dyDescent="0.35">
      <c r="A927"/>
      <c r="B927"/>
      <c r="C927"/>
      <c r="D927"/>
      <c r="E927"/>
      <c r="F927"/>
      <c r="G927"/>
    </row>
    <row r="928" spans="1:7" x14ac:dyDescent="0.35">
      <c r="A928"/>
      <c r="B928"/>
      <c r="C928"/>
      <c r="D928"/>
      <c r="E928"/>
      <c r="F928"/>
      <c r="G928"/>
    </row>
    <row r="929" spans="1:7" x14ac:dyDescent="0.35">
      <c r="A929"/>
      <c r="B929"/>
      <c r="C929"/>
      <c r="D929"/>
      <c r="E929"/>
      <c r="F929"/>
      <c r="G929"/>
    </row>
    <row r="930" spans="1:7" x14ac:dyDescent="0.35">
      <c r="A930"/>
      <c r="B930"/>
      <c r="C930"/>
      <c r="D930"/>
      <c r="E930"/>
      <c r="F930"/>
      <c r="G930"/>
    </row>
    <row r="931" spans="1:7" x14ac:dyDescent="0.35">
      <c r="A931"/>
      <c r="B931"/>
      <c r="C931"/>
      <c r="D931"/>
      <c r="E931"/>
      <c r="F931"/>
      <c r="G931"/>
    </row>
    <row r="932" spans="1:7" x14ac:dyDescent="0.35">
      <c r="A932"/>
      <c r="B932"/>
      <c r="C932"/>
      <c r="D932"/>
      <c r="E932"/>
      <c r="F932"/>
      <c r="G932"/>
    </row>
    <row r="933" spans="1:7" x14ac:dyDescent="0.35">
      <c r="A933"/>
      <c r="B933"/>
      <c r="C933"/>
      <c r="D933"/>
      <c r="E933"/>
      <c r="F933"/>
      <c r="G933"/>
    </row>
    <row r="934" spans="1:7" x14ac:dyDescent="0.35">
      <c r="A934"/>
      <c r="B934"/>
      <c r="C934"/>
      <c r="D934"/>
      <c r="E934"/>
      <c r="F934"/>
      <c r="G934"/>
    </row>
    <row r="935" spans="1:7" x14ac:dyDescent="0.35">
      <c r="A935"/>
      <c r="B935"/>
      <c r="C935"/>
      <c r="D935"/>
      <c r="E935"/>
      <c r="F935"/>
      <c r="G935"/>
    </row>
    <row r="936" spans="1:7" x14ac:dyDescent="0.35">
      <c r="A936"/>
      <c r="B936"/>
      <c r="C936"/>
      <c r="D936"/>
      <c r="E936"/>
      <c r="F936"/>
      <c r="G936"/>
    </row>
    <row r="937" spans="1:7" x14ac:dyDescent="0.35">
      <c r="A937"/>
      <c r="B937"/>
      <c r="C937"/>
      <c r="D937"/>
      <c r="E937"/>
      <c r="F937"/>
      <c r="G937"/>
    </row>
    <row r="938" spans="1:7" x14ac:dyDescent="0.35">
      <c r="A938"/>
      <c r="B938"/>
      <c r="C938"/>
      <c r="D938"/>
      <c r="E938"/>
      <c r="F938"/>
      <c r="G938"/>
    </row>
    <row r="939" spans="1:7" x14ac:dyDescent="0.35">
      <c r="A939"/>
      <c r="B939"/>
      <c r="C939"/>
      <c r="D939"/>
      <c r="E939"/>
      <c r="F939"/>
      <c r="G939"/>
    </row>
    <row r="940" spans="1:7" x14ac:dyDescent="0.35">
      <c r="A940"/>
      <c r="B940"/>
      <c r="C940"/>
      <c r="D940"/>
      <c r="E940"/>
      <c r="F940"/>
      <c r="G940"/>
    </row>
    <row r="941" spans="1:7" x14ac:dyDescent="0.35">
      <c r="A941"/>
      <c r="B941"/>
      <c r="C941"/>
      <c r="D941"/>
      <c r="E941"/>
      <c r="F941"/>
      <c r="G941"/>
    </row>
    <row r="942" spans="1:7" x14ac:dyDescent="0.35">
      <c r="A942"/>
      <c r="B942"/>
      <c r="C942"/>
      <c r="D942"/>
      <c r="E942"/>
      <c r="F942"/>
      <c r="G942"/>
    </row>
    <row r="943" spans="1:7" x14ac:dyDescent="0.35">
      <c r="A943"/>
      <c r="B943"/>
      <c r="C943"/>
      <c r="D943"/>
      <c r="E943"/>
      <c r="F943"/>
      <c r="G943"/>
    </row>
    <row r="944" spans="1:7" x14ac:dyDescent="0.35">
      <c r="A944"/>
      <c r="B944"/>
      <c r="C944"/>
      <c r="D944"/>
      <c r="E944"/>
      <c r="F944"/>
      <c r="G944"/>
    </row>
    <row r="945" spans="1:7" x14ac:dyDescent="0.35">
      <c r="A945"/>
      <c r="B945"/>
      <c r="C945"/>
      <c r="D945"/>
      <c r="E945"/>
      <c r="F945"/>
      <c r="G945"/>
    </row>
    <row r="946" spans="1:7" x14ac:dyDescent="0.35">
      <c r="A946"/>
      <c r="B946"/>
      <c r="C946"/>
      <c r="D946"/>
      <c r="E946"/>
      <c r="F946"/>
      <c r="G946"/>
    </row>
    <row r="947" spans="1:7" x14ac:dyDescent="0.35">
      <c r="A947"/>
      <c r="B947"/>
      <c r="C947"/>
      <c r="D947"/>
      <c r="E947"/>
      <c r="F947"/>
      <c r="G947"/>
    </row>
    <row r="948" spans="1:7" x14ac:dyDescent="0.35">
      <c r="A948"/>
      <c r="B948"/>
      <c r="C948"/>
      <c r="D948"/>
      <c r="E948"/>
      <c r="F948"/>
      <c r="G948"/>
    </row>
    <row r="949" spans="1:7" x14ac:dyDescent="0.35">
      <c r="A949"/>
      <c r="B949"/>
      <c r="C949"/>
      <c r="D949"/>
      <c r="E949"/>
      <c r="F949"/>
      <c r="G949"/>
    </row>
    <row r="950" spans="1:7" x14ac:dyDescent="0.35">
      <c r="A950"/>
      <c r="B950"/>
      <c r="C950"/>
      <c r="D950"/>
      <c r="E950"/>
      <c r="F950"/>
      <c r="G950"/>
    </row>
    <row r="951" spans="1:7" x14ac:dyDescent="0.35">
      <c r="A951"/>
      <c r="B951"/>
      <c r="C951"/>
      <c r="D951"/>
      <c r="E951"/>
      <c r="F951"/>
      <c r="G951"/>
    </row>
    <row r="952" spans="1:7" x14ac:dyDescent="0.35">
      <c r="A952"/>
      <c r="B952"/>
      <c r="C952"/>
      <c r="D952"/>
      <c r="E952"/>
      <c r="F952"/>
      <c r="G952"/>
    </row>
    <row r="953" spans="1:7" x14ac:dyDescent="0.35">
      <c r="A953"/>
      <c r="B953"/>
      <c r="C953"/>
      <c r="D953"/>
      <c r="E953"/>
      <c r="F953"/>
      <c r="G953"/>
    </row>
    <row r="954" spans="1:7" x14ac:dyDescent="0.35">
      <c r="A954"/>
      <c r="B954"/>
      <c r="C954"/>
      <c r="D954"/>
      <c r="E954"/>
      <c r="F954"/>
      <c r="G954"/>
    </row>
    <row r="955" spans="1:7" x14ac:dyDescent="0.35">
      <c r="A955"/>
      <c r="B955"/>
      <c r="C955"/>
      <c r="D955"/>
      <c r="E955"/>
      <c r="F955"/>
      <c r="G955"/>
    </row>
    <row r="956" spans="1:7" x14ac:dyDescent="0.35">
      <c r="A956"/>
      <c r="B956"/>
      <c r="C956"/>
      <c r="D956"/>
      <c r="E956"/>
      <c r="F956"/>
      <c r="G956"/>
    </row>
    <row r="957" spans="1:7" x14ac:dyDescent="0.35">
      <c r="A957"/>
      <c r="B957"/>
      <c r="C957"/>
      <c r="D957"/>
      <c r="E957"/>
      <c r="F957"/>
      <c r="G957"/>
    </row>
    <row r="958" spans="1:7" x14ac:dyDescent="0.35">
      <c r="A958"/>
      <c r="B958"/>
      <c r="C958"/>
      <c r="D958"/>
      <c r="E958"/>
      <c r="F958"/>
      <c r="G958"/>
    </row>
    <row r="959" spans="1:7" x14ac:dyDescent="0.35">
      <c r="A959"/>
      <c r="B959"/>
      <c r="C959"/>
      <c r="D959"/>
      <c r="E959"/>
      <c r="F959"/>
      <c r="G959"/>
    </row>
    <row r="960" spans="1:7" x14ac:dyDescent="0.35">
      <c r="A960"/>
      <c r="B960"/>
      <c r="C960"/>
      <c r="D960"/>
      <c r="E960"/>
      <c r="F960"/>
      <c r="G960"/>
    </row>
    <row r="961" spans="1:7" x14ac:dyDescent="0.35">
      <c r="A961"/>
      <c r="B961"/>
      <c r="C961"/>
      <c r="D961"/>
      <c r="E961"/>
      <c r="F961"/>
      <c r="G961"/>
    </row>
    <row r="962" spans="1:7" x14ac:dyDescent="0.35">
      <c r="A962"/>
      <c r="B962"/>
      <c r="C962"/>
      <c r="D962"/>
      <c r="E962"/>
      <c r="F962"/>
      <c r="G962"/>
    </row>
    <row r="963" spans="1:7" x14ac:dyDescent="0.35">
      <c r="A963"/>
      <c r="B963"/>
      <c r="C963"/>
      <c r="D963"/>
      <c r="E963"/>
      <c r="F963"/>
      <c r="G963"/>
    </row>
    <row r="964" spans="1:7" x14ac:dyDescent="0.35">
      <c r="A964"/>
      <c r="B964"/>
      <c r="C964"/>
      <c r="D964"/>
      <c r="E964"/>
      <c r="F964"/>
      <c r="G964"/>
    </row>
    <row r="965" spans="1:7" x14ac:dyDescent="0.35">
      <c r="A965"/>
      <c r="B965"/>
      <c r="C965"/>
      <c r="D965"/>
      <c r="E965"/>
      <c r="F965"/>
      <c r="G965"/>
    </row>
    <row r="966" spans="1:7" x14ac:dyDescent="0.35">
      <c r="A966"/>
      <c r="B966"/>
      <c r="C966"/>
      <c r="D966"/>
      <c r="E966"/>
      <c r="F966"/>
      <c r="G966"/>
    </row>
    <row r="967" spans="1:7" x14ac:dyDescent="0.35">
      <c r="A967"/>
      <c r="B967"/>
      <c r="C967"/>
      <c r="D967"/>
      <c r="E967"/>
      <c r="F967"/>
      <c r="G967"/>
    </row>
    <row r="968" spans="1:7" x14ac:dyDescent="0.35">
      <c r="A968"/>
      <c r="B968"/>
      <c r="C968"/>
      <c r="D968"/>
      <c r="E968"/>
      <c r="F968"/>
      <c r="G968"/>
    </row>
    <row r="969" spans="1:7" x14ac:dyDescent="0.35">
      <c r="A969"/>
      <c r="B969"/>
      <c r="C969"/>
      <c r="D969"/>
      <c r="E969"/>
      <c r="F969"/>
      <c r="G969"/>
    </row>
    <row r="970" spans="1:7" x14ac:dyDescent="0.35">
      <c r="A970"/>
      <c r="B970"/>
      <c r="C970"/>
      <c r="D970"/>
      <c r="E970"/>
      <c r="F970"/>
      <c r="G970"/>
    </row>
    <row r="971" spans="1:7" x14ac:dyDescent="0.35">
      <c r="A971"/>
      <c r="B971"/>
      <c r="C971"/>
      <c r="D971"/>
      <c r="E971"/>
      <c r="F971"/>
      <c r="G971"/>
    </row>
    <row r="972" spans="1:7" x14ac:dyDescent="0.35">
      <c r="A972"/>
      <c r="B972"/>
      <c r="C972"/>
      <c r="D972"/>
      <c r="E972"/>
      <c r="F972"/>
      <c r="G972"/>
    </row>
    <row r="973" spans="1:7" x14ac:dyDescent="0.35">
      <c r="A973"/>
      <c r="B973"/>
      <c r="C973"/>
      <c r="D973"/>
      <c r="E973"/>
      <c r="F973"/>
      <c r="G973"/>
    </row>
    <row r="974" spans="1:7" x14ac:dyDescent="0.35">
      <c r="A974"/>
      <c r="B974"/>
      <c r="C974"/>
      <c r="D974"/>
      <c r="E974"/>
      <c r="F974"/>
      <c r="G974"/>
    </row>
    <row r="975" spans="1:7" x14ac:dyDescent="0.35">
      <c r="A975"/>
      <c r="B975"/>
      <c r="C975"/>
      <c r="D975"/>
      <c r="E975"/>
      <c r="F975"/>
      <c r="G975"/>
    </row>
    <row r="976" spans="1:7" x14ac:dyDescent="0.35">
      <c r="A976"/>
      <c r="B976"/>
      <c r="C976"/>
      <c r="D976"/>
      <c r="E976"/>
      <c r="F976"/>
      <c r="G976"/>
    </row>
    <row r="977" spans="1:7" x14ac:dyDescent="0.35">
      <c r="A977"/>
      <c r="B977"/>
      <c r="C977"/>
      <c r="D977"/>
      <c r="E977"/>
      <c r="F977"/>
      <c r="G977"/>
    </row>
    <row r="978" spans="1:7" x14ac:dyDescent="0.35">
      <c r="A978"/>
      <c r="B978"/>
      <c r="C978"/>
      <c r="D978"/>
      <c r="E978"/>
      <c r="F978"/>
      <c r="G978"/>
    </row>
    <row r="979" spans="1:7" x14ac:dyDescent="0.35">
      <c r="A979"/>
      <c r="B979"/>
      <c r="C979"/>
      <c r="D979"/>
      <c r="E979"/>
      <c r="F979"/>
      <c r="G979"/>
    </row>
    <row r="980" spans="1:7" x14ac:dyDescent="0.35">
      <c r="A980"/>
      <c r="B980"/>
      <c r="C980"/>
      <c r="D980"/>
      <c r="E980"/>
      <c r="F980"/>
      <c r="G980"/>
    </row>
    <row r="981" spans="1:7" x14ac:dyDescent="0.35">
      <c r="A981"/>
      <c r="B981"/>
      <c r="C981"/>
      <c r="D981"/>
      <c r="E981"/>
      <c r="F981"/>
      <c r="G981"/>
    </row>
    <row r="982" spans="1:7" x14ac:dyDescent="0.35">
      <c r="A982"/>
      <c r="B982"/>
      <c r="C982"/>
      <c r="D982"/>
      <c r="E982"/>
      <c r="F982"/>
      <c r="G982"/>
    </row>
    <row r="983" spans="1:7" x14ac:dyDescent="0.35">
      <c r="A983"/>
      <c r="B983"/>
      <c r="C983"/>
      <c r="D983"/>
      <c r="E983"/>
      <c r="F983"/>
      <c r="G983"/>
    </row>
    <row r="984" spans="1:7" x14ac:dyDescent="0.35">
      <c r="A984"/>
      <c r="B984"/>
      <c r="C984"/>
      <c r="D984"/>
      <c r="E984"/>
      <c r="F984"/>
      <c r="G984"/>
    </row>
    <row r="985" spans="1:7" x14ac:dyDescent="0.35">
      <c r="A985"/>
      <c r="B985"/>
      <c r="C985"/>
      <c r="D985"/>
      <c r="E985"/>
      <c r="F985"/>
      <c r="G985"/>
    </row>
    <row r="986" spans="1:7" x14ac:dyDescent="0.35">
      <c r="A986"/>
      <c r="B986"/>
      <c r="C986"/>
      <c r="D986"/>
      <c r="E986"/>
      <c r="F986"/>
      <c r="G986"/>
    </row>
    <row r="987" spans="1:7" x14ac:dyDescent="0.35">
      <c r="A987"/>
      <c r="B987"/>
      <c r="C987"/>
      <c r="D987"/>
      <c r="E987"/>
      <c r="F987"/>
      <c r="G987"/>
    </row>
    <row r="988" spans="1:7" x14ac:dyDescent="0.35">
      <c r="A988"/>
      <c r="B988"/>
      <c r="C988"/>
      <c r="D988"/>
      <c r="E988"/>
      <c r="F988"/>
      <c r="G988"/>
    </row>
    <row r="989" spans="1:7" x14ac:dyDescent="0.35">
      <c r="A989"/>
      <c r="B989"/>
      <c r="C989"/>
      <c r="D989"/>
      <c r="E989"/>
      <c r="F989"/>
      <c r="G989"/>
    </row>
    <row r="990" spans="1:7" x14ac:dyDescent="0.35">
      <c r="A990"/>
      <c r="B990"/>
      <c r="C990"/>
      <c r="D990"/>
      <c r="E990"/>
      <c r="F990"/>
      <c r="G990"/>
    </row>
    <row r="991" spans="1:7" x14ac:dyDescent="0.35">
      <c r="A991"/>
      <c r="B991"/>
      <c r="C991"/>
      <c r="D991"/>
      <c r="E991"/>
      <c r="F991"/>
      <c r="G991"/>
    </row>
    <row r="992" spans="1:7" x14ac:dyDescent="0.35">
      <c r="A992"/>
      <c r="B992"/>
      <c r="C992"/>
      <c r="D992"/>
      <c r="E992"/>
      <c r="F992"/>
      <c r="G992"/>
    </row>
    <row r="993" spans="1:7" x14ac:dyDescent="0.35">
      <c r="A993"/>
      <c r="B993"/>
      <c r="C993"/>
      <c r="D993"/>
      <c r="E993"/>
      <c r="F993"/>
      <c r="G993"/>
    </row>
    <row r="994" spans="1:7" x14ac:dyDescent="0.35">
      <c r="A994"/>
      <c r="B994"/>
      <c r="C994"/>
      <c r="D994"/>
      <c r="E994"/>
      <c r="F994"/>
      <c r="G994"/>
    </row>
    <row r="995" spans="1:7" x14ac:dyDescent="0.35">
      <c r="A995"/>
      <c r="B995"/>
      <c r="C995"/>
      <c r="D995"/>
      <c r="E995"/>
      <c r="F995"/>
      <c r="G995"/>
    </row>
    <row r="996" spans="1:7" x14ac:dyDescent="0.35">
      <c r="A996"/>
      <c r="B996"/>
      <c r="C996"/>
      <c r="D996"/>
      <c r="E996"/>
      <c r="F996"/>
      <c r="G996"/>
    </row>
    <row r="997" spans="1:7" x14ac:dyDescent="0.35">
      <c r="A997"/>
      <c r="B997"/>
      <c r="C997"/>
      <c r="D997"/>
      <c r="E997"/>
      <c r="F997"/>
      <c r="G997"/>
    </row>
    <row r="998" spans="1:7" x14ac:dyDescent="0.35">
      <c r="A998"/>
      <c r="B998"/>
      <c r="C998"/>
      <c r="D998"/>
      <c r="E998"/>
      <c r="F998"/>
      <c r="G998"/>
    </row>
    <row r="999" spans="1:7" x14ac:dyDescent="0.35">
      <c r="A999"/>
      <c r="B999"/>
      <c r="C999"/>
      <c r="D999"/>
      <c r="E999"/>
      <c r="F999"/>
      <c r="G999"/>
    </row>
    <row r="1000" spans="1:7" x14ac:dyDescent="0.35">
      <c r="A1000"/>
      <c r="B1000"/>
      <c r="C1000"/>
      <c r="D1000"/>
      <c r="E1000"/>
      <c r="F1000"/>
      <c r="G1000"/>
    </row>
    <row r="1001" spans="1:7" x14ac:dyDescent="0.35">
      <c r="A1001"/>
      <c r="B1001"/>
      <c r="C1001"/>
      <c r="D1001"/>
      <c r="E1001"/>
      <c r="F1001"/>
      <c r="G1001"/>
    </row>
    <row r="1002" spans="1:7" x14ac:dyDescent="0.35">
      <c r="A1002"/>
      <c r="B1002"/>
      <c r="C1002"/>
      <c r="D1002"/>
      <c r="E1002"/>
      <c r="F1002"/>
      <c r="G1002"/>
    </row>
    <row r="1003" spans="1:7" x14ac:dyDescent="0.35">
      <c r="A1003"/>
      <c r="B1003"/>
      <c r="C1003"/>
      <c r="D1003"/>
      <c r="E1003"/>
      <c r="F1003"/>
      <c r="G1003"/>
    </row>
    <row r="1004" spans="1:7" x14ac:dyDescent="0.35">
      <c r="A1004"/>
      <c r="B1004"/>
      <c r="C1004"/>
      <c r="D1004"/>
      <c r="E1004"/>
      <c r="F1004"/>
      <c r="G1004"/>
    </row>
    <row r="1005" spans="1:7" x14ac:dyDescent="0.35">
      <c r="A1005"/>
      <c r="B1005"/>
      <c r="C1005"/>
      <c r="D1005"/>
      <c r="E1005"/>
      <c r="F1005"/>
      <c r="G1005"/>
    </row>
    <row r="1006" spans="1:7" x14ac:dyDescent="0.35">
      <c r="A1006"/>
      <c r="B1006"/>
      <c r="C1006"/>
      <c r="D1006"/>
      <c r="E1006"/>
      <c r="F1006"/>
      <c r="G1006"/>
    </row>
    <row r="1007" spans="1:7" x14ac:dyDescent="0.35">
      <c r="A1007"/>
      <c r="B1007"/>
      <c r="C1007"/>
      <c r="D1007"/>
      <c r="E1007"/>
      <c r="F1007"/>
      <c r="G1007"/>
    </row>
    <row r="1008" spans="1:7" x14ac:dyDescent="0.35">
      <c r="A1008"/>
      <c r="B1008"/>
      <c r="C1008"/>
      <c r="D1008"/>
      <c r="E1008"/>
      <c r="F1008"/>
      <c r="G1008"/>
    </row>
    <row r="1009" spans="1:7" x14ac:dyDescent="0.35">
      <c r="A1009"/>
      <c r="B1009"/>
      <c r="C1009"/>
      <c r="D1009"/>
      <c r="E1009"/>
      <c r="F1009"/>
      <c r="G1009"/>
    </row>
    <row r="1010" spans="1:7" x14ac:dyDescent="0.35">
      <c r="A1010"/>
      <c r="B1010"/>
      <c r="C1010"/>
      <c r="D1010"/>
      <c r="E1010"/>
      <c r="F1010"/>
      <c r="G1010"/>
    </row>
    <row r="1011" spans="1:7" x14ac:dyDescent="0.35">
      <c r="A1011"/>
      <c r="B1011"/>
      <c r="C1011"/>
      <c r="D1011"/>
      <c r="E1011"/>
      <c r="F1011"/>
      <c r="G1011"/>
    </row>
    <row r="1012" spans="1:7" x14ac:dyDescent="0.35">
      <c r="A1012"/>
      <c r="B1012"/>
      <c r="C1012"/>
      <c r="D1012"/>
      <c r="E1012"/>
      <c r="F1012"/>
      <c r="G1012"/>
    </row>
    <row r="1013" spans="1:7" x14ac:dyDescent="0.35">
      <c r="A1013"/>
      <c r="B1013"/>
      <c r="C1013"/>
      <c r="D1013"/>
      <c r="E1013"/>
      <c r="F1013"/>
      <c r="G1013"/>
    </row>
    <row r="1014" spans="1:7" x14ac:dyDescent="0.35">
      <c r="A1014"/>
      <c r="B1014"/>
      <c r="C1014"/>
      <c r="D1014"/>
      <c r="E1014"/>
      <c r="F1014"/>
      <c r="G1014"/>
    </row>
    <row r="1015" spans="1:7" x14ac:dyDescent="0.35">
      <c r="A1015"/>
      <c r="B1015"/>
      <c r="C1015"/>
      <c r="D1015"/>
      <c r="E1015"/>
      <c r="F1015"/>
      <c r="G1015"/>
    </row>
    <row r="1016" spans="1:7" x14ac:dyDescent="0.35">
      <c r="A1016"/>
      <c r="B1016"/>
      <c r="C1016"/>
      <c r="D1016"/>
      <c r="E1016"/>
      <c r="F1016"/>
      <c r="G1016"/>
    </row>
    <row r="1017" spans="1:7" x14ac:dyDescent="0.35">
      <c r="A1017"/>
      <c r="B1017"/>
      <c r="C1017"/>
      <c r="D1017"/>
      <c r="E1017"/>
      <c r="F1017"/>
      <c r="G1017"/>
    </row>
    <row r="1018" spans="1:7" x14ac:dyDescent="0.35">
      <c r="A1018"/>
      <c r="B1018"/>
      <c r="C1018"/>
      <c r="D1018"/>
      <c r="E1018"/>
      <c r="F1018"/>
      <c r="G1018"/>
    </row>
    <row r="1019" spans="1:7" x14ac:dyDescent="0.35">
      <c r="A1019"/>
      <c r="B1019"/>
      <c r="C1019"/>
      <c r="D1019"/>
      <c r="E1019"/>
      <c r="F1019"/>
      <c r="G1019"/>
    </row>
    <row r="1020" spans="1:7" x14ac:dyDescent="0.35">
      <c r="A1020"/>
      <c r="B1020"/>
      <c r="C1020"/>
      <c r="D1020"/>
      <c r="E1020"/>
      <c r="F1020"/>
      <c r="G1020"/>
    </row>
    <row r="1021" spans="1:7" x14ac:dyDescent="0.35">
      <c r="A1021"/>
      <c r="B1021"/>
      <c r="C1021"/>
      <c r="D1021"/>
      <c r="E1021"/>
      <c r="F1021"/>
      <c r="G1021"/>
    </row>
    <row r="1022" spans="1:7" x14ac:dyDescent="0.35">
      <c r="A1022"/>
      <c r="B1022"/>
      <c r="C1022"/>
      <c r="D1022"/>
      <c r="E1022"/>
      <c r="F1022"/>
      <c r="G1022"/>
    </row>
    <row r="1023" spans="1:7" x14ac:dyDescent="0.35">
      <c r="A1023"/>
      <c r="B1023"/>
      <c r="C1023"/>
      <c r="D1023"/>
      <c r="E1023"/>
      <c r="F1023"/>
      <c r="G1023"/>
    </row>
    <row r="1024" spans="1:7" x14ac:dyDescent="0.35">
      <c r="A1024"/>
      <c r="B1024"/>
      <c r="C1024"/>
      <c r="D1024"/>
      <c r="E1024"/>
      <c r="F1024"/>
      <c r="G1024"/>
    </row>
    <row r="1025" spans="1:7" x14ac:dyDescent="0.35">
      <c r="A1025"/>
      <c r="B1025"/>
      <c r="C1025"/>
      <c r="D1025"/>
      <c r="E1025"/>
      <c r="F1025"/>
      <c r="G1025"/>
    </row>
    <row r="1026" spans="1:7" x14ac:dyDescent="0.35">
      <c r="A1026"/>
      <c r="B1026"/>
      <c r="C1026"/>
      <c r="D1026"/>
      <c r="E1026"/>
      <c r="F1026"/>
      <c r="G1026"/>
    </row>
    <row r="1027" spans="1:7" x14ac:dyDescent="0.35">
      <c r="A1027"/>
      <c r="B1027"/>
      <c r="C1027"/>
      <c r="D1027"/>
      <c r="E1027"/>
      <c r="F1027"/>
      <c r="G1027"/>
    </row>
    <row r="1028" spans="1:7" x14ac:dyDescent="0.35">
      <c r="A1028"/>
      <c r="B1028"/>
      <c r="C1028"/>
      <c r="D1028"/>
      <c r="E1028"/>
      <c r="F1028"/>
      <c r="G1028"/>
    </row>
    <row r="1029" spans="1:7" x14ac:dyDescent="0.35">
      <c r="A1029"/>
      <c r="B1029"/>
      <c r="C1029"/>
      <c r="D1029"/>
      <c r="E1029"/>
      <c r="F1029"/>
      <c r="G1029"/>
    </row>
    <row r="1030" spans="1:7" x14ac:dyDescent="0.35">
      <c r="A1030"/>
      <c r="B1030"/>
      <c r="C1030"/>
      <c r="D1030"/>
      <c r="E1030"/>
      <c r="F1030"/>
      <c r="G1030"/>
    </row>
    <row r="1031" spans="1:7" x14ac:dyDescent="0.35">
      <c r="A1031"/>
      <c r="B1031"/>
      <c r="C1031"/>
      <c r="D1031"/>
      <c r="E1031"/>
      <c r="F1031"/>
      <c r="G1031"/>
    </row>
    <row r="1032" spans="1:7" x14ac:dyDescent="0.35">
      <c r="A1032"/>
      <c r="B1032"/>
      <c r="C1032"/>
      <c r="D1032"/>
      <c r="E1032"/>
      <c r="F1032"/>
      <c r="G1032"/>
    </row>
    <row r="1033" spans="1:7" x14ac:dyDescent="0.35">
      <c r="A1033"/>
      <c r="B1033"/>
      <c r="C1033"/>
      <c r="D1033"/>
      <c r="E1033"/>
      <c r="F1033"/>
      <c r="G1033"/>
    </row>
    <row r="1034" spans="1:7" x14ac:dyDescent="0.35">
      <c r="A1034"/>
      <c r="B1034"/>
      <c r="C1034"/>
      <c r="D1034"/>
      <c r="E1034"/>
      <c r="F1034"/>
      <c r="G1034"/>
    </row>
    <row r="1035" spans="1:7" x14ac:dyDescent="0.35">
      <c r="A1035"/>
      <c r="B1035"/>
      <c r="C1035"/>
      <c r="D1035"/>
      <c r="E1035"/>
      <c r="F1035"/>
      <c r="G1035"/>
    </row>
    <row r="1036" spans="1:7" x14ac:dyDescent="0.35">
      <c r="A1036"/>
      <c r="B1036"/>
      <c r="C1036"/>
      <c r="D1036"/>
      <c r="E1036"/>
      <c r="F1036"/>
      <c r="G1036"/>
    </row>
    <row r="1037" spans="1:7" x14ac:dyDescent="0.35">
      <c r="A1037"/>
      <c r="B1037"/>
      <c r="C1037"/>
      <c r="D1037"/>
      <c r="E1037"/>
      <c r="F1037"/>
      <c r="G1037"/>
    </row>
    <row r="1038" spans="1:7" x14ac:dyDescent="0.35">
      <c r="A1038"/>
      <c r="B1038"/>
      <c r="C1038"/>
      <c r="D1038"/>
      <c r="E1038"/>
      <c r="F1038"/>
      <c r="G1038"/>
    </row>
    <row r="1039" spans="1:7" x14ac:dyDescent="0.35">
      <c r="A1039"/>
      <c r="B1039"/>
      <c r="C1039"/>
      <c r="D1039"/>
      <c r="E1039"/>
      <c r="F1039"/>
      <c r="G1039"/>
    </row>
    <row r="1040" spans="1:7" x14ac:dyDescent="0.35">
      <c r="A1040"/>
      <c r="B1040"/>
      <c r="C1040"/>
      <c r="D1040"/>
      <c r="E1040"/>
      <c r="F1040"/>
      <c r="G1040"/>
    </row>
    <row r="1041" spans="1:7" x14ac:dyDescent="0.35">
      <c r="A1041"/>
      <c r="B1041"/>
      <c r="C1041"/>
      <c r="D1041"/>
      <c r="E1041"/>
      <c r="F1041"/>
      <c r="G1041"/>
    </row>
    <row r="1042" spans="1:7" x14ac:dyDescent="0.35">
      <c r="A1042"/>
      <c r="B1042"/>
      <c r="C1042"/>
      <c r="D1042"/>
      <c r="E1042"/>
      <c r="F1042"/>
      <c r="G1042"/>
    </row>
    <row r="1043" spans="1:7" x14ac:dyDescent="0.35">
      <c r="A1043"/>
      <c r="B1043"/>
      <c r="C1043"/>
      <c r="D1043"/>
      <c r="E1043"/>
      <c r="F1043"/>
      <c r="G1043"/>
    </row>
    <row r="1044" spans="1:7" x14ac:dyDescent="0.35">
      <c r="A1044"/>
      <c r="B1044"/>
      <c r="C1044"/>
      <c r="D1044"/>
      <c r="E1044"/>
      <c r="F1044"/>
      <c r="G1044"/>
    </row>
    <row r="1045" spans="1:7" x14ac:dyDescent="0.35">
      <c r="A1045"/>
      <c r="B1045"/>
      <c r="C1045"/>
      <c r="D1045"/>
      <c r="E1045"/>
      <c r="F1045"/>
      <c r="G1045"/>
    </row>
    <row r="1046" spans="1:7" x14ac:dyDescent="0.35">
      <c r="A1046"/>
      <c r="B1046"/>
      <c r="C1046"/>
      <c r="D1046"/>
      <c r="E1046"/>
      <c r="F1046"/>
      <c r="G1046"/>
    </row>
    <row r="1047" spans="1:7" x14ac:dyDescent="0.35">
      <c r="A1047"/>
      <c r="B1047"/>
      <c r="C1047"/>
      <c r="D1047"/>
      <c r="E1047"/>
      <c r="F1047"/>
      <c r="G1047"/>
    </row>
    <row r="1048" spans="1:7" x14ac:dyDescent="0.35">
      <c r="A1048"/>
      <c r="B1048"/>
      <c r="C1048"/>
      <c r="D1048"/>
      <c r="E1048"/>
      <c r="F1048"/>
      <c r="G1048"/>
    </row>
    <row r="1049" spans="1:7" x14ac:dyDescent="0.35">
      <c r="A1049"/>
      <c r="B1049"/>
      <c r="C1049"/>
      <c r="D1049"/>
      <c r="E1049"/>
      <c r="F1049"/>
      <c r="G1049"/>
    </row>
    <row r="1050" spans="1:7" x14ac:dyDescent="0.35">
      <c r="A1050"/>
      <c r="B1050"/>
      <c r="C1050"/>
      <c r="D1050"/>
      <c r="E1050"/>
      <c r="F1050"/>
      <c r="G1050"/>
    </row>
    <row r="1051" spans="1:7" x14ac:dyDescent="0.35">
      <c r="A1051"/>
      <c r="B1051"/>
      <c r="C1051"/>
      <c r="D1051"/>
      <c r="E1051"/>
      <c r="F1051"/>
      <c r="G1051"/>
    </row>
    <row r="1052" spans="1:7" x14ac:dyDescent="0.35">
      <c r="A1052"/>
      <c r="B1052"/>
      <c r="C1052"/>
      <c r="D1052"/>
      <c r="E1052"/>
      <c r="F1052"/>
      <c r="G1052"/>
    </row>
    <row r="1053" spans="1:7" x14ac:dyDescent="0.35">
      <c r="A1053"/>
      <c r="B1053"/>
      <c r="C1053"/>
      <c r="D1053"/>
      <c r="E1053"/>
      <c r="F1053"/>
      <c r="G1053"/>
    </row>
    <row r="1054" spans="1:7" x14ac:dyDescent="0.35">
      <c r="A1054"/>
      <c r="B1054"/>
      <c r="C1054"/>
      <c r="D1054"/>
      <c r="E1054"/>
      <c r="F1054"/>
      <c r="G1054"/>
    </row>
    <row r="1055" spans="1:7" x14ac:dyDescent="0.35">
      <c r="A1055"/>
      <c r="B1055"/>
      <c r="C1055"/>
      <c r="D1055"/>
      <c r="E1055"/>
      <c r="F1055"/>
      <c r="G1055"/>
    </row>
    <row r="1056" spans="1:7" x14ac:dyDescent="0.35">
      <c r="A1056"/>
      <c r="B1056"/>
      <c r="C1056"/>
      <c r="D1056"/>
      <c r="E1056"/>
      <c r="F1056"/>
      <c r="G1056"/>
    </row>
    <row r="1057" spans="1:7" x14ac:dyDescent="0.35">
      <c r="A1057"/>
      <c r="B1057"/>
      <c r="C1057"/>
      <c r="D1057"/>
      <c r="E1057"/>
      <c r="F1057"/>
      <c r="G1057"/>
    </row>
    <row r="1058" spans="1:7" x14ac:dyDescent="0.35">
      <c r="A1058"/>
      <c r="B1058"/>
      <c r="C1058"/>
      <c r="D1058"/>
      <c r="E1058"/>
      <c r="F1058"/>
      <c r="G1058"/>
    </row>
    <row r="1059" spans="1:7" x14ac:dyDescent="0.35">
      <c r="A1059"/>
      <c r="B1059"/>
      <c r="C1059"/>
      <c r="D1059"/>
      <c r="E1059"/>
      <c r="F1059"/>
      <c r="G1059"/>
    </row>
    <row r="1060" spans="1:7" x14ac:dyDescent="0.35">
      <c r="A1060"/>
      <c r="B1060"/>
      <c r="C1060"/>
      <c r="D1060"/>
      <c r="E1060"/>
      <c r="F1060"/>
      <c r="G1060"/>
    </row>
    <row r="1061" spans="1:7" x14ac:dyDescent="0.35">
      <c r="A1061"/>
      <c r="B1061"/>
      <c r="C1061"/>
      <c r="D1061"/>
      <c r="E1061"/>
      <c r="F1061"/>
      <c r="G1061"/>
    </row>
    <row r="1062" spans="1:7" x14ac:dyDescent="0.35">
      <c r="A1062"/>
      <c r="B1062"/>
      <c r="C1062"/>
      <c r="D1062"/>
      <c r="E1062"/>
      <c r="F1062"/>
      <c r="G1062"/>
    </row>
    <row r="1063" spans="1:7" x14ac:dyDescent="0.35">
      <c r="A1063"/>
      <c r="B1063"/>
      <c r="C1063"/>
      <c r="D1063"/>
      <c r="E1063"/>
      <c r="F1063"/>
      <c r="G1063"/>
    </row>
    <row r="1064" spans="1:7" x14ac:dyDescent="0.35">
      <c r="A1064"/>
      <c r="B1064"/>
      <c r="C1064"/>
      <c r="D1064"/>
      <c r="E1064"/>
      <c r="F1064"/>
      <c r="G1064"/>
    </row>
    <row r="1065" spans="1:7" x14ac:dyDescent="0.35">
      <c r="A1065"/>
      <c r="B1065"/>
      <c r="C1065"/>
      <c r="D1065"/>
      <c r="E1065"/>
      <c r="F1065"/>
      <c r="G1065"/>
    </row>
    <row r="1066" spans="1:7" x14ac:dyDescent="0.35">
      <c r="A1066"/>
      <c r="B1066"/>
      <c r="C1066"/>
      <c r="D1066"/>
      <c r="E1066"/>
      <c r="F1066"/>
      <c r="G1066"/>
    </row>
    <row r="1067" spans="1:7" x14ac:dyDescent="0.35">
      <c r="A1067"/>
      <c r="B1067"/>
      <c r="C1067"/>
      <c r="D1067"/>
      <c r="E1067"/>
      <c r="F1067"/>
      <c r="G1067"/>
    </row>
    <row r="1068" spans="1:7" x14ac:dyDescent="0.35">
      <c r="A1068"/>
      <c r="B1068"/>
      <c r="C1068"/>
      <c r="D1068"/>
      <c r="E1068"/>
      <c r="F1068"/>
      <c r="G1068"/>
    </row>
    <row r="1069" spans="1:7" x14ac:dyDescent="0.35">
      <c r="A1069"/>
      <c r="B1069"/>
      <c r="C1069"/>
      <c r="D1069"/>
      <c r="E1069"/>
      <c r="F1069"/>
      <c r="G1069"/>
    </row>
    <row r="1070" spans="1:7" x14ac:dyDescent="0.35">
      <c r="A1070"/>
      <c r="B1070"/>
      <c r="C1070"/>
      <c r="D1070"/>
      <c r="E1070"/>
      <c r="F1070"/>
      <c r="G1070"/>
    </row>
    <row r="1071" spans="1:7" x14ac:dyDescent="0.35">
      <c r="A1071"/>
      <c r="B1071"/>
      <c r="C1071"/>
      <c r="D1071"/>
      <c r="E1071"/>
      <c r="F1071"/>
      <c r="G1071"/>
    </row>
    <row r="1072" spans="1:7" x14ac:dyDescent="0.35">
      <c r="A1072"/>
      <c r="B1072"/>
      <c r="C1072"/>
      <c r="D1072"/>
      <c r="E1072"/>
      <c r="F1072"/>
      <c r="G1072"/>
    </row>
    <row r="1073" spans="1:7" x14ac:dyDescent="0.35">
      <c r="A1073"/>
      <c r="B1073"/>
      <c r="C1073"/>
      <c r="D1073"/>
      <c r="E1073"/>
      <c r="F1073"/>
      <c r="G1073"/>
    </row>
    <row r="1074" spans="1:7" x14ac:dyDescent="0.35">
      <c r="A1074"/>
      <c r="B1074"/>
      <c r="C1074"/>
      <c r="D1074"/>
      <c r="E1074"/>
      <c r="F1074"/>
      <c r="G1074"/>
    </row>
    <row r="1075" spans="1:7" x14ac:dyDescent="0.35">
      <c r="A1075"/>
      <c r="B1075"/>
      <c r="C1075"/>
      <c r="D1075"/>
      <c r="E1075"/>
      <c r="F1075"/>
      <c r="G1075"/>
    </row>
    <row r="1076" spans="1:7" x14ac:dyDescent="0.35">
      <c r="A1076"/>
      <c r="B1076"/>
      <c r="C1076"/>
      <c r="D1076"/>
      <c r="E1076"/>
      <c r="F1076"/>
      <c r="G1076"/>
    </row>
    <row r="1077" spans="1:7" x14ac:dyDescent="0.35">
      <c r="A1077"/>
      <c r="B1077"/>
      <c r="C1077"/>
      <c r="D1077"/>
      <c r="E1077"/>
      <c r="F1077"/>
      <c r="G1077"/>
    </row>
    <row r="1078" spans="1:7" x14ac:dyDescent="0.35">
      <c r="A1078"/>
      <c r="B1078"/>
      <c r="C1078"/>
      <c r="D1078"/>
      <c r="E1078"/>
      <c r="F1078"/>
      <c r="G1078"/>
    </row>
    <row r="1079" spans="1:7" x14ac:dyDescent="0.35">
      <c r="A1079"/>
      <c r="B1079"/>
      <c r="C1079"/>
      <c r="D1079"/>
      <c r="E1079"/>
      <c r="F1079"/>
      <c r="G1079"/>
    </row>
    <row r="1080" spans="1:7" x14ac:dyDescent="0.35">
      <c r="A1080"/>
      <c r="B1080"/>
      <c r="C1080"/>
      <c r="D1080"/>
      <c r="E1080"/>
      <c r="F1080"/>
      <c r="G1080"/>
    </row>
    <row r="1081" spans="1:7" x14ac:dyDescent="0.35">
      <c r="A1081"/>
      <c r="B1081"/>
      <c r="C1081"/>
      <c r="D1081"/>
      <c r="E1081"/>
      <c r="F1081"/>
      <c r="G1081"/>
    </row>
    <row r="1082" spans="1:7" x14ac:dyDescent="0.35">
      <c r="A1082"/>
      <c r="B1082"/>
      <c r="C1082"/>
      <c r="D1082"/>
      <c r="E1082"/>
      <c r="F1082"/>
      <c r="G1082"/>
    </row>
    <row r="1083" spans="1:7" x14ac:dyDescent="0.35">
      <c r="A1083"/>
      <c r="B1083"/>
      <c r="C1083"/>
      <c r="D1083"/>
      <c r="E1083"/>
      <c r="F1083"/>
      <c r="G1083"/>
    </row>
    <row r="1084" spans="1:7" x14ac:dyDescent="0.35">
      <c r="A1084"/>
      <c r="B1084"/>
      <c r="C1084"/>
      <c r="D1084"/>
      <c r="E1084"/>
      <c r="F1084"/>
      <c r="G1084"/>
    </row>
    <row r="1085" spans="1:7" x14ac:dyDescent="0.35">
      <c r="A1085"/>
      <c r="B1085"/>
      <c r="C1085"/>
      <c r="D1085"/>
      <c r="E1085"/>
      <c r="F1085"/>
      <c r="G1085"/>
    </row>
    <row r="1086" spans="1:7" x14ac:dyDescent="0.35">
      <c r="A1086"/>
      <c r="B1086"/>
      <c r="C1086"/>
      <c r="D1086"/>
      <c r="E1086"/>
      <c r="F1086"/>
      <c r="G1086"/>
    </row>
    <row r="1087" spans="1:7" x14ac:dyDescent="0.35">
      <c r="A1087"/>
      <c r="B1087"/>
      <c r="C1087"/>
      <c r="D1087"/>
      <c r="E1087"/>
      <c r="F1087"/>
      <c r="G1087"/>
    </row>
    <row r="1088" spans="1:7" x14ac:dyDescent="0.35">
      <c r="A1088"/>
      <c r="B1088"/>
      <c r="C1088"/>
      <c r="D1088"/>
      <c r="E1088"/>
      <c r="F1088"/>
      <c r="G1088"/>
    </row>
    <row r="1089" spans="1:7" x14ac:dyDescent="0.35">
      <c r="A1089"/>
      <c r="B1089"/>
      <c r="C1089"/>
      <c r="D1089"/>
      <c r="E1089"/>
      <c r="F1089"/>
      <c r="G1089"/>
    </row>
    <row r="1090" spans="1:7" x14ac:dyDescent="0.35">
      <c r="A1090"/>
      <c r="B1090"/>
      <c r="C1090"/>
      <c r="D1090"/>
      <c r="E1090"/>
      <c r="F1090"/>
      <c r="G1090"/>
    </row>
    <row r="1091" spans="1:7" x14ac:dyDescent="0.35">
      <c r="A1091"/>
      <c r="B1091"/>
      <c r="C1091"/>
      <c r="D1091"/>
      <c r="E1091"/>
      <c r="F1091"/>
      <c r="G1091"/>
    </row>
    <row r="1092" spans="1:7" x14ac:dyDescent="0.35">
      <c r="A1092"/>
      <c r="B1092"/>
      <c r="C1092"/>
      <c r="D1092"/>
      <c r="E1092"/>
      <c r="F1092"/>
      <c r="G1092"/>
    </row>
    <row r="1093" spans="1:7" x14ac:dyDescent="0.35">
      <c r="A1093"/>
      <c r="B1093"/>
      <c r="C1093"/>
      <c r="D1093"/>
      <c r="E1093"/>
      <c r="F1093"/>
      <c r="G1093"/>
    </row>
    <row r="1094" spans="1:7" x14ac:dyDescent="0.35">
      <c r="A1094"/>
      <c r="B1094"/>
      <c r="C1094"/>
      <c r="D1094"/>
      <c r="E1094"/>
      <c r="F1094"/>
      <c r="G1094"/>
    </row>
    <row r="1095" spans="1:7" x14ac:dyDescent="0.35">
      <c r="A1095"/>
      <c r="B1095"/>
      <c r="C1095"/>
      <c r="D1095"/>
      <c r="E1095"/>
      <c r="F1095"/>
      <c r="G1095"/>
    </row>
    <row r="1096" spans="1:7" x14ac:dyDescent="0.35">
      <c r="A1096"/>
      <c r="B1096"/>
      <c r="C1096"/>
      <c r="D1096"/>
      <c r="E1096"/>
      <c r="F1096"/>
      <c r="G1096"/>
    </row>
    <row r="1097" spans="1:7" x14ac:dyDescent="0.35">
      <c r="A1097"/>
      <c r="B1097"/>
      <c r="C1097"/>
      <c r="D1097"/>
      <c r="E1097"/>
      <c r="F1097"/>
      <c r="G1097"/>
    </row>
    <row r="1098" spans="1:7" x14ac:dyDescent="0.35">
      <c r="A1098"/>
      <c r="B1098"/>
      <c r="C1098"/>
      <c r="D1098"/>
      <c r="E1098"/>
      <c r="F1098"/>
      <c r="G1098"/>
    </row>
    <row r="1099" spans="1:7" x14ac:dyDescent="0.35">
      <c r="A1099"/>
      <c r="B1099"/>
      <c r="C1099"/>
      <c r="D1099"/>
      <c r="E1099"/>
      <c r="F1099"/>
      <c r="G1099"/>
    </row>
    <row r="1100" spans="1:7" x14ac:dyDescent="0.35">
      <c r="A1100"/>
      <c r="B1100"/>
      <c r="C1100"/>
      <c r="D1100"/>
      <c r="E1100"/>
      <c r="F1100"/>
      <c r="G1100"/>
    </row>
    <row r="1101" spans="1:7" x14ac:dyDescent="0.35">
      <c r="A1101"/>
      <c r="B1101"/>
      <c r="C1101"/>
      <c r="D1101"/>
      <c r="E1101"/>
      <c r="F1101"/>
      <c r="G1101"/>
    </row>
    <row r="1102" spans="1:7" x14ac:dyDescent="0.35">
      <c r="A1102"/>
      <c r="B1102"/>
      <c r="C1102"/>
      <c r="D1102"/>
      <c r="E1102"/>
      <c r="F1102"/>
      <c r="G1102"/>
    </row>
    <row r="1103" spans="1:7" x14ac:dyDescent="0.35">
      <c r="A1103"/>
      <c r="B1103"/>
      <c r="C1103"/>
      <c r="D1103"/>
      <c r="E1103"/>
      <c r="F1103"/>
      <c r="G1103"/>
    </row>
    <row r="1104" spans="1:7" x14ac:dyDescent="0.35">
      <c r="A1104"/>
      <c r="B1104"/>
      <c r="C1104"/>
      <c r="D1104"/>
      <c r="E1104"/>
      <c r="F1104"/>
      <c r="G1104"/>
    </row>
    <row r="1105" spans="1:7" x14ac:dyDescent="0.35">
      <c r="A1105"/>
      <c r="B1105"/>
      <c r="C1105"/>
      <c r="D1105"/>
      <c r="E1105"/>
      <c r="F1105"/>
      <c r="G1105"/>
    </row>
    <row r="1106" spans="1:7" x14ac:dyDescent="0.35">
      <c r="A1106"/>
      <c r="B1106"/>
      <c r="C1106"/>
      <c r="D1106"/>
      <c r="E1106"/>
      <c r="F1106"/>
      <c r="G1106"/>
    </row>
    <row r="1107" spans="1:7" x14ac:dyDescent="0.35">
      <c r="A1107"/>
      <c r="B1107"/>
      <c r="C1107"/>
      <c r="D1107"/>
      <c r="E1107"/>
      <c r="F1107"/>
      <c r="G1107"/>
    </row>
    <row r="1108" spans="1:7" x14ac:dyDescent="0.35">
      <c r="A1108"/>
      <c r="B1108"/>
      <c r="C1108"/>
      <c r="D1108"/>
      <c r="E1108"/>
      <c r="F1108"/>
      <c r="G1108"/>
    </row>
    <row r="1109" spans="1:7" x14ac:dyDescent="0.35">
      <c r="A1109"/>
      <c r="B1109"/>
      <c r="C1109"/>
      <c r="D1109"/>
      <c r="E1109"/>
      <c r="F1109"/>
      <c r="G1109"/>
    </row>
    <row r="1110" spans="1:7" x14ac:dyDescent="0.35">
      <c r="A1110"/>
      <c r="B1110"/>
      <c r="C1110"/>
      <c r="D1110"/>
      <c r="E1110"/>
      <c r="F1110"/>
      <c r="G1110"/>
    </row>
    <row r="1111" spans="1:7" x14ac:dyDescent="0.35">
      <c r="A1111"/>
      <c r="B1111"/>
      <c r="C1111"/>
      <c r="D1111"/>
      <c r="E1111"/>
      <c r="F1111"/>
      <c r="G1111"/>
    </row>
    <row r="1112" spans="1:7" x14ac:dyDescent="0.35">
      <c r="A1112"/>
      <c r="B1112"/>
      <c r="C1112"/>
      <c r="D1112"/>
      <c r="E1112"/>
      <c r="F1112"/>
      <c r="G1112"/>
    </row>
    <row r="1113" spans="1:7" x14ac:dyDescent="0.35">
      <c r="A1113"/>
      <c r="B1113"/>
      <c r="C1113"/>
      <c r="D1113"/>
      <c r="E1113"/>
      <c r="F1113"/>
      <c r="G1113"/>
    </row>
    <row r="1114" spans="1:7" x14ac:dyDescent="0.35">
      <c r="A1114"/>
      <c r="B1114"/>
      <c r="C1114"/>
      <c r="D1114"/>
      <c r="E1114"/>
      <c r="F1114"/>
      <c r="G1114"/>
    </row>
    <row r="1115" spans="1:7" x14ac:dyDescent="0.35">
      <c r="A1115"/>
      <c r="B1115"/>
      <c r="C1115"/>
      <c r="D1115"/>
      <c r="E1115"/>
      <c r="F1115"/>
      <c r="G1115"/>
    </row>
    <row r="1116" spans="1:7" x14ac:dyDescent="0.35">
      <c r="A1116"/>
      <c r="B1116"/>
      <c r="C1116"/>
      <c r="D1116"/>
      <c r="E1116"/>
      <c r="F1116"/>
      <c r="G1116"/>
    </row>
    <row r="1117" spans="1:7" x14ac:dyDescent="0.35">
      <c r="A1117"/>
      <c r="B1117"/>
      <c r="C1117"/>
      <c r="D1117"/>
      <c r="E1117"/>
      <c r="F1117"/>
      <c r="G1117"/>
    </row>
    <row r="1118" spans="1:7" x14ac:dyDescent="0.35">
      <c r="A1118"/>
      <c r="B1118"/>
      <c r="C1118"/>
      <c r="D1118"/>
      <c r="E1118"/>
      <c r="F1118"/>
      <c r="G1118"/>
    </row>
    <row r="1119" spans="1:7" x14ac:dyDescent="0.35">
      <c r="A1119"/>
      <c r="B1119"/>
      <c r="C1119"/>
      <c r="D1119"/>
      <c r="E1119"/>
      <c r="F1119"/>
      <c r="G1119"/>
    </row>
    <row r="1120" spans="1:7" x14ac:dyDescent="0.35">
      <c r="A1120"/>
      <c r="B1120"/>
      <c r="C1120"/>
      <c r="D1120"/>
      <c r="E1120"/>
      <c r="F1120"/>
      <c r="G1120"/>
    </row>
    <row r="1121" spans="1:7" x14ac:dyDescent="0.35">
      <c r="A1121"/>
      <c r="B1121"/>
      <c r="C1121"/>
      <c r="D1121"/>
      <c r="E1121"/>
      <c r="F1121"/>
      <c r="G1121"/>
    </row>
    <row r="1122" spans="1:7" x14ac:dyDescent="0.35">
      <c r="A1122"/>
      <c r="B1122"/>
      <c r="C1122"/>
      <c r="D1122"/>
      <c r="E1122"/>
      <c r="F1122"/>
      <c r="G1122"/>
    </row>
    <row r="1123" spans="1:7" x14ac:dyDescent="0.35">
      <c r="A1123"/>
      <c r="B1123"/>
      <c r="C1123"/>
      <c r="D1123"/>
      <c r="E1123"/>
      <c r="F1123"/>
      <c r="G1123"/>
    </row>
    <row r="1124" spans="1:7" x14ac:dyDescent="0.35">
      <c r="A1124"/>
      <c r="B1124"/>
      <c r="C1124"/>
      <c r="D1124"/>
      <c r="E1124"/>
      <c r="F1124"/>
      <c r="G1124"/>
    </row>
    <row r="1125" spans="1:7" x14ac:dyDescent="0.35">
      <c r="A1125"/>
      <c r="B1125"/>
      <c r="C1125"/>
      <c r="D1125"/>
      <c r="E1125"/>
      <c r="F1125"/>
      <c r="G1125"/>
    </row>
    <row r="1126" spans="1:7" x14ac:dyDescent="0.35">
      <c r="A1126"/>
      <c r="B1126"/>
      <c r="C1126"/>
      <c r="D1126"/>
      <c r="E1126"/>
      <c r="F1126"/>
      <c r="G1126"/>
    </row>
    <row r="1127" spans="1:7" x14ac:dyDescent="0.35">
      <c r="A1127"/>
      <c r="B1127"/>
      <c r="C1127"/>
      <c r="D1127"/>
      <c r="E1127"/>
      <c r="F1127"/>
      <c r="G1127"/>
    </row>
    <row r="1128" spans="1:7" x14ac:dyDescent="0.35">
      <c r="A1128"/>
      <c r="B1128"/>
      <c r="C1128"/>
      <c r="D1128"/>
      <c r="E1128"/>
      <c r="F1128"/>
      <c r="G1128"/>
    </row>
    <row r="1129" spans="1:7" x14ac:dyDescent="0.35">
      <c r="A1129"/>
      <c r="B1129"/>
      <c r="C1129"/>
      <c r="D1129"/>
      <c r="E1129"/>
      <c r="F1129"/>
      <c r="G1129"/>
    </row>
    <row r="1130" spans="1:7" x14ac:dyDescent="0.35">
      <c r="A1130"/>
      <c r="B1130"/>
      <c r="C1130"/>
      <c r="D1130"/>
      <c r="E1130"/>
      <c r="F1130"/>
      <c r="G1130"/>
    </row>
    <row r="1131" spans="1:7" x14ac:dyDescent="0.35">
      <c r="A1131"/>
      <c r="B1131"/>
      <c r="C1131"/>
      <c r="D1131"/>
      <c r="E1131"/>
      <c r="F1131"/>
      <c r="G1131"/>
    </row>
    <row r="1132" spans="1:7" x14ac:dyDescent="0.35">
      <c r="A1132"/>
      <c r="B1132"/>
      <c r="C1132"/>
      <c r="D1132"/>
      <c r="E1132"/>
      <c r="F1132"/>
      <c r="G1132"/>
    </row>
    <row r="1133" spans="1:7" x14ac:dyDescent="0.35">
      <c r="A1133"/>
      <c r="B1133"/>
      <c r="C1133"/>
      <c r="D1133"/>
      <c r="E1133"/>
      <c r="F1133"/>
      <c r="G1133"/>
    </row>
    <row r="1134" spans="1:7" x14ac:dyDescent="0.35">
      <c r="A1134"/>
      <c r="B1134"/>
      <c r="C1134"/>
      <c r="D1134"/>
      <c r="E1134"/>
      <c r="F1134"/>
      <c r="G1134"/>
    </row>
    <row r="1135" spans="1:7" x14ac:dyDescent="0.35">
      <c r="A1135"/>
      <c r="B1135"/>
      <c r="C1135"/>
      <c r="D1135"/>
      <c r="E1135"/>
      <c r="F1135"/>
      <c r="G1135"/>
    </row>
    <row r="1136" spans="1:7" x14ac:dyDescent="0.35">
      <c r="A1136"/>
      <c r="B1136"/>
      <c r="C1136"/>
      <c r="D1136"/>
      <c r="E1136"/>
      <c r="F1136"/>
      <c r="G1136"/>
    </row>
    <row r="1137" spans="1:7" x14ac:dyDescent="0.35">
      <c r="A1137"/>
      <c r="B1137"/>
      <c r="C1137"/>
      <c r="D1137"/>
      <c r="E1137"/>
      <c r="F1137"/>
      <c r="G1137"/>
    </row>
    <row r="1138" spans="1:7" x14ac:dyDescent="0.35">
      <c r="A1138"/>
      <c r="B1138"/>
      <c r="C1138"/>
      <c r="D1138"/>
      <c r="E1138"/>
      <c r="F1138"/>
      <c r="G1138"/>
    </row>
    <row r="1139" spans="1:7" x14ac:dyDescent="0.35">
      <c r="A1139"/>
      <c r="B1139"/>
      <c r="C1139"/>
      <c r="D1139"/>
      <c r="E1139"/>
      <c r="F1139"/>
      <c r="G1139"/>
    </row>
    <row r="1140" spans="1:7" x14ac:dyDescent="0.35">
      <c r="A1140"/>
      <c r="B1140"/>
      <c r="C1140"/>
      <c r="D1140"/>
      <c r="E1140"/>
      <c r="F1140"/>
      <c r="G1140"/>
    </row>
    <row r="1141" spans="1:7" x14ac:dyDescent="0.35">
      <c r="A1141"/>
      <c r="B1141"/>
      <c r="C1141"/>
      <c r="D1141"/>
      <c r="E1141"/>
      <c r="F1141"/>
      <c r="G1141"/>
    </row>
    <row r="1142" spans="1:7" x14ac:dyDescent="0.35">
      <c r="A1142"/>
      <c r="B1142"/>
      <c r="C1142"/>
      <c r="D1142"/>
      <c r="E1142"/>
      <c r="F1142"/>
      <c r="G1142"/>
    </row>
    <row r="1143" spans="1:7" x14ac:dyDescent="0.35">
      <c r="A1143"/>
      <c r="B1143"/>
      <c r="C1143"/>
      <c r="D1143"/>
      <c r="E1143"/>
      <c r="F1143"/>
      <c r="G1143"/>
    </row>
    <row r="1144" spans="1:7" x14ac:dyDescent="0.35">
      <c r="A1144"/>
      <c r="B1144"/>
      <c r="C1144"/>
      <c r="D1144"/>
      <c r="E1144"/>
      <c r="F1144"/>
      <c r="G1144"/>
    </row>
    <row r="1145" spans="1:7" x14ac:dyDescent="0.35">
      <c r="A1145"/>
      <c r="B1145"/>
      <c r="C1145"/>
      <c r="D1145"/>
      <c r="E1145"/>
      <c r="F1145"/>
      <c r="G1145"/>
    </row>
    <row r="1146" spans="1:7" x14ac:dyDescent="0.35">
      <c r="A1146"/>
      <c r="B1146"/>
      <c r="C1146"/>
      <c r="D1146"/>
      <c r="E1146"/>
      <c r="F1146"/>
      <c r="G1146"/>
    </row>
    <row r="1147" spans="1:7" x14ac:dyDescent="0.35">
      <c r="A1147"/>
      <c r="B1147"/>
      <c r="C1147"/>
      <c r="D1147"/>
      <c r="E1147"/>
      <c r="F1147"/>
      <c r="G1147"/>
    </row>
    <row r="1148" spans="1:7" x14ac:dyDescent="0.35">
      <c r="A1148"/>
      <c r="B1148"/>
      <c r="C1148"/>
      <c r="D1148"/>
      <c r="E1148"/>
      <c r="F1148"/>
      <c r="G1148"/>
    </row>
    <row r="1149" spans="1:7" x14ac:dyDescent="0.35">
      <c r="A1149"/>
      <c r="B1149"/>
      <c r="C1149"/>
      <c r="D1149"/>
      <c r="E1149"/>
      <c r="F1149"/>
      <c r="G1149"/>
    </row>
    <row r="1150" spans="1:7" x14ac:dyDescent="0.35">
      <c r="A1150"/>
      <c r="B1150"/>
      <c r="C1150"/>
      <c r="D1150"/>
      <c r="E1150"/>
      <c r="F1150"/>
      <c r="G1150"/>
    </row>
    <row r="1151" spans="1:7" x14ac:dyDescent="0.35">
      <c r="A1151"/>
      <c r="B1151"/>
      <c r="C1151"/>
      <c r="D1151"/>
      <c r="E1151"/>
      <c r="F1151"/>
      <c r="G1151"/>
    </row>
    <row r="1152" spans="1:7" x14ac:dyDescent="0.35">
      <c r="A1152"/>
      <c r="B1152"/>
      <c r="C1152"/>
      <c r="D1152"/>
      <c r="E1152"/>
      <c r="F1152"/>
      <c r="G1152"/>
    </row>
    <row r="1153" spans="1:7" x14ac:dyDescent="0.35">
      <c r="A1153"/>
      <c r="B1153"/>
      <c r="C1153"/>
      <c r="D1153"/>
      <c r="E1153"/>
      <c r="F1153"/>
      <c r="G1153"/>
    </row>
    <row r="1154" spans="1:7" x14ac:dyDescent="0.35">
      <c r="A1154"/>
      <c r="B1154"/>
      <c r="C1154"/>
      <c r="D1154"/>
      <c r="E1154"/>
      <c r="F1154"/>
      <c r="G1154"/>
    </row>
    <row r="1155" spans="1:7" x14ac:dyDescent="0.35">
      <c r="A1155"/>
      <c r="B1155"/>
      <c r="C1155"/>
      <c r="D1155"/>
      <c r="E1155"/>
      <c r="F1155"/>
      <c r="G1155"/>
    </row>
    <row r="1156" spans="1:7" x14ac:dyDescent="0.35">
      <c r="A1156"/>
      <c r="B1156"/>
      <c r="C1156"/>
      <c r="D1156"/>
      <c r="E1156"/>
      <c r="F1156"/>
      <c r="G1156"/>
    </row>
    <row r="1157" spans="1:7" x14ac:dyDescent="0.35">
      <c r="A1157"/>
      <c r="B1157"/>
      <c r="C1157"/>
      <c r="D1157"/>
      <c r="E1157"/>
      <c r="F1157"/>
      <c r="G1157"/>
    </row>
    <row r="1158" spans="1:7" x14ac:dyDescent="0.35">
      <c r="A1158"/>
      <c r="B1158"/>
      <c r="C1158"/>
      <c r="D1158"/>
      <c r="E1158"/>
      <c r="F1158"/>
      <c r="G1158"/>
    </row>
    <row r="1159" spans="1:7" x14ac:dyDescent="0.35">
      <c r="A1159"/>
      <c r="B1159"/>
      <c r="C1159"/>
      <c r="D1159"/>
      <c r="E1159"/>
      <c r="F1159"/>
      <c r="G1159"/>
    </row>
    <row r="1160" spans="1:7" x14ac:dyDescent="0.35">
      <c r="A1160"/>
      <c r="B1160"/>
      <c r="C1160"/>
      <c r="D1160"/>
      <c r="E1160"/>
      <c r="F1160"/>
      <c r="G1160"/>
    </row>
    <row r="1161" spans="1:7" x14ac:dyDescent="0.35">
      <c r="A1161"/>
      <c r="B1161"/>
      <c r="C1161"/>
      <c r="D1161"/>
      <c r="E1161"/>
      <c r="F1161"/>
      <c r="G1161"/>
    </row>
    <row r="1162" spans="1:7" x14ac:dyDescent="0.35">
      <c r="A1162"/>
      <c r="B1162"/>
      <c r="C1162"/>
      <c r="D1162"/>
      <c r="E1162"/>
      <c r="F1162"/>
      <c r="G1162"/>
    </row>
    <row r="1163" spans="1:7" x14ac:dyDescent="0.35">
      <c r="A1163"/>
      <c r="B1163"/>
      <c r="C1163"/>
      <c r="D1163"/>
      <c r="E1163"/>
      <c r="F1163"/>
      <c r="G1163"/>
    </row>
    <row r="1164" spans="1:7" x14ac:dyDescent="0.35">
      <c r="A1164"/>
      <c r="B1164"/>
      <c r="C1164"/>
      <c r="D1164"/>
      <c r="E1164"/>
      <c r="F1164"/>
      <c r="G1164"/>
    </row>
    <row r="1165" spans="1:7" x14ac:dyDescent="0.35">
      <c r="A1165"/>
      <c r="B1165"/>
      <c r="C1165"/>
      <c r="D1165"/>
      <c r="E1165"/>
      <c r="F1165"/>
      <c r="G1165"/>
    </row>
    <row r="1166" spans="1:7" x14ac:dyDescent="0.35">
      <c r="A1166"/>
      <c r="B1166"/>
      <c r="C1166"/>
      <c r="D1166"/>
      <c r="E1166"/>
      <c r="F1166"/>
      <c r="G1166"/>
    </row>
    <row r="1167" spans="1:7" x14ac:dyDescent="0.35">
      <c r="A1167"/>
      <c r="B1167"/>
      <c r="C1167"/>
      <c r="D1167"/>
      <c r="E1167"/>
      <c r="F1167"/>
      <c r="G1167"/>
    </row>
    <row r="1168" spans="1:7" x14ac:dyDescent="0.35">
      <c r="A1168"/>
      <c r="B1168"/>
      <c r="C1168"/>
      <c r="D1168"/>
      <c r="E1168"/>
      <c r="F1168"/>
      <c r="G1168"/>
    </row>
    <row r="1169" spans="1:7" x14ac:dyDescent="0.35">
      <c r="A1169"/>
      <c r="B1169"/>
      <c r="C1169"/>
      <c r="D1169"/>
      <c r="E1169"/>
      <c r="F1169"/>
      <c r="G1169"/>
    </row>
    <row r="1170" spans="1:7" x14ac:dyDescent="0.35">
      <c r="A1170"/>
      <c r="B1170"/>
      <c r="C1170"/>
      <c r="D1170"/>
      <c r="E1170"/>
      <c r="F1170"/>
      <c r="G1170"/>
    </row>
    <row r="1171" spans="1:7" x14ac:dyDescent="0.35">
      <c r="A1171"/>
      <c r="B1171"/>
      <c r="C1171"/>
      <c r="D1171"/>
      <c r="E1171"/>
      <c r="F1171"/>
      <c r="G1171"/>
    </row>
    <row r="1172" spans="1:7" x14ac:dyDescent="0.35">
      <c r="A1172"/>
      <c r="B1172"/>
      <c r="C1172"/>
      <c r="D1172"/>
      <c r="E1172"/>
      <c r="F1172"/>
      <c r="G1172"/>
    </row>
    <row r="1173" spans="1:7" x14ac:dyDescent="0.35">
      <c r="A1173"/>
      <c r="B1173"/>
      <c r="C1173"/>
      <c r="D1173"/>
      <c r="E1173"/>
      <c r="F1173"/>
      <c r="G1173"/>
    </row>
    <row r="1174" spans="1:7" x14ac:dyDescent="0.35">
      <c r="A1174"/>
      <c r="B1174"/>
      <c r="C1174"/>
      <c r="D1174"/>
      <c r="E1174"/>
      <c r="F1174"/>
      <c r="G1174"/>
    </row>
    <row r="1175" spans="1:7" x14ac:dyDescent="0.35">
      <c r="A1175"/>
      <c r="B1175"/>
      <c r="C1175"/>
      <c r="D1175"/>
      <c r="E1175"/>
      <c r="F1175"/>
      <c r="G1175"/>
    </row>
    <row r="1176" spans="1:7" x14ac:dyDescent="0.35">
      <c r="A1176"/>
      <c r="B1176"/>
      <c r="C1176"/>
      <c r="D1176"/>
      <c r="E1176"/>
      <c r="F1176"/>
      <c r="G1176"/>
    </row>
    <row r="1177" spans="1:7" x14ac:dyDescent="0.35">
      <c r="A1177"/>
      <c r="B1177"/>
      <c r="C1177"/>
      <c r="D1177"/>
      <c r="E1177"/>
      <c r="F1177"/>
      <c r="G1177"/>
    </row>
    <row r="1178" spans="1:7" x14ac:dyDescent="0.35">
      <c r="A1178"/>
      <c r="B1178"/>
      <c r="C1178"/>
      <c r="D1178"/>
      <c r="E1178"/>
      <c r="F1178"/>
      <c r="G1178"/>
    </row>
    <row r="1179" spans="1:7" x14ac:dyDescent="0.35">
      <c r="A1179"/>
      <c r="B1179"/>
      <c r="C1179"/>
      <c r="D1179"/>
      <c r="E1179"/>
      <c r="F1179"/>
      <c r="G1179"/>
    </row>
    <row r="1180" spans="1:7" x14ac:dyDescent="0.35">
      <c r="A1180"/>
      <c r="B1180"/>
      <c r="C1180"/>
      <c r="D1180"/>
      <c r="E1180"/>
      <c r="F1180"/>
      <c r="G1180"/>
    </row>
    <row r="1181" spans="1:7" x14ac:dyDescent="0.35">
      <c r="A1181"/>
      <c r="B1181"/>
      <c r="C1181"/>
      <c r="D1181"/>
      <c r="E1181"/>
      <c r="F1181"/>
      <c r="G1181"/>
    </row>
    <row r="1182" spans="1:7" x14ac:dyDescent="0.35">
      <c r="A1182"/>
      <c r="B1182"/>
      <c r="C1182"/>
      <c r="D1182"/>
      <c r="E1182"/>
      <c r="F1182"/>
      <c r="G1182"/>
    </row>
    <row r="1183" spans="1:7" x14ac:dyDescent="0.35">
      <c r="A1183"/>
      <c r="B1183"/>
      <c r="C1183"/>
      <c r="D1183"/>
      <c r="E1183"/>
      <c r="F1183"/>
      <c r="G1183"/>
    </row>
    <row r="1184" spans="1:7" x14ac:dyDescent="0.35">
      <c r="A1184"/>
      <c r="B1184"/>
      <c r="C1184"/>
      <c r="D1184"/>
      <c r="E1184"/>
      <c r="F1184"/>
      <c r="G1184"/>
    </row>
    <row r="1185" spans="1:7" x14ac:dyDescent="0.35">
      <c r="A1185"/>
      <c r="B1185"/>
      <c r="C1185"/>
      <c r="D1185"/>
      <c r="E1185"/>
      <c r="F1185"/>
      <c r="G1185"/>
    </row>
    <row r="1186" spans="1:7" x14ac:dyDescent="0.35">
      <c r="A1186"/>
      <c r="B1186"/>
      <c r="C1186"/>
      <c r="D1186"/>
      <c r="E1186"/>
      <c r="F1186"/>
      <c r="G1186"/>
    </row>
    <row r="1187" spans="1:7" x14ac:dyDescent="0.35">
      <c r="A1187"/>
      <c r="B1187"/>
      <c r="C1187"/>
      <c r="D1187"/>
      <c r="E1187"/>
      <c r="F1187"/>
      <c r="G1187"/>
    </row>
    <row r="1188" spans="1:7" x14ac:dyDescent="0.35">
      <c r="A1188"/>
      <c r="B1188"/>
      <c r="C1188"/>
      <c r="D1188"/>
      <c r="E1188"/>
      <c r="F1188"/>
      <c r="G1188"/>
    </row>
    <row r="1189" spans="1:7" x14ac:dyDescent="0.35">
      <c r="A1189"/>
      <c r="B1189"/>
      <c r="C1189"/>
      <c r="D1189"/>
      <c r="E1189"/>
      <c r="F1189"/>
      <c r="G1189"/>
    </row>
    <row r="1190" spans="1:7" x14ac:dyDescent="0.35">
      <c r="A1190"/>
      <c r="B1190"/>
      <c r="C1190"/>
      <c r="D1190"/>
      <c r="E1190"/>
      <c r="F1190"/>
      <c r="G1190"/>
    </row>
    <row r="1191" spans="1:7" x14ac:dyDescent="0.35">
      <c r="A1191"/>
      <c r="B1191"/>
      <c r="C1191"/>
      <c r="D1191"/>
      <c r="E1191"/>
      <c r="F1191"/>
      <c r="G1191"/>
    </row>
    <row r="1192" spans="1:7" x14ac:dyDescent="0.35">
      <c r="A1192"/>
      <c r="B1192"/>
      <c r="C1192"/>
      <c r="D1192"/>
      <c r="E1192"/>
      <c r="F1192"/>
      <c r="G1192"/>
    </row>
    <row r="1193" spans="1:7" x14ac:dyDescent="0.35">
      <c r="A1193"/>
      <c r="B1193"/>
      <c r="C1193"/>
      <c r="D1193"/>
      <c r="E1193"/>
      <c r="F1193"/>
      <c r="G1193"/>
    </row>
    <row r="1194" spans="1:7" x14ac:dyDescent="0.35">
      <c r="A1194"/>
      <c r="B1194"/>
      <c r="C1194"/>
      <c r="D1194"/>
      <c r="E1194"/>
      <c r="F1194"/>
      <c r="G1194"/>
    </row>
    <row r="1195" spans="1:7" x14ac:dyDescent="0.35">
      <c r="A1195"/>
      <c r="B1195"/>
      <c r="C1195"/>
      <c r="D1195"/>
      <c r="E1195"/>
      <c r="F1195"/>
      <c r="G1195"/>
    </row>
    <row r="1196" spans="1:7" x14ac:dyDescent="0.35">
      <c r="A1196"/>
      <c r="B1196"/>
      <c r="C1196"/>
      <c r="D1196"/>
      <c r="E1196"/>
      <c r="F1196"/>
      <c r="G1196"/>
    </row>
    <row r="1197" spans="1:7" x14ac:dyDescent="0.35">
      <c r="A1197"/>
      <c r="B1197"/>
      <c r="C1197"/>
      <c r="D1197"/>
      <c r="E1197"/>
      <c r="F1197"/>
      <c r="G1197"/>
    </row>
    <row r="1198" spans="1:7" x14ac:dyDescent="0.35">
      <c r="A1198"/>
      <c r="B1198"/>
      <c r="C1198"/>
      <c r="D1198"/>
      <c r="E1198"/>
      <c r="F1198"/>
      <c r="G1198"/>
    </row>
    <row r="1199" spans="1:7" x14ac:dyDescent="0.35">
      <c r="A1199"/>
      <c r="B1199"/>
      <c r="C1199"/>
      <c r="D1199"/>
      <c r="E1199"/>
      <c r="F1199"/>
      <c r="G1199"/>
    </row>
    <row r="1200" spans="1:7" x14ac:dyDescent="0.35">
      <c r="A1200"/>
      <c r="B1200"/>
      <c r="C1200"/>
      <c r="D1200"/>
      <c r="E1200"/>
      <c r="F1200"/>
      <c r="G1200"/>
    </row>
    <row r="1201" spans="1:7" x14ac:dyDescent="0.35">
      <c r="A1201"/>
      <c r="B1201"/>
      <c r="C1201"/>
      <c r="D1201"/>
      <c r="E1201"/>
      <c r="F1201"/>
      <c r="G1201"/>
    </row>
    <row r="1202" spans="1:7" x14ac:dyDescent="0.35">
      <c r="A1202"/>
      <c r="B1202"/>
      <c r="C1202"/>
      <c r="D1202"/>
      <c r="E1202"/>
      <c r="F1202"/>
      <c r="G1202"/>
    </row>
    <row r="1203" spans="1:7" x14ac:dyDescent="0.35">
      <c r="A1203"/>
      <c r="B1203"/>
      <c r="C1203"/>
      <c r="D1203"/>
      <c r="E1203"/>
      <c r="F1203"/>
      <c r="G1203"/>
    </row>
    <row r="1204" spans="1:7" x14ac:dyDescent="0.35">
      <c r="A1204"/>
      <c r="B1204"/>
      <c r="C1204"/>
      <c r="D1204"/>
      <c r="E1204"/>
      <c r="F1204"/>
      <c r="G1204"/>
    </row>
    <row r="1205" spans="1:7" x14ac:dyDescent="0.35">
      <c r="A1205"/>
      <c r="B1205"/>
      <c r="C1205"/>
      <c r="D1205"/>
      <c r="E1205"/>
      <c r="F1205"/>
      <c r="G1205"/>
    </row>
    <row r="1206" spans="1:7" x14ac:dyDescent="0.35">
      <c r="A1206"/>
      <c r="B1206"/>
      <c r="C1206"/>
      <c r="D1206"/>
      <c r="E1206"/>
      <c r="F1206"/>
      <c r="G1206"/>
    </row>
    <row r="1207" spans="1:7" x14ac:dyDescent="0.35">
      <c r="A1207"/>
      <c r="B1207"/>
      <c r="C1207"/>
      <c r="D1207"/>
      <c r="E1207"/>
      <c r="F1207"/>
      <c r="G1207"/>
    </row>
    <row r="1208" spans="1:7" x14ac:dyDescent="0.35">
      <c r="A1208"/>
      <c r="B1208"/>
      <c r="C1208"/>
      <c r="D1208"/>
      <c r="E1208"/>
      <c r="F1208"/>
      <c r="G1208"/>
    </row>
    <row r="1209" spans="1:7" x14ac:dyDescent="0.35">
      <c r="A1209"/>
      <c r="B1209"/>
      <c r="C1209"/>
      <c r="D1209"/>
      <c r="E1209"/>
      <c r="F1209"/>
      <c r="G1209"/>
    </row>
    <row r="1210" spans="1:7" x14ac:dyDescent="0.35">
      <c r="A1210"/>
      <c r="B1210"/>
      <c r="C1210"/>
      <c r="D1210"/>
      <c r="E1210"/>
      <c r="F1210"/>
      <c r="G1210"/>
    </row>
    <row r="1211" spans="1:7" x14ac:dyDescent="0.35">
      <c r="A1211"/>
      <c r="B1211"/>
      <c r="C1211"/>
      <c r="D1211"/>
      <c r="E1211"/>
      <c r="F1211"/>
      <c r="G1211"/>
    </row>
    <row r="1212" spans="1:7" x14ac:dyDescent="0.35">
      <c r="A1212"/>
      <c r="B1212"/>
      <c r="C1212"/>
      <c r="D1212"/>
      <c r="E1212"/>
      <c r="F1212"/>
      <c r="G1212"/>
    </row>
    <row r="1213" spans="1:7" x14ac:dyDescent="0.35">
      <c r="A1213"/>
      <c r="B1213"/>
      <c r="C1213"/>
      <c r="D1213"/>
      <c r="E1213"/>
      <c r="F1213"/>
      <c r="G1213"/>
    </row>
    <row r="1214" spans="1:7" x14ac:dyDescent="0.35">
      <c r="A1214"/>
      <c r="B1214"/>
      <c r="C1214"/>
      <c r="D1214"/>
      <c r="E1214"/>
      <c r="F1214"/>
      <c r="G1214"/>
    </row>
    <row r="1215" spans="1:7" x14ac:dyDescent="0.35">
      <c r="A1215"/>
      <c r="B1215"/>
      <c r="C1215"/>
      <c r="D1215"/>
      <c r="E1215"/>
      <c r="F1215"/>
      <c r="G1215"/>
    </row>
    <row r="1216" spans="1:7" x14ac:dyDescent="0.35">
      <c r="A1216"/>
      <c r="B1216"/>
      <c r="C1216"/>
      <c r="D1216"/>
      <c r="E1216"/>
      <c r="F1216"/>
      <c r="G1216"/>
    </row>
    <row r="1217" spans="1:7" x14ac:dyDescent="0.35">
      <c r="A1217"/>
      <c r="B1217"/>
      <c r="C1217"/>
      <c r="D1217"/>
      <c r="E1217"/>
      <c r="F1217"/>
      <c r="G1217"/>
    </row>
    <row r="1218" spans="1:7" x14ac:dyDescent="0.35">
      <c r="A1218"/>
      <c r="B1218"/>
      <c r="C1218"/>
      <c r="D1218"/>
      <c r="E1218"/>
      <c r="F1218"/>
      <c r="G1218"/>
    </row>
    <row r="1219" spans="1:7" x14ac:dyDescent="0.35">
      <c r="A1219"/>
      <c r="B1219"/>
      <c r="C1219"/>
      <c r="D1219"/>
      <c r="E1219"/>
      <c r="F1219"/>
      <c r="G1219"/>
    </row>
    <row r="1220" spans="1:7" x14ac:dyDescent="0.35">
      <c r="A1220"/>
      <c r="B1220"/>
      <c r="C1220"/>
      <c r="D1220"/>
      <c r="E1220"/>
      <c r="F1220"/>
      <c r="G1220"/>
    </row>
    <row r="1221" spans="1:7" x14ac:dyDescent="0.35">
      <c r="A1221"/>
      <c r="B1221"/>
      <c r="C1221"/>
      <c r="D1221"/>
      <c r="E1221"/>
      <c r="F1221"/>
      <c r="G1221"/>
    </row>
    <row r="1222" spans="1:7" x14ac:dyDescent="0.35">
      <c r="A1222"/>
      <c r="B1222"/>
      <c r="C1222"/>
      <c r="D1222"/>
      <c r="E1222"/>
      <c r="F1222"/>
      <c r="G1222"/>
    </row>
    <row r="1223" spans="1:7" x14ac:dyDescent="0.35">
      <c r="A1223"/>
      <c r="B1223"/>
      <c r="C1223"/>
      <c r="D1223"/>
      <c r="E1223"/>
      <c r="F1223"/>
      <c r="G1223"/>
    </row>
    <row r="1224" spans="1:7" x14ac:dyDescent="0.35">
      <c r="A1224"/>
      <c r="B1224"/>
      <c r="C1224"/>
      <c r="D1224"/>
      <c r="E1224"/>
      <c r="F1224"/>
      <c r="G1224"/>
    </row>
    <row r="1225" spans="1:7" x14ac:dyDescent="0.35">
      <c r="A1225"/>
      <c r="B1225"/>
      <c r="C1225"/>
      <c r="D1225"/>
      <c r="E1225"/>
      <c r="F1225"/>
      <c r="G1225"/>
    </row>
    <row r="1226" spans="1:7" x14ac:dyDescent="0.35">
      <c r="A1226"/>
      <c r="B1226"/>
      <c r="C1226"/>
      <c r="D1226"/>
      <c r="E1226"/>
      <c r="F1226"/>
      <c r="G1226"/>
    </row>
    <row r="1227" spans="1:7" x14ac:dyDescent="0.35">
      <c r="A1227"/>
      <c r="B1227"/>
      <c r="C1227"/>
      <c r="D1227"/>
      <c r="E1227"/>
      <c r="F1227"/>
      <c r="G1227"/>
    </row>
    <row r="1228" spans="1:7" x14ac:dyDescent="0.35">
      <c r="A1228"/>
      <c r="B1228"/>
      <c r="C1228"/>
      <c r="D1228"/>
      <c r="E1228"/>
      <c r="F1228"/>
      <c r="G1228"/>
    </row>
    <row r="1229" spans="1:7" x14ac:dyDescent="0.35">
      <c r="A1229"/>
      <c r="B1229"/>
      <c r="C1229"/>
      <c r="D1229"/>
      <c r="E1229"/>
      <c r="F1229"/>
      <c r="G1229"/>
    </row>
    <row r="1230" spans="1:7" x14ac:dyDescent="0.35">
      <c r="A1230"/>
      <c r="B1230"/>
      <c r="C1230"/>
      <c r="D1230"/>
      <c r="E1230"/>
      <c r="F1230"/>
      <c r="G1230"/>
    </row>
    <row r="1231" spans="1:7" x14ac:dyDescent="0.35">
      <c r="A1231"/>
      <c r="B1231"/>
      <c r="C1231"/>
      <c r="D1231"/>
      <c r="E1231"/>
      <c r="F1231"/>
      <c r="G1231"/>
    </row>
    <row r="1232" spans="1:7" x14ac:dyDescent="0.35">
      <c r="A1232"/>
      <c r="B1232"/>
      <c r="C1232"/>
      <c r="D1232"/>
      <c r="E1232"/>
      <c r="F1232"/>
      <c r="G1232"/>
    </row>
    <row r="1233" spans="1:7" x14ac:dyDescent="0.35">
      <c r="A1233"/>
      <c r="B1233"/>
      <c r="C1233"/>
      <c r="D1233"/>
      <c r="E1233"/>
      <c r="F1233"/>
      <c r="G1233"/>
    </row>
    <row r="1234" spans="1:7" x14ac:dyDescent="0.35">
      <c r="A1234"/>
      <c r="B1234"/>
      <c r="C1234"/>
      <c r="D1234"/>
      <c r="E1234"/>
      <c r="F1234"/>
      <c r="G1234"/>
    </row>
    <row r="1235" spans="1:7" x14ac:dyDescent="0.35">
      <c r="A1235"/>
      <c r="B1235"/>
      <c r="C1235"/>
      <c r="D1235"/>
      <c r="E1235"/>
      <c r="F1235"/>
      <c r="G1235"/>
    </row>
    <row r="1236" spans="1:7" x14ac:dyDescent="0.35">
      <c r="A1236"/>
      <c r="B1236"/>
      <c r="C1236"/>
      <c r="D1236"/>
      <c r="E1236"/>
      <c r="F1236"/>
      <c r="G1236"/>
    </row>
    <row r="1237" spans="1:7" x14ac:dyDescent="0.35">
      <c r="A1237"/>
      <c r="B1237"/>
      <c r="C1237"/>
      <c r="D1237"/>
      <c r="E1237"/>
      <c r="F1237"/>
      <c r="G1237"/>
    </row>
    <row r="1238" spans="1:7" x14ac:dyDescent="0.35">
      <c r="A1238"/>
      <c r="B1238"/>
      <c r="C1238"/>
      <c r="D1238"/>
      <c r="E1238"/>
      <c r="F1238"/>
      <c r="G1238"/>
    </row>
    <row r="1239" spans="1:7" x14ac:dyDescent="0.35">
      <c r="A1239"/>
      <c r="B1239"/>
      <c r="C1239"/>
      <c r="D1239"/>
      <c r="E1239"/>
      <c r="F1239"/>
      <c r="G1239"/>
    </row>
    <row r="1240" spans="1:7" x14ac:dyDescent="0.35">
      <c r="A1240"/>
      <c r="B1240"/>
      <c r="C1240"/>
      <c r="D1240"/>
      <c r="E1240"/>
      <c r="F1240"/>
      <c r="G1240"/>
    </row>
    <row r="1241" spans="1:7" x14ac:dyDescent="0.35">
      <c r="A1241"/>
      <c r="B1241"/>
      <c r="C1241"/>
      <c r="D1241"/>
      <c r="E1241"/>
      <c r="F1241"/>
      <c r="G1241"/>
    </row>
    <row r="1242" spans="1:7" x14ac:dyDescent="0.35">
      <c r="A1242"/>
      <c r="B1242"/>
      <c r="C1242"/>
      <c r="D1242"/>
      <c r="E1242"/>
      <c r="F1242"/>
      <c r="G1242"/>
    </row>
    <row r="1243" spans="1:7" x14ac:dyDescent="0.35">
      <c r="A1243"/>
      <c r="B1243"/>
      <c r="C1243"/>
      <c r="D1243"/>
      <c r="E1243"/>
      <c r="F1243"/>
      <c r="G1243"/>
    </row>
    <row r="1244" spans="1:7" x14ac:dyDescent="0.35">
      <c r="A1244"/>
      <c r="B1244"/>
      <c r="C1244"/>
      <c r="D1244"/>
      <c r="E1244"/>
      <c r="F1244"/>
      <c r="G1244"/>
    </row>
    <row r="1245" spans="1:7" x14ac:dyDescent="0.35">
      <c r="A1245"/>
      <c r="B1245"/>
      <c r="C1245"/>
      <c r="D1245"/>
      <c r="E1245"/>
      <c r="F1245"/>
      <c r="G1245"/>
    </row>
    <row r="1246" spans="1:7" x14ac:dyDescent="0.35">
      <c r="A1246"/>
      <c r="B1246"/>
      <c r="C1246"/>
      <c r="D1246"/>
      <c r="E1246"/>
      <c r="F1246"/>
      <c r="G1246"/>
    </row>
    <row r="1247" spans="1:7" x14ac:dyDescent="0.35">
      <c r="A1247"/>
      <c r="B1247"/>
      <c r="C1247"/>
      <c r="D1247"/>
      <c r="E1247"/>
      <c r="F1247"/>
      <c r="G1247"/>
    </row>
    <row r="1248" spans="1:7" x14ac:dyDescent="0.35">
      <c r="A1248"/>
      <c r="B1248"/>
      <c r="C1248"/>
      <c r="D1248"/>
      <c r="E1248"/>
      <c r="F1248"/>
      <c r="G1248"/>
    </row>
    <row r="1249" spans="1:7" x14ac:dyDescent="0.35">
      <c r="A1249"/>
      <c r="B1249"/>
      <c r="C1249"/>
      <c r="D1249"/>
      <c r="E1249"/>
      <c r="F1249"/>
      <c r="G1249"/>
    </row>
    <row r="1250" spans="1:7" x14ac:dyDescent="0.35">
      <c r="A1250"/>
      <c r="B1250"/>
      <c r="C1250"/>
      <c r="D1250"/>
      <c r="E1250"/>
      <c r="F1250"/>
      <c r="G1250"/>
    </row>
    <row r="1251" spans="1:7" x14ac:dyDescent="0.35">
      <c r="A1251"/>
      <c r="B1251"/>
      <c r="C1251"/>
      <c r="D1251"/>
      <c r="E1251"/>
      <c r="F1251"/>
      <c r="G1251"/>
    </row>
    <row r="1252" spans="1:7" x14ac:dyDescent="0.35">
      <c r="A1252"/>
      <c r="B1252"/>
      <c r="C1252"/>
      <c r="D1252"/>
      <c r="E1252"/>
      <c r="F1252"/>
      <c r="G1252"/>
    </row>
    <row r="1253" spans="1:7" x14ac:dyDescent="0.35">
      <c r="A1253"/>
      <c r="B1253"/>
      <c r="C1253"/>
      <c r="D1253"/>
      <c r="E1253"/>
      <c r="F1253"/>
      <c r="G1253"/>
    </row>
    <row r="1254" spans="1:7" x14ac:dyDescent="0.35">
      <c r="A1254"/>
      <c r="B1254"/>
      <c r="C1254"/>
      <c r="D1254"/>
      <c r="E1254"/>
      <c r="F1254"/>
      <c r="G1254"/>
    </row>
    <row r="1255" spans="1:7" x14ac:dyDescent="0.35">
      <c r="A1255"/>
      <c r="B1255"/>
      <c r="C1255"/>
      <c r="D1255"/>
      <c r="E1255"/>
      <c r="F1255"/>
      <c r="G1255"/>
    </row>
    <row r="1256" spans="1:7" x14ac:dyDescent="0.35">
      <c r="A1256"/>
      <c r="B1256"/>
      <c r="C1256"/>
      <c r="D1256"/>
      <c r="E1256"/>
      <c r="F1256"/>
      <c r="G1256"/>
    </row>
    <row r="1257" spans="1:7" x14ac:dyDescent="0.35">
      <c r="A1257"/>
      <c r="B1257"/>
      <c r="C1257"/>
      <c r="D1257"/>
      <c r="E1257"/>
      <c r="F1257"/>
      <c r="G1257"/>
    </row>
    <row r="1258" spans="1:7" x14ac:dyDescent="0.35">
      <c r="A1258"/>
      <c r="B1258"/>
      <c r="C1258"/>
      <c r="D1258"/>
      <c r="E1258"/>
      <c r="F1258"/>
      <c r="G1258"/>
    </row>
    <row r="1259" spans="1:7" x14ac:dyDescent="0.35">
      <c r="A1259"/>
      <c r="B1259"/>
      <c r="C1259"/>
      <c r="D1259"/>
      <c r="E1259"/>
      <c r="F1259"/>
      <c r="G1259"/>
    </row>
    <row r="1260" spans="1:7" x14ac:dyDescent="0.35">
      <c r="A1260"/>
      <c r="B1260"/>
      <c r="C1260"/>
      <c r="D1260"/>
      <c r="E1260"/>
      <c r="F1260"/>
      <c r="G1260"/>
    </row>
    <row r="1261" spans="1:7" x14ac:dyDescent="0.35">
      <c r="A1261"/>
      <c r="B1261"/>
      <c r="C1261"/>
      <c r="D1261"/>
      <c r="E1261"/>
      <c r="F1261"/>
      <c r="G1261"/>
    </row>
    <row r="1262" spans="1:7" x14ac:dyDescent="0.35">
      <c r="A1262"/>
      <c r="B1262"/>
      <c r="C1262"/>
      <c r="D1262"/>
      <c r="E1262"/>
      <c r="F1262"/>
      <c r="G1262"/>
    </row>
    <row r="1263" spans="1:7" x14ac:dyDescent="0.35">
      <c r="A1263"/>
      <c r="B1263"/>
      <c r="C1263"/>
      <c r="D1263"/>
      <c r="E1263"/>
      <c r="F1263"/>
      <c r="G1263"/>
    </row>
    <row r="1264" spans="1:7" x14ac:dyDescent="0.35">
      <c r="A1264"/>
      <c r="B1264"/>
      <c r="C1264"/>
      <c r="D1264"/>
      <c r="E1264"/>
      <c r="F1264"/>
      <c r="G1264"/>
    </row>
    <row r="1265" spans="1:7" x14ac:dyDescent="0.35">
      <c r="A1265"/>
      <c r="B1265"/>
      <c r="C1265"/>
      <c r="D1265"/>
      <c r="E1265"/>
      <c r="F1265"/>
      <c r="G1265"/>
    </row>
    <row r="1266" spans="1:7" x14ac:dyDescent="0.35">
      <c r="A1266"/>
      <c r="B1266"/>
      <c r="C1266"/>
      <c r="D1266"/>
      <c r="E1266"/>
      <c r="F1266"/>
      <c r="G1266"/>
    </row>
    <row r="1267" spans="1:7" x14ac:dyDescent="0.35">
      <c r="A1267"/>
      <c r="B1267"/>
      <c r="C1267"/>
      <c r="D1267"/>
      <c r="E1267"/>
      <c r="F1267"/>
      <c r="G1267"/>
    </row>
    <row r="1268" spans="1:7" x14ac:dyDescent="0.35">
      <c r="A1268"/>
      <c r="B1268"/>
      <c r="C1268"/>
      <c r="D1268"/>
      <c r="E1268"/>
      <c r="F1268"/>
      <c r="G1268"/>
    </row>
    <row r="1269" spans="1:7" x14ac:dyDescent="0.35">
      <c r="A1269"/>
      <c r="B1269"/>
      <c r="C1269"/>
      <c r="D1269"/>
      <c r="E1269"/>
      <c r="F1269"/>
      <c r="G1269"/>
    </row>
    <row r="1270" spans="1:7" x14ac:dyDescent="0.35">
      <c r="A1270"/>
      <c r="B1270"/>
      <c r="C1270"/>
      <c r="D1270"/>
      <c r="E1270"/>
      <c r="F1270"/>
      <c r="G1270"/>
    </row>
    <row r="1271" spans="1:7" x14ac:dyDescent="0.35">
      <c r="A1271"/>
      <c r="B1271"/>
      <c r="C1271"/>
      <c r="D1271"/>
      <c r="E1271"/>
      <c r="F1271"/>
      <c r="G1271"/>
    </row>
    <row r="1272" spans="1:7" x14ac:dyDescent="0.35">
      <c r="A1272"/>
      <c r="B1272"/>
      <c r="C1272"/>
      <c r="D1272"/>
      <c r="E1272"/>
      <c r="F1272"/>
      <c r="G1272"/>
    </row>
    <row r="1273" spans="1:7" x14ac:dyDescent="0.35">
      <c r="A1273"/>
      <c r="B1273"/>
      <c r="C1273"/>
      <c r="D1273"/>
      <c r="E1273"/>
      <c r="F1273"/>
      <c r="G1273"/>
    </row>
    <row r="1274" spans="1:7" x14ac:dyDescent="0.35">
      <c r="A1274"/>
      <c r="B1274"/>
      <c r="C1274"/>
      <c r="D1274"/>
      <c r="E1274"/>
      <c r="F1274"/>
      <c r="G1274"/>
    </row>
    <row r="1275" spans="1:7" x14ac:dyDescent="0.35">
      <c r="A1275"/>
      <c r="B1275"/>
      <c r="C1275"/>
      <c r="D1275"/>
      <c r="E1275"/>
      <c r="F1275"/>
      <c r="G1275"/>
    </row>
    <row r="1276" spans="1:7" x14ac:dyDescent="0.35">
      <c r="A1276"/>
      <c r="B1276"/>
      <c r="C1276"/>
      <c r="D1276"/>
      <c r="E1276"/>
      <c r="F1276"/>
      <c r="G1276"/>
    </row>
    <row r="1277" spans="1:7" x14ac:dyDescent="0.35">
      <c r="A1277"/>
      <c r="B1277"/>
      <c r="C1277"/>
      <c r="D1277"/>
      <c r="E1277"/>
      <c r="F1277"/>
      <c r="G1277"/>
    </row>
    <row r="1278" spans="1:7" x14ac:dyDescent="0.35">
      <c r="A1278"/>
      <c r="B1278"/>
      <c r="C1278"/>
      <c r="D1278"/>
      <c r="E1278"/>
      <c r="F1278"/>
      <c r="G1278"/>
    </row>
    <row r="1279" spans="1:7" x14ac:dyDescent="0.35">
      <c r="A1279"/>
      <c r="B1279"/>
      <c r="C1279"/>
      <c r="D1279"/>
      <c r="E1279"/>
      <c r="F1279"/>
      <c r="G1279"/>
    </row>
    <row r="1280" spans="1:7" x14ac:dyDescent="0.35">
      <c r="A1280"/>
      <c r="B1280"/>
      <c r="C1280"/>
      <c r="D1280"/>
      <c r="E1280"/>
      <c r="F1280"/>
      <c r="G1280"/>
    </row>
    <row r="1281" spans="1:7" x14ac:dyDescent="0.35">
      <c r="A1281"/>
      <c r="B1281"/>
      <c r="C1281"/>
      <c r="D1281"/>
      <c r="E1281"/>
      <c r="F1281"/>
      <c r="G1281"/>
    </row>
    <row r="1282" spans="1:7" x14ac:dyDescent="0.35">
      <c r="A1282"/>
      <c r="B1282"/>
      <c r="C1282"/>
      <c r="D1282"/>
      <c r="E1282"/>
      <c r="F1282"/>
      <c r="G1282"/>
    </row>
    <row r="1283" spans="1:7" x14ac:dyDescent="0.35">
      <c r="A1283"/>
      <c r="B1283"/>
      <c r="C1283"/>
      <c r="D1283"/>
      <c r="E1283"/>
      <c r="F1283"/>
      <c r="G1283"/>
    </row>
    <row r="1284" spans="1:7" x14ac:dyDescent="0.35">
      <c r="A1284"/>
      <c r="B1284"/>
      <c r="C1284"/>
      <c r="D1284"/>
      <c r="E1284"/>
      <c r="F1284"/>
      <c r="G1284"/>
    </row>
    <row r="1285" spans="1:7" x14ac:dyDescent="0.35">
      <c r="A1285"/>
      <c r="B1285"/>
      <c r="C1285"/>
      <c r="D1285"/>
      <c r="E1285"/>
      <c r="F1285"/>
      <c r="G1285"/>
    </row>
    <row r="1286" spans="1:7" x14ac:dyDescent="0.35">
      <c r="A1286"/>
      <c r="B1286"/>
      <c r="C1286"/>
      <c r="D1286"/>
      <c r="E1286"/>
      <c r="F1286"/>
      <c r="G1286"/>
    </row>
    <row r="1287" spans="1:7" x14ac:dyDescent="0.35">
      <c r="A1287"/>
      <c r="B1287"/>
      <c r="C1287"/>
      <c r="D1287"/>
      <c r="E1287"/>
      <c r="F1287"/>
      <c r="G1287"/>
    </row>
    <row r="1288" spans="1:7" x14ac:dyDescent="0.35">
      <c r="A1288"/>
      <c r="B1288"/>
      <c r="C1288"/>
      <c r="D1288"/>
      <c r="E1288"/>
      <c r="F1288"/>
      <c r="G1288"/>
    </row>
    <row r="1289" spans="1:7" x14ac:dyDescent="0.35">
      <c r="A1289"/>
      <c r="B1289"/>
      <c r="C1289"/>
      <c r="D1289"/>
      <c r="E1289"/>
      <c r="F1289"/>
      <c r="G1289"/>
    </row>
    <row r="1290" spans="1:7" x14ac:dyDescent="0.35">
      <c r="A1290"/>
      <c r="B1290"/>
      <c r="C1290"/>
      <c r="D1290"/>
      <c r="E1290"/>
      <c r="F1290"/>
      <c r="G1290"/>
    </row>
    <row r="1291" spans="1:7" x14ac:dyDescent="0.35">
      <c r="A1291"/>
      <c r="B1291"/>
      <c r="C1291"/>
      <c r="D1291"/>
      <c r="E1291"/>
      <c r="F1291"/>
      <c r="G1291"/>
    </row>
    <row r="1292" spans="1:7" x14ac:dyDescent="0.35">
      <c r="A1292"/>
      <c r="B1292"/>
      <c r="C1292"/>
      <c r="D1292"/>
      <c r="E1292"/>
      <c r="F1292"/>
      <c r="G1292"/>
    </row>
    <row r="1293" spans="1:7" x14ac:dyDescent="0.35">
      <c r="A1293"/>
      <c r="B1293"/>
      <c r="C1293"/>
      <c r="D1293"/>
      <c r="E1293"/>
      <c r="F1293"/>
      <c r="G1293"/>
    </row>
    <row r="1294" spans="1:7" x14ac:dyDescent="0.35">
      <c r="A1294"/>
      <c r="B1294"/>
      <c r="C1294"/>
      <c r="D1294"/>
      <c r="E1294"/>
      <c r="F1294"/>
      <c r="G1294"/>
    </row>
    <row r="1295" spans="1:7" x14ac:dyDescent="0.35">
      <c r="A1295"/>
      <c r="B1295"/>
      <c r="C1295"/>
      <c r="D1295"/>
      <c r="E1295"/>
      <c r="F1295"/>
      <c r="G1295"/>
    </row>
    <row r="1296" spans="1:7" x14ac:dyDescent="0.35">
      <c r="A1296"/>
      <c r="B1296"/>
      <c r="C1296"/>
      <c r="D1296"/>
      <c r="E1296"/>
      <c r="F1296"/>
      <c r="G1296"/>
    </row>
    <row r="1297" spans="1:7" x14ac:dyDescent="0.35">
      <c r="A1297"/>
      <c r="B1297"/>
      <c r="C1297"/>
      <c r="D1297"/>
      <c r="E1297"/>
      <c r="F1297"/>
      <c r="G1297"/>
    </row>
    <row r="1298" spans="1:7" x14ac:dyDescent="0.35">
      <c r="A1298"/>
      <c r="B1298"/>
      <c r="C1298"/>
      <c r="D1298"/>
      <c r="E1298"/>
      <c r="F1298"/>
      <c r="G1298"/>
    </row>
    <row r="1299" spans="1:7" x14ac:dyDescent="0.35">
      <c r="A1299"/>
      <c r="B1299"/>
      <c r="C1299"/>
      <c r="D1299"/>
      <c r="E1299"/>
      <c r="F1299"/>
      <c r="G1299"/>
    </row>
    <row r="1300" spans="1:7" x14ac:dyDescent="0.35">
      <c r="A1300"/>
      <c r="B1300"/>
      <c r="C1300"/>
      <c r="D1300"/>
      <c r="E1300"/>
      <c r="F1300"/>
      <c r="G1300"/>
    </row>
    <row r="1301" spans="1:7" x14ac:dyDescent="0.35">
      <c r="A1301"/>
      <c r="B1301"/>
      <c r="C1301"/>
      <c r="D1301"/>
      <c r="E1301"/>
      <c r="F1301"/>
      <c r="G1301"/>
    </row>
    <row r="1302" spans="1:7" x14ac:dyDescent="0.35">
      <c r="A1302"/>
      <c r="B1302"/>
      <c r="C1302"/>
      <c r="D1302"/>
      <c r="E1302"/>
      <c r="F1302"/>
      <c r="G1302"/>
    </row>
    <row r="1303" spans="1:7" x14ac:dyDescent="0.35">
      <c r="A1303"/>
      <c r="B1303"/>
      <c r="C1303"/>
      <c r="D1303"/>
      <c r="E1303"/>
      <c r="F1303"/>
      <c r="G1303"/>
    </row>
    <row r="1304" spans="1:7" x14ac:dyDescent="0.35">
      <c r="A1304"/>
      <c r="B1304"/>
      <c r="C1304"/>
      <c r="D1304"/>
      <c r="E1304"/>
      <c r="F1304"/>
      <c r="G1304"/>
    </row>
    <row r="1305" spans="1:7" x14ac:dyDescent="0.35">
      <c r="A1305"/>
      <c r="B1305"/>
      <c r="C1305"/>
      <c r="D1305"/>
      <c r="E1305"/>
      <c r="F1305"/>
      <c r="G1305"/>
    </row>
    <row r="1306" spans="1:7" x14ac:dyDescent="0.35">
      <c r="A1306"/>
      <c r="B1306"/>
      <c r="C1306"/>
      <c r="D1306"/>
      <c r="E1306"/>
      <c r="F1306"/>
      <c r="G1306"/>
    </row>
    <row r="1307" spans="1:7" x14ac:dyDescent="0.35">
      <c r="A1307"/>
      <c r="B1307"/>
      <c r="C1307"/>
      <c r="D1307"/>
      <c r="E1307"/>
      <c r="F1307"/>
      <c r="G1307"/>
    </row>
    <row r="1308" spans="1:7" x14ac:dyDescent="0.35">
      <c r="A1308"/>
      <c r="B1308"/>
      <c r="C1308"/>
      <c r="D1308"/>
      <c r="E1308"/>
      <c r="F1308"/>
      <c r="G1308"/>
    </row>
    <row r="1309" spans="1:7" x14ac:dyDescent="0.35">
      <c r="A1309"/>
      <c r="B1309"/>
      <c r="C1309"/>
      <c r="D1309"/>
      <c r="E1309"/>
      <c r="F1309"/>
      <c r="G1309"/>
    </row>
    <row r="1310" spans="1:7" x14ac:dyDescent="0.35">
      <c r="A1310"/>
      <c r="B1310"/>
      <c r="C1310"/>
      <c r="D1310"/>
      <c r="E1310"/>
      <c r="F1310"/>
      <c r="G1310"/>
    </row>
    <row r="1311" spans="1:7" x14ac:dyDescent="0.35">
      <c r="A1311"/>
      <c r="B1311"/>
      <c r="C1311"/>
      <c r="D1311"/>
      <c r="E1311"/>
      <c r="F1311"/>
      <c r="G1311"/>
    </row>
    <row r="1312" spans="1:7" x14ac:dyDescent="0.35">
      <c r="A1312"/>
      <c r="B1312"/>
      <c r="C1312"/>
      <c r="D1312"/>
      <c r="E1312"/>
      <c r="F1312"/>
      <c r="G1312"/>
    </row>
    <row r="1313" spans="1:7" x14ac:dyDescent="0.35">
      <c r="A1313"/>
      <c r="B1313"/>
      <c r="C1313"/>
      <c r="D1313"/>
      <c r="E1313"/>
      <c r="F1313"/>
      <c r="G1313"/>
    </row>
    <row r="1314" spans="1:7" x14ac:dyDescent="0.35">
      <c r="A1314"/>
      <c r="B1314"/>
      <c r="C1314"/>
      <c r="D1314"/>
      <c r="E1314"/>
      <c r="F1314"/>
      <c r="G1314"/>
    </row>
    <row r="1315" spans="1:7" x14ac:dyDescent="0.35">
      <c r="A1315"/>
      <c r="B1315"/>
      <c r="C1315"/>
      <c r="D1315"/>
      <c r="E1315"/>
      <c r="F1315"/>
      <c r="G1315"/>
    </row>
    <row r="1316" spans="1:7" x14ac:dyDescent="0.35">
      <c r="A1316"/>
      <c r="B1316"/>
      <c r="C1316"/>
      <c r="D1316"/>
      <c r="E1316"/>
      <c r="F1316"/>
      <c r="G1316"/>
    </row>
    <row r="1317" spans="1:7" x14ac:dyDescent="0.35">
      <c r="A1317"/>
      <c r="B1317"/>
      <c r="C1317"/>
      <c r="D1317"/>
      <c r="E1317"/>
      <c r="F1317"/>
      <c r="G1317"/>
    </row>
    <row r="1318" spans="1:7" x14ac:dyDescent="0.35">
      <c r="A1318"/>
      <c r="B1318"/>
      <c r="C1318"/>
      <c r="D1318"/>
      <c r="E1318"/>
      <c r="F1318"/>
      <c r="G1318"/>
    </row>
    <row r="1319" spans="1:7" x14ac:dyDescent="0.35">
      <c r="A1319"/>
      <c r="B1319"/>
      <c r="C1319"/>
      <c r="D1319"/>
      <c r="E1319"/>
      <c r="F1319"/>
      <c r="G1319"/>
    </row>
    <row r="1320" spans="1:7" x14ac:dyDescent="0.35">
      <c r="A1320"/>
      <c r="B1320"/>
      <c r="C1320"/>
      <c r="D1320"/>
      <c r="E1320"/>
      <c r="F1320"/>
      <c r="G1320"/>
    </row>
    <row r="1321" spans="1:7" x14ac:dyDescent="0.35">
      <c r="A1321"/>
      <c r="B1321"/>
      <c r="C1321"/>
      <c r="D1321"/>
      <c r="E1321"/>
      <c r="F1321"/>
      <c r="G1321"/>
    </row>
    <row r="1322" spans="1:7" x14ac:dyDescent="0.35">
      <c r="A1322"/>
      <c r="B1322"/>
      <c r="C1322"/>
      <c r="D1322"/>
      <c r="E1322"/>
      <c r="F1322"/>
      <c r="G1322"/>
    </row>
    <row r="1323" spans="1:7" x14ac:dyDescent="0.35">
      <c r="A1323"/>
      <c r="B1323"/>
      <c r="C1323"/>
      <c r="D1323"/>
      <c r="E1323"/>
      <c r="F1323"/>
      <c r="G1323"/>
    </row>
    <row r="1324" spans="1:7" x14ac:dyDescent="0.35">
      <c r="A1324"/>
      <c r="B1324"/>
      <c r="C1324"/>
      <c r="D1324"/>
      <c r="E1324"/>
      <c r="F1324"/>
      <c r="G1324"/>
    </row>
    <row r="1325" spans="1:7" x14ac:dyDescent="0.35">
      <c r="A1325"/>
      <c r="B1325"/>
      <c r="C1325"/>
      <c r="D1325"/>
      <c r="E1325"/>
      <c r="F1325"/>
      <c r="G1325"/>
    </row>
    <row r="1326" spans="1:7" x14ac:dyDescent="0.35">
      <c r="A1326"/>
      <c r="B1326"/>
      <c r="C1326"/>
      <c r="D1326"/>
      <c r="E1326"/>
      <c r="F1326"/>
      <c r="G1326"/>
    </row>
    <row r="1327" spans="1:7" x14ac:dyDescent="0.35">
      <c r="A1327"/>
      <c r="B1327"/>
      <c r="C1327"/>
      <c r="D1327"/>
      <c r="E1327"/>
      <c r="F1327"/>
      <c r="G1327"/>
    </row>
    <row r="1328" spans="1:7" x14ac:dyDescent="0.35">
      <c r="A1328"/>
      <c r="B1328"/>
      <c r="C1328"/>
      <c r="D1328"/>
      <c r="E1328"/>
      <c r="F1328"/>
      <c r="G1328"/>
    </row>
    <row r="1329" spans="1:7" x14ac:dyDescent="0.35">
      <c r="A1329"/>
      <c r="B1329"/>
      <c r="C1329"/>
      <c r="D1329"/>
      <c r="E1329"/>
      <c r="F1329"/>
      <c r="G1329"/>
    </row>
    <row r="1330" spans="1:7" x14ac:dyDescent="0.35">
      <c r="A1330"/>
      <c r="B1330"/>
      <c r="C1330"/>
      <c r="D1330"/>
      <c r="E1330"/>
      <c r="F1330"/>
      <c r="G1330"/>
    </row>
    <row r="1331" spans="1:7" x14ac:dyDescent="0.35">
      <c r="A1331"/>
      <c r="B1331"/>
      <c r="C1331"/>
      <c r="D1331"/>
      <c r="E1331"/>
      <c r="F1331"/>
      <c r="G1331"/>
    </row>
    <row r="1332" spans="1:7" x14ac:dyDescent="0.35">
      <c r="A1332"/>
      <c r="B1332"/>
      <c r="C1332"/>
      <c r="D1332"/>
      <c r="E1332"/>
      <c r="F1332"/>
      <c r="G1332"/>
    </row>
    <row r="1333" spans="1:7" x14ac:dyDescent="0.35">
      <c r="A1333"/>
      <c r="B1333"/>
      <c r="C1333"/>
      <c r="D1333"/>
      <c r="E1333"/>
      <c r="F1333"/>
      <c r="G1333"/>
    </row>
    <row r="1334" spans="1:7" x14ac:dyDescent="0.35">
      <c r="A1334"/>
      <c r="B1334"/>
      <c r="C1334"/>
      <c r="D1334"/>
      <c r="E1334"/>
      <c r="F1334"/>
      <c r="G1334"/>
    </row>
    <row r="1335" spans="1:7" x14ac:dyDescent="0.35">
      <c r="A1335"/>
      <c r="B1335"/>
      <c r="C1335"/>
      <c r="D1335"/>
      <c r="E1335"/>
      <c r="F1335"/>
      <c r="G1335"/>
    </row>
    <row r="1336" spans="1:7" x14ac:dyDescent="0.35">
      <c r="A1336"/>
      <c r="B1336"/>
      <c r="C1336"/>
      <c r="D1336"/>
      <c r="E1336"/>
      <c r="F1336"/>
      <c r="G1336"/>
    </row>
    <row r="1337" spans="1:7" x14ac:dyDescent="0.35">
      <c r="A1337"/>
      <c r="B1337"/>
      <c r="C1337"/>
      <c r="D1337"/>
      <c r="E1337"/>
      <c r="F1337"/>
      <c r="G1337"/>
    </row>
    <row r="1338" spans="1:7" x14ac:dyDescent="0.35">
      <c r="A1338"/>
      <c r="B1338"/>
      <c r="C1338"/>
      <c r="D1338"/>
      <c r="E1338"/>
      <c r="F1338"/>
      <c r="G1338"/>
    </row>
    <row r="1339" spans="1:7" x14ac:dyDescent="0.35">
      <c r="A1339"/>
      <c r="B1339"/>
      <c r="C1339"/>
      <c r="D1339"/>
      <c r="E1339"/>
      <c r="F1339"/>
      <c r="G1339"/>
    </row>
    <row r="1340" spans="1:7" x14ac:dyDescent="0.35">
      <c r="A1340"/>
      <c r="B1340"/>
      <c r="C1340"/>
      <c r="D1340"/>
      <c r="E1340"/>
      <c r="F1340"/>
      <c r="G1340"/>
    </row>
    <row r="1341" spans="1:7" x14ac:dyDescent="0.35">
      <c r="A1341"/>
      <c r="B1341"/>
      <c r="C1341"/>
      <c r="D1341"/>
      <c r="E1341"/>
      <c r="F1341"/>
      <c r="G1341"/>
    </row>
    <row r="1342" spans="1:7" x14ac:dyDescent="0.35">
      <c r="A1342"/>
      <c r="B1342"/>
      <c r="C1342"/>
      <c r="D1342"/>
      <c r="E1342"/>
      <c r="F1342"/>
      <c r="G1342"/>
    </row>
    <row r="1343" spans="1:7" x14ac:dyDescent="0.35">
      <c r="A1343"/>
      <c r="B1343"/>
      <c r="C1343"/>
      <c r="D1343"/>
      <c r="E1343"/>
      <c r="F1343"/>
      <c r="G1343"/>
    </row>
    <row r="1344" spans="1:7" x14ac:dyDescent="0.35">
      <c r="A1344"/>
      <c r="B1344"/>
      <c r="C1344"/>
      <c r="D1344"/>
      <c r="E1344"/>
      <c r="F1344"/>
      <c r="G1344"/>
    </row>
    <row r="1345" spans="1:7" x14ac:dyDescent="0.35">
      <c r="A1345"/>
      <c r="B1345"/>
      <c r="C1345"/>
      <c r="D1345"/>
      <c r="E1345"/>
      <c r="F1345"/>
      <c r="G1345"/>
    </row>
    <row r="1346" spans="1:7" x14ac:dyDescent="0.35">
      <c r="A1346"/>
      <c r="B1346"/>
      <c r="C1346"/>
      <c r="D1346"/>
      <c r="E1346"/>
      <c r="F1346"/>
      <c r="G1346"/>
    </row>
    <row r="1347" spans="1:7" x14ac:dyDescent="0.35">
      <c r="A1347"/>
      <c r="B1347"/>
      <c r="C1347"/>
      <c r="D1347"/>
      <c r="E1347"/>
      <c r="F1347"/>
      <c r="G1347"/>
    </row>
    <row r="1348" spans="1:7" x14ac:dyDescent="0.35">
      <c r="A1348"/>
      <c r="B1348"/>
      <c r="C1348"/>
      <c r="D1348"/>
      <c r="E1348"/>
      <c r="F1348"/>
      <c r="G1348"/>
    </row>
    <row r="1349" spans="1:7" x14ac:dyDescent="0.35">
      <c r="A1349"/>
      <c r="B1349"/>
      <c r="C1349"/>
      <c r="D1349"/>
      <c r="E1349"/>
      <c r="F1349"/>
      <c r="G1349"/>
    </row>
    <row r="1350" spans="1:7" x14ac:dyDescent="0.35">
      <c r="A1350"/>
      <c r="B1350"/>
      <c r="C1350"/>
      <c r="D1350"/>
      <c r="E1350"/>
      <c r="F1350"/>
      <c r="G1350"/>
    </row>
    <row r="1351" spans="1:7" x14ac:dyDescent="0.35">
      <c r="A1351"/>
      <c r="B1351"/>
      <c r="C1351"/>
      <c r="D1351"/>
      <c r="E1351"/>
      <c r="F1351"/>
      <c r="G1351"/>
    </row>
    <row r="1352" spans="1:7" x14ac:dyDescent="0.35">
      <c r="A1352"/>
      <c r="B1352"/>
      <c r="C1352"/>
      <c r="D1352"/>
      <c r="E1352"/>
      <c r="F1352"/>
      <c r="G1352"/>
    </row>
    <row r="1353" spans="1:7" x14ac:dyDescent="0.35">
      <c r="A1353"/>
      <c r="B1353"/>
      <c r="C1353"/>
      <c r="D1353"/>
      <c r="E1353"/>
      <c r="F1353"/>
      <c r="G1353"/>
    </row>
    <row r="1354" spans="1:7" x14ac:dyDescent="0.35">
      <c r="A1354"/>
      <c r="B1354"/>
      <c r="C1354"/>
      <c r="D1354"/>
      <c r="E1354"/>
      <c r="F1354"/>
      <c r="G1354"/>
    </row>
    <row r="1355" spans="1:7" x14ac:dyDescent="0.35">
      <c r="A1355"/>
      <c r="B1355"/>
      <c r="C1355"/>
      <c r="D1355"/>
      <c r="E1355"/>
      <c r="F1355"/>
      <c r="G1355"/>
    </row>
    <row r="1356" spans="1:7" x14ac:dyDescent="0.35">
      <c r="A1356"/>
      <c r="B1356"/>
      <c r="C1356"/>
      <c r="D1356"/>
      <c r="E1356"/>
      <c r="F1356"/>
      <c r="G1356"/>
    </row>
    <row r="1357" spans="1:7" x14ac:dyDescent="0.35">
      <c r="A1357"/>
      <c r="B1357"/>
      <c r="C1357"/>
      <c r="D1357"/>
      <c r="E1357"/>
      <c r="F1357"/>
      <c r="G1357"/>
    </row>
    <row r="1358" spans="1:7" x14ac:dyDescent="0.35">
      <c r="A1358"/>
      <c r="B1358"/>
      <c r="C1358"/>
      <c r="D1358"/>
      <c r="E1358"/>
      <c r="F1358"/>
      <c r="G1358"/>
    </row>
    <row r="1359" spans="1:7" x14ac:dyDescent="0.35">
      <c r="A1359"/>
      <c r="B1359"/>
      <c r="C1359"/>
      <c r="D1359"/>
      <c r="E1359"/>
      <c r="F1359"/>
      <c r="G1359"/>
    </row>
    <row r="1360" spans="1:7" x14ac:dyDescent="0.35">
      <c r="A1360"/>
      <c r="B1360"/>
      <c r="C1360"/>
      <c r="D1360"/>
      <c r="E1360"/>
      <c r="F1360"/>
      <c r="G1360"/>
    </row>
    <row r="1361" spans="1:7" x14ac:dyDescent="0.35">
      <c r="A1361"/>
      <c r="B1361"/>
      <c r="C1361"/>
      <c r="D1361"/>
      <c r="E1361"/>
      <c r="F1361"/>
      <c r="G1361"/>
    </row>
    <row r="1362" spans="1:7" x14ac:dyDescent="0.35">
      <c r="A1362"/>
      <c r="B1362"/>
      <c r="C1362"/>
      <c r="D1362"/>
      <c r="E1362"/>
      <c r="F1362"/>
      <c r="G1362"/>
    </row>
    <row r="1363" spans="1:7" x14ac:dyDescent="0.35">
      <c r="A1363"/>
      <c r="B1363"/>
      <c r="C1363"/>
      <c r="D1363"/>
      <c r="E1363"/>
      <c r="F1363"/>
      <c r="G1363"/>
    </row>
    <row r="1364" spans="1:7" x14ac:dyDescent="0.35">
      <c r="A1364"/>
      <c r="B1364"/>
      <c r="C1364"/>
      <c r="D1364"/>
      <c r="E1364"/>
      <c r="F1364"/>
      <c r="G1364"/>
    </row>
    <row r="1365" spans="1:7" x14ac:dyDescent="0.35">
      <c r="A1365"/>
      <c r="B1365"/>
      <c r="C1365"/>
      <c r="D1365"/>
      <c r="E1365"/>
      <c r="F1365"/>
      <c r="G1365"/>
    </row>
    <row r="1366" spans="1:7" x14ac:dyDescent="0.35">
      <c r="A1366"/>
      <c r="B1366"/>
      <c r="C1366"/>
      <c r="D1366"/>
      <c r="E1366"/>
      <c r="F1366"/>
      <c r="G1366"/>
    </row>
    <row r="1367" spans="1:7" x14ac:dyDescent="0.35">
      <c r="A1367"/>
      <c r="B1367"/>
      <c r="C1367"/>
      <c r="D1367"/>
      <c r="E1367"/>
      <c r="F1367"/>
      <c r="G1367"/>
    </row>
    <row r="1368" spans="1:7" x14ac:dyDescent="0.35">
      <c r="A1368"/>
      <c r="B1368"/>
      <c r="C1368"/>
      <c r="D1368"/>
      <c r="E1368"/>
      <c r="F1368"/>
      <c r="G1368"/>
    </row>
    <row r="1369" spans="1:7" x14ac:dyDescent="0.35">
      <c r="A1369"/>
      <c r="B1369"/>
      <c r="C1369"/>
      <c r="D1369"/>
      <c r="E1369"/>
      <c r="F1369"/>
      <c r="G1369"/>
    </row>
    <row r="1370" spans="1:7" x14ac:dyDescent="0.35">
      <c r="A1370"/>
      <c r="B1370"/>
      <c r="C1370"/>
      <c r="D1370"/>
      <c r="E1370"/>
      <c r="F1370"/>
      <c r="G1370"/>
    </row>
    <row r="1371" spans="1:7" x14ac:dyDescent="0.35">
      <c r="A1371"/>
      <c r="B1371"/>
      <c r="C1371"/>
      <c r="D1371"/>
      <c r="E1371"/>
      <c r="F1371"/>
      <c r="G1371"/>
    </row>
    <row r="1372" spans="1:7" x14ac:dyDescent="0.35">
      <c r="A1372"/>
      <c r="B1372"/>
      <c r="C1372"/>
      <c r="D1372"/>
      <c r="E1372"/>
      <c r="F1372"/>
      <c r="G1372"/>
    </row>
    <row r="1373" spans="1:7" x14ac:dyDescent="0.35">
      <c r="A1373"/>
      <c r="B1373"/>
      <c r="C1373"/>
      <c r="D1373"/>
      <c r="E1373"/>
      <c r="F1373"/>
      <c r="G1373"/>
    </row>
    <row r="1374" spans="1:7" x14ac:dyDescent="0.35">
      <c r="A1374"/>
      <c r="B1374"/>
      <c r="C1374"/>
      <c r="D1374"/>
      <c r="E1374"/>
      <c r="F1374"/>
      <c r="G1374"/>
    </row>
    <row r="1375" spans="1:7" x14ac:dyDescent="0.35">
      <c r="A1375"/>
      <c r="B1375"/>
      <c r="C1375"/>
      <c r="D1375"/>
      <c r="E1375"/>
      <c r="F1375"/>
      <c r="G1375"/>
    </row>
    <row r="1376" spans="1:7" x14ac:dyDescent="0.35">
      <c r="A1376"/>
      <c r="B1376"/>
      <c r="C1376"/>
      <c r="D1376"/>
      <c r="E1376"/>
      <c r="F1376"/>
      <c r="G1376"/>
    </row>
    <row r="1377" spans="1:7" x14ac:dyDescent="0.35">
      <c r="A1377"/>
      <c r="B1377"/>
      <c r="C1377"/>
      <c r="D1377"/>
      <c r="E1377"/>
      <c r="F1377"/>
      <c r="G1377"/>
    </row>
    <row r="1378" spans="1:7" x14ac:dyDescent="0.35">
      <c r="A1378"/>
      <c r="B1378"/>
      <c r="C1378"/>
      <c r="D1378"/>
      <c r="E1378"/>
      <c r="F1378"/>
      <c r="G1378"/>
    </row>
    <row r="1379" spans="1:7" x14ac:dyDescent="0.35">
      <c r="A1379"/>
      <c r="B1379"/>
      <c r="C1379"/>
      <c r="D1379"/>
      <c r="E1379"/>
      <c r="F1379"/>
      <c r="G1379"/>
    </row>
    <row r="1380" spans="1:7" x14ac:dyDescent="0.35">
      <c r="A1380"/>
      <c r="B1380"/>
      <c r="C1380"/>
      <c r="D1380"/>
      <c r="E1380"/>
      <c r="F1380"/>
      <c r="G1380"/>
    </row>
    <row r="1381" spans="1:7" x14ac:dyDescent="0.35">
      <c r="A1381"/>
      <c r="B1381"/>
      <c r="C1381"/>
      <c r="D1381"/>
      <c r="E1381"/>
      <c r="F1381"/>
      <c r="G1381"/>
    </row>
    <row r="1382" spans="1:7" x14ac:dyDescent="0.35">
      <c r="A1382"/>
      <c r="B1382"/>
      <c r="C1382"/>
      <c r="D1382"/>
      <c r="E1382"/>
      <c r="F1382"/>
      <c r="G1382"/>
    </row>
    <row r="1383" spans="1:7" x14ac:dyDescent="0.35">
      <c r="A1383"/>
      <c r="B1383"/>
      <c r="C1383"/>
      <c r="D1383"/>
      <c r="E1383"/>
      <c r="F1383"/>
      <c r="G1383"/>
    </row>
    <row r="1384" spans="1:7" x14ac:dyDescent="0.35">
      <c r="A1384"/>
      <c r="B1384"/>
      <c r="C1384"/>
      <c r="D1384"/>
      <c r="E1384"/>
      <c r="F1384"/>
      <c r="G1384"/>
    </row>
    <row r="1385" spans="1:7" x14ac:dyDescent="0.35">
      <c r="A1385"/>
      <c r="B1385"/>
      <c r="C1385"/>
      <c r="D1385"/>
      <c r="E1385"/>
      <c r="F1385"/>
      <c r="G1385"/>
    </row>
    <row r="1386" spans="1:7" x14ac:dyDescent="0.35">
      <c r="A1386"/>
      <c r="B1386"/>
      <c r="C1386"/>
      <c r="D1386"/>
      <c r="E1386"/>
      <c r="F1386"/>
      <c r="G1386"/>
    </row>
    <row r="1387" spans="1:7" x14ac:dyDescent="0.35">
      <c r="A1387"/>
      <c r="B1387"/>
      <c r="C1387"/>
      <c r="D1387"/>
      <c r="E1387"/>
      <c r="F1387"/>
      <c r="G1387"/>
    </row>
    <row r="1388" spans="1:7" x14ac:dyDescent="0.35">
      <c r="A1388"/>
      <c r="B1388"/>
      <c r="C1388"/>
      <c r="D1388"/>
      <c r="E1388"/>
      <c r="F1388"/>
      <c r="G1388"/>
    </row>
    <row r="1389" spans="1:7" x14ac:dyDescent="0.35">
      <c r="A1389"/>
      <c r="B1389"/>
      <c r="C1389"/>
      <c r="D1389"/>
      <c r="E1389"/>
      <c r="F1389"/>
      <c r="G1389"/>
    </row>
    <row r="1390" spans="1:7" x14ac:dyDescent="0.35">
      <c r="A1390"/>
      <c r="B1390"/>
      <c r="C1390"/>
      <c r="D1390"/>
      <c r="E1390"/>
      <c r="F1390"/>
      <c r="G1390"/>
    </row>
    <row r="1391" spans="1:7" x14ac:dyDescent="0.35">
      <c r="A1391"/>
      <c r="B1391"/>
      <c r="C1391"/>
      <c r="D1391"/>
      <c r="E1391"/>
      <c r="F1391"/>
      <c r="G1391"/>
    </row>
    <row r="1392" spans="1:7" x14ac:dyDescent="0.35">
      <c r="A1392"/>
      <c r="B1392"/>
      <c r="C1392"/>
      <c r="D1392"/>
      <c r="E1392"/>
      <c r="F1392"/>
      <c r="G1392"/>
    </row>
    <row r="1393" spans="1:7" x14ac:dyDescent="0.35">
      <c r="A1393"/>
      <c r="B1393"/>
      <c r="C1393"/>
      <c r="D1393"/>
      <c r="E1393"/>
      <c r="F1393"/>
      <c r="G1393"/>
    </row>
    <row r="1394" spans="1:7" x14ac:dyDescent="0.35">
      <c r="A1394"/>
      <c r="B1394"/>
      <c r="C1394"/>
      <c r="D1394"/>
      <c r="E1394"/>
      <c r="F1394"/>
      <c r="G1394"/>
    </row>
    <row r="1395" spans="1:7" x14ac:dyDescent="0.35">
      <c r="A1395"/>
      <c r="B1395"/>
      <c r="C1395"/>
      <c r="D1395"/>
      <c r="E1395"/>
      <c r="F1395"/>
      <c r="G1395"/>
    </row>
    <row r="1396" spans="1:7" x14ac:dyDescent="0.35">
      <c r="A1396"/>
      <c r="B1396"/>
      <c r="C1396"/>
      <c r="D1396"/>
      <c r="E1396"/>
      <c r="F1396"/>
      <c r="G1396"/>
    </row>
    <row r="1397" spans="1:7" x14ac:dyDescent="0.35">
      <c r="A1397"/>
      <c r="B1397"/>
      <c r="C1397"/>
      <c r="D1397"/>
      <c r="E1397"/>
      <c r="F1397"/>
      <c r="G1397"/>
    </row>
    <row r="1398" spans="1:7" x14ac:dyDescent="0.35">
      <c r="A1398"/>
      <c r="B1398"/>
      <c r="C1398"/>
      <c r="D1398"/>
      <c r="E1398"/>
      <c r="F1398"/>
      <c r="G1398"/>
    </row>
    <row r="1399" spans="1:7" x14ac:dyDescent="0.35">
      <c r="A1399"/>
      <c r="B1399"/>
      <c r="C1399"/>
      <c r="D1399"/>
      <c r="E1399"/>
      <c r="F1399"/>
      <c r="G1399"/>
    </row>
    <row r="1400" spans="1:7" x14ac:dyDescent="0.35">
      <c r="A1400"/>
      <c r="B1400"/>
      <c r="C1400"/>
      <c r="D1400"/>
      <c r="E1400"/>
      <c r="F1400"/>
      <c r="G1400"/>
    </row>
    <row r="1401" spans="1:7" x14ac:dyDescent="0.35">
      <c r="A1401"/>
      <c r="B1401"/>
      <c r="C1401"/>
      <c r="D1401"/>
      <c r="E1401"/>
      <c r="F1401"/>
      <c r="G1401"/>
    </row>
    <row r="1402" spans="1:7" x14ac:dyDescent="0.35">
      <c r="A1402"/>
      <c r="B1402"/>
      <c r="C1402"/>
      <c r="D1402"/>
      <c r="E1402"/>
      <c r="F1402"/>
      <c r="G1402"/>
    </row>
    <row r="1403" spans="1:7" x14ac:dyDescent="0.35">
      <c r="A1403"/>
      <c r="B1403"/>
      <c r="C1403"/>
      <c r="D1403"/>
      <c r="E1403"/>
      <c r="F1403"/>
      <c r="G1403"/>
    </row>
    <row r="1404" spans="1:7" x14ac:dyDescent="0.35">
      <c r="A1404"/>
      <c r="B1404"/>
      <c r="C1404"/>
      <c r="D1404"/>
      <c r="E1404"/>
      <c r="F1404"/>
      <c r="G1404"/>
    </row>
    <row r="1405" spans="1:7" x14ac:dyDescent="0.35">
      <c r="A1405"/>
      <c r="B1405"/>
      <c r="C1405"/>
      <c r="D1405"/>
      <c r="E1405"/>
      <c r="F1405"/>
      <c r="G1405"/>
    </row>
    <row r="1406" spans="1:7" x14ac:dyDescent="0.35">
      <c r="A1406"/>
      <c r="B1406"/>
      <c r="C1406"/>
      <c r="D1406"/>
      <c r="E1406"/>
      <c r="F1406"/>
      <c r="G1406"/>
    </row>
    <row r="1407" spans="1:7" x14ac:dyDescent="0.35">
      <c r="A1407"/>
      <c r="B1407"/>
      <c r="C1407"/>
      <c r="D1407"/>
      <c r="E1407"/>
      <c r="F1407"/>
      <c r="G1407"/>
    </row>
    <row r="1408" spans="1:7" x14ac:dyDescent="0.35">
      <c r="A1408"/>
      <c r="B1408"/>
      <c r="C1408"/>
      <c r="D1408"/>
      <c r="E1408"/>
      <c r="F1408"/>
      <c r="G1408"/>
    </row>
    <row r="1409" spans="1:7" x14ac:dyDescent="0.35">
      <c r="A1409"/>
      <c r="B1409"/>
      <c r="C1409"/>
      <c r="D1409"/>
      <c r="E1409"/>
      <c r="F1409"/>
      <c r="G1409"/>
    </row>
    <row r="1410" spans="1:7" x14ac:dyDescent="0.35">
      <c r="A1410"/>
      <c r="B1410"/>
      <c r="C1410"/>
      <c r="D1410"/>
      <c r="E1410"/>
      <c r="F1410"/>
      <c r="G1410"/>
    </row>
    <row r="1411" spans="1:7" x14ac:dyDescent="0.35">
      <c r="A1411"/>
      <c r="B1411"/>
      <c r="C1411"/>
      <c r="D1411"/>
      <c r="E1411"/>
      <c r="F1411"/>
      <c r="G1411"/>
    </row>
    <row r="1412" spans="1:7" x14ac:dyDescent="0.35">
      <c r="A1412"/>
      <c r="B1412"/>
      <c r="C1412"/>
      <c r="D1412"/>
      <c r="E1412"/>
      <c r="F1412"/>
      <c r="G1412"/>
    </row>
    <row r="1413" spans="1:7" x14ac:dyDescent="0.35">
      <c r="A1413"/>
      <c r="B1413"/>
      <c r="C1413"/>
      <c r="D1413"/>
      <c r="E1413"/>
      <c r="F1413"/>
      <c r="G1413"/>
    </row>
    <row r="1414" spans="1:7" x14ac:dyDescent="0.35">
      <c r="A1414"/>
      <c r="B1414"/>
      <c r="C1414"/>
      <c r="D1414"/>
      <c r="E1414"/>
      <c r="F1414"/>
      <c r="G1414"/>
    </row>
    <row r="1415" spans="1:7" x14ac:dyDescent="0.35">
      <c r="A1415"/>
      <c r="B1415"/>
      <c r="C1415"/>
      <c r="D1415"/>
      <c r="E1415"/>
      <c r="F1415"/>
      <c r="G1415"/>
    </row>
    <row r="1416" spans="1:7" x14ac:dyDescent="0.35">
      <c r="A1416"/>
      <c r="B1416"/>
      <c r="C1416"/>
      <c r="D1416"/>
      <c r="E1416"/>
      <c r="F1416"/>
      <c r="G1416"/>
    </row>
    <row r="1417" spans="1:7" x14ac:dyDescent="0.35">
      <c r="A1417"/>
      <c r="B1417"/>
      <c r="C1417"/>
      <c r="D1417"/>
      <c r="E1417"/>
      <c r="F1417"/>
      <c r="G1417"/>
    </row>
    <row r="1418" spans="1:7" x14ac:dyDescent="0.35">
      <c r="A1418"/>
      <c r="B1418"/>
      <c r="C1418"/>
      <c r="D1418"/>
      <c r="E1418"/>
      <c r="F1418"/>
      <c r="G1418"/>
    </row>
    <row r="1419" spans="1:7" x14ac:dyDescent="0.35">
      <c r="A1419"/>
      <c r="B1419"/>
      <c r="C1419"/>
      <c r="D1419"/>
      <c r="E1419"/>
      <c r="F1419"/>
      <c r="G1419"/>
    </row>
    <row r="1420" spans="1:7" x14ac:dyDescent="0.35">
      <c r="A1420"/>
      <c r="B1420"/>
      <c r="C1420"/>
      <c r="D1420"/>
      <c r="E1420"/>
      <c r="F1420"/>
      <c r="G1420"/>
    </row>
    <row r="1421" spans="1:7" x14ac:dyDescent="0.35">
      <c r="A1421"/>
      <c r="B1421"/>
      <c r="C1421"/>
      <c r="D1421"/>
      <c r="E1421"/>
      <c r="F1421"/>
      <c r="G1421"/>
    </row>
    <row r="1422" spans="1:7" x14ac:dyDescent="0.35">
      <c r="A1422"/>
      <c r="B1422"/>
      <c r="C1422"/>
      <c r="D1422"/>
      <c r="E1422"/>
      <c r="F1422"/>
      <c r="G1422"/>
    </row>
    <row r="1423" spans="1:7" x14ac:dyDescent="0.35">
      <c r="A1423"/>
      <c r="B1423"/>
      <c r="C1423"/>
      <c r="D1423"/>
      <c r="E1423"/>
      <c r="F1423"/>
      <c r="G1423"/>
    </row>
    <row r="1424" spans="1:7" x14ac:dyDescent="0.35">
      <c r="A1424"/>
      <c r="B1424"/>
      <c r="C1424"/>
      <c r="D1424"/>
      <c r="E1424"/>
      <c r="F1424"/>
      <c r="G1424"/>
    </row>
    <row r="1425" spans="1:7" x14ac:dyDescent="0.35">
      <c r="A1425"/>
      <c r="B1425"/>
      <c r="C1425"/>
      <c r="D1425"/>
      <c r="E1425"/>
      <c r="F1425"/>
      <c r="G1425"/>
    </row>
    <row r="1426" spans="1:7" x14ac:dyDescent="0.35">
      <c r="A1426"/>
      <c r="B1426"/>
      <c r="C1426"/>
      <c r="D1426"/>
      <c r="E1426"/>
      <c r="F1426"/>
      <c r="G1426"/>
    </row>
    <row r="1427" spans="1:7" x14ac:dyDescent="0.35">
      <c r="A1427"/>
      <c r="B1427"/>
      <c r="C1427"/>
      <c r="D1427"/>
      <c r="E1427"/>
      <c r="F1427"/>
      <c r="G1427"/>
    </row>
    <row r="1428" spans="1:7" x14ac:dyDescent="0.35">
      <c r="A1428"/>
      <c r="B1428"/>
      <c r="C1428"/>
      <c r="D1428"/>
      <c r="E1428"/>
      <c r="F1428"/>
      <c r="G1428"/>
    </row>
    <row r="1429" spans="1:7" x14ac:dyDescent="0.35">
      <c r="A1429"/>
      <c r="B1429"/>
      <c r="C1429"/>
      <c r="D1429"/>
      <c r="E1429"/>
      <c r="F1429"/>
      <c r="G1429"/>
    </row>
    <row r="1430" spans="1:7" x14ac:dyDescent="0.35">
      <c r="A1430"/>
      <c r="B1430"/>
      <c r="C1430"/>
      <c r="D1430"/>
      <c r="E1430"/>
      <c r="F1430"/>
      <c r="G1430"/>
    </row>
    <row r="1431" spans="1:7" x14ac:dyDescent="0.35">
      <c r="A1431"/>
      <c r="B1431"/>
      <c r="C1431"/>
      <c r="D1431"/>
      <c r="E1431"/>
      <c r="F1431"/>
      <c r="G1431"/>
    </row>
    <row r="1432" spans="1:7" x14ac:dyDescent="0.35">
      <c r="A1432"/>
      <c r="B1432"/>
      <c r="C1432"/>
      <c r="D1432"/>
      <c r="E1432"/>
      <c r="F1432"/>
      <c r="G1432"/>
    </row>
    <row r="1433" spans="1:7" x14ac:dyDescent="0.35">
      <c r="A1433"/>
      <c r="B1433"/>
      <c r="C1433"/>
      <c r="D1433"/>
      <c r="E1433"/>
      <c r="F1433"/>
      <c r="G1433"/>
    </row>
    <row r="1434" spans="1:7" x14ac:dyDescent="0.35">
      <c r="A1434"/>
      <c r="B1434"/>
      <c r="C1434"/>
      <c r="D1434"/>
      <c r="E1434"/>
      <c r="F1434"/>
      <c r="G1434"/>
    </row>
    <row r="1435" spans="1:7" x14ac:dyDescent="0.35">
      <c r="A1435"/>
      <c r="B1435"/>
      <c r="C1435"/>
      <c r="D1435"/>
      <c r="E1435"/>
      <c r="F1435"/>
      <c r="G1435"/>
    </row>
    <row r="1436" spans="1:7" x14ac:dyDescent="0.35">
      <c r="A1436"/>
      <c r="B1436"/>
      <c r="C1436"/>
      <c r="D1436"/>
      <c r="E1436"/>
      <c r="F1436"/>
      <c r="G1436"/>
    </row>
    <row r="1437" spans="1:7" x14ac:dyDescent="0.35">
      <c r="A1437"/>
      <c r="B1437"/>
      <c r="C1437"/>
      <c r="D1437"/>
      <c r="E1437"/>
      <c r="F1437"/>
      <c r="G1437"/>
    </row>
    <row r="1438" spans="1:7" x14ac:dyDescent="0.35">
      <c r="A1438"/>
      <c r="B1438"/>
      <c r="C1438"/>
      <c r="D1438"/>
      <c r="E1438"/>
      <c r="F1438"/>
      <c r="G1438"/>
    </row>
    <row r="1439" spans="1:7" x14ac:dyDescent="0.35">
      <c r="A1439"/>
      <c r="B1439"/>
      <c r="C1439"/>
      <c r="D1439"/>
      <c r="E1439"/>
      <c r="F1439"/>
      <c r="G1439"/>
    </row>
    <row r="1440" spans="1:7" x14ac:dyDescent="0.35">
      <c r="A1440"/>
      <c r="B1440"/>
      <c r="C1440"/>
      <c r="D1440"/>
      <c r="E1440"/>
      <c r="F1440"/>
      <c r="G1440"/>
    </row>
    <row r="1441" spans="1:7" x14ac:dyDescent="0.35">
      <c r="A1441"/>
      <c r="B1441"/>
      <c r="C1441"/>
      <c r="D1441"/>
      <c r="E1441"/>
      <c r="F1441"/>
      <c r="G1441"/>
    </row>
    <row r="1442" spans="1:7" x14ac:dyDescent="0.35">
      <c r="A1442"/>
      <c r="B1442"/>
      <c r="C1442"/>
      <c r="D1442"/>
      <c r="E1442"/>
      <c r="F1442"/>
      <c r="G1442"/>
    </row>
    <row r="1443" spans="1:7" x14ac:dyDescent="0.35">
      <c r="A1443"/>
      <c r="B1443"/>
      <c r="C1443"/>
      <c r="D1443"/>
      <c r="E1443"/>
      <c r="F1443"/>
      <c r="G1443"/>
    </row>
    <row r="1444" spans="1:7" x14ac:dyDescent="0.35">
      <c r="A1444"/>
      <c r="B1444"/>
      <c r="C1444"/>
      <c r="D1444"/>
      <c r="E1444"/>
      <c r="F1444"/>
      <c r="G1444"/>
    </row>
    <row r="1445" spans="1:7" x14ac:dyDescent="0.35">
      <c r="A1445"/>
      <c r="B1445"/>
      <c r="C1445"/>
      <c r="D1445"/>
      <c r="E1445"/>
      <c r="F1445"/>
      <c r="G1445"/>
    </row>
    <row r="1446" spans="1:7" x14ac:dyDescent="0.35">
      <c r="A1446"/>
      <c r="B1446"/>
      <c r="C1446"/>
      <c r="D1446"/>
      <c r="E1446"/>
      <c r="F1446"/>
      <c r="G1446"/>
    </row>
    <row r="1447" spans="1:7" x14ac:dyDescent="0.35">
      <c r="A1447"/>
      <c r="B1447"/>
      <c r="C1447"/>
      <c r="D1447"/>
      <c r="E1447"/>
      <c r="F1447"/>
      <c r="G1447"/>
    </row>
    <row r="1448" spans="1:7" x14ac:dyDescent="0.35">
      <c r="A1448"/>
      <c r="B1448"/>
      <c r="C1448"/>
      <c r="D1448"/>
      <c r="E1448"/>
      <c r="F1448"/>
      <c r="G1448"/>
    </row>
    <row r="1449" spans="1:7" x14ac:dyDescent="0.35">
      <c r="A1449"/>
      <c r="B1449"/>
      <c r="C1449"/>
      <c r="D1449"/>
      <c r="E1449"/>
      <c r="F1449"/>
      <c r="G1449"/>
    </row>
    <row r="1450" spans="1:7" x14ac:dyDescent="0.35">
      <c r="A1450"/>
      <c r="B1450"/>
      <c r="C1450"/>
      <c r="D1450"/>
      <c r="E1450"/>
      <c r="F1450"/>
      <c r="G1450"/>
    </row>
    <row r="1451" spans="1:7" x14ac:dyDescent="0.35">
      <c r="A1451"/>
      <c r="B1451"/>
      <c r="C1451"/>
      <c r="D1451"/>
      <c r="E1451"/>
      <c r="F1451"/>
      <c r="G1451"/>
    </row>
    <row r="1452" spans="1:7" x14ac:dyDescent="0.35">
      <c r="A1452"/>
      <c r="B1452"/>
      <c r="C1452"/>
      <c r="D1452"/>
      <c r="E1452"/>
      <c r="F1452"/>
      <c r="G1452"/>
    </row>
    <row r="1453" spans="1:7" x14ac:dyDescent="0.35">
      <c r="A1453"/>
      <c r="B1453"/>
      <c r="C1453"/>
      <c r="D1453"/>
      <c r="E1453"/>
      <c r="F1453"/>
      <c r="G1453"/>
    </row>
    <row r="1454" spans="1:7" x14ac:dyDescent="0.35">
      <c r="A1454"/>
      <c r="B1454"/>
      <c r="C1454"/>
      <c r="D1454"/>
      <c r="E1454"/>
      <c r="F1454"/>
      <c r="G1454"/>
    </row>
    <row r="1455" spans="1:7" x14ac:dyDescent="0.35">
      <c r="A1455"/>
      <c r="B1455"/>
      <c r="C1455"/>
      <c r="D1455"/>
      <c r="E1455"/>
      <c r="F1455"/>
      <c r="G1455"/>
    </row>
    <row r="1456" spans="1:7" x14ac:dyDescent="0.35">
      <c r="A1456"/>
      <c r="B1456"/>
      <c r="C1456"/>
      <c r="D1456"/>
      <c r="E1456"/>
      <c r="F1456"/>
      <c r="G1456"/>
    </row>
    <row r="1457" spans="1:7" x14ac:dyDescent="0.35">
      <c r="A1457"/>
      <c r="B1457"/>
      <c r="C1457"/>
      <c r="D1457"/>
      <c r="E1457"/>
      <c r="F1457"/>
      <c r="G1457"/>
    </row>
    <row r="1458" spans="1:7" x14ac:dyDescent="0.35">
      <c r="A1458"/>
      <c r="B1458"/>
      <c r="C1458"/>
      <c r="D1458"/>
      <c r="E1458"/>
      <c r="F1458"/>
      <c r="G1458"/>
    </row>
    <row r="1459" spans="1:7" x14ac:dyDescent="0.35">
      <c r="A1459"/>
      <c r="B1459"/>
      <c r="C1459"/>
      <c r="D1459"/>
      <c r="E1459"/>
      <c r="F1459"/>
      <c r="G1459"/>
    </row>
    <row r="1460" spans="1:7" x14ac:dyDescent="0.35">
      <c r="A1460"/>
      <c r="B1460"/>
      <c r="C1460"/>
      <c r="D1460"/>
      <c r="E1460"/>
      <c r="F1460"/>
      <c r="G1460"/>
    </row>
    <row r="1461" spans="1:7" x14ac:dyDescent="0.35">
      <c r="A1461"/>
      <c r="B1461"/>
      <c r="C1461"/>
      <c r="D1461"/>
      <c r="E1461"/>
      <c r="F1461"/>
      <c r="G1461"/>
    </row>
    <row r="1462" spans="1:7" x14ac:dyDescent="0.35">
      <c r="A1462"/>
      <c r="B1462"/>
      <c r="C1462"/>
      <c r="D1462"/>
      <c r="E1462"/>
      <c r="F1462"/>
      <c r="G1462"/>
    </row>
    <row r="1463" spans="1:7" x14ac:dyDescent="0.35">
      <c r="A1463"/>
      <c r="B1463"/>
      <c r="C1463"/>
      <c r="D1463"/>
      <c r="E1463"/>
      <c r="F1463"/>
      <c r="G1463"/>
    </row>
    <row r="1464" spans="1:7" x14ac:dyDescent="0.35">
      <c r="A1464"/>
      <c r="B1464"/>
      <c r="C1464"/>
      <c r="D1464"/>
      <c r="E1464"/>
      <c r="F1464"/>
      <c r="G1464"/>
    </row>
    <row r="1465" spans="1:7" x14ac:dyDescent="0.35">
      <c r="A1465"/>
      <c r="B1465"/>
      <c r="C1465"/>
      <c r="D1465"/>
      <c r="E1465"/>
      <c r="F1465"/>
      <c r="G1465"/>
    </row>
    <row r="1466" spans="1:7" x14ac:dyDescent="0.35">
      <c r="A1466"/>
      <c r="B1466"/>
      <c r="C1466"/>
      <c r="D1466"/>
      <c r="E1466"/>
      <c r="F1466"/>
      <c r="G1466"/>
    </row>
    <row r="1467" spans="1:7" x14ac:dyDescent="0.35">
      <c r="A1467"/>
      <c r="B1467"/>
      <c r="C1467"/>
      <c r="D1467"/>
      <c r="E1467"/>
      <c r="F1467"/>
      <c r="G1467"/>
    </row>
    <row r="1468" spans="1:7" x14ac:dyDescent="0.35">
      <c r="A1468"/>
      <c r="B1468"/>
      <c r="C1468"/>
      <c r="D1468"/>
      <c r="E1468"/>
      <c r="F1468"/>
      <c r="G1468"/>
    </row>
    <row r="1469" spans="1:7" x14ac:dyDescent="0.35">
      <c r="A1469"/>
      <c r="B1469"/>
      <c r="C1469"/>
      <c r="D1469"/>
      <c r="E1469"/>
      <c r="F1469"/>
      <c r="G1469"/>
    </row>
    <row r="1470" spans="1:7" x14ac:dyDescent="0.35">
      <c r="A1470"/>
      <c r="B1470"/>
      <c r="C1470"/>
      <c r="D1470"/>
      <c r="E1470"/>
      <c r="F1470"/>
      <c r="G1470"/>
    </row>
    <row r="1471" spans="1:7" x14ac:dyDescent="0.35">
      <c r="A1471"/>
      <c r="B1471"/>
      <c r="C1471"/>
      <c r="D1471"/>
      <c r="E1471"/>
      <c r="F1471"/>
      <c r="G1471"/>
    </row>
    <row r="1472" spans="1:7" x14ac:dyDescent="0.35">
      <c r="A1472"/>
      <c r="B1472"/>
      <c r="C1472"/>
      <c r="D1472"/>
      <c r="E1472"/>
      <c r="F1472"/>
      <c r="G1472"/>
    </row>
    <row r="1473" spans="1:7" x14ac:dyDescent="0.35">
      <c r="A1473"/>
      <c r="B1473"/>
      <c r="C1473"/>
      <c r="D1473"/>
      <c r="E1473"/>
      <c r="F1473"/>
      <c r="G1473"/>
    </row>
    <row r="1474" spans="1:7" x14ac:dyDescent="0.35">
      <c r="A1474"/>
      <c r="B1474"/>
      <c r="C1474"/>
      <c r="D1474"/>
      <c r="E1474"/>
      <c r="F1474"/>
      <c r="G1474"/>
    </row>
    <row r="1475" spans="1:7" x14ac:dyDescent="0.35">
      <c r="A1475"/>
      <c r="B1475"/>
      <c r="C1475"/>
      <c r="D1475"/>
      <c r="E1475"/>
      <c r="F1475"/>
      <c r="G1475"/>
    </row>
    <row r="1476" spans="1:7" x14ac:dyDescent="0.35">
      <c r="A1476"/>
      <c r="B1476"/>
      <c r="C1476"/>
      <c r="D1476"/>
      <c r="E1476"/>
      <c r="F1476"/>
      <c r="G1476"/>
    </row>
    <row r="1477" spans="1:7" x14ac:dyDescent="0.35">
      <c r="A1477"/>
      <c r="B1477"/>
      <c r="C1477"/>
      <c r="D1477"/>
      <c r="E1477"/>
      <c r="F1477"/>
      <c r="G1477"/>
    </row>
    <row r="1478" spans="1:7" x14ac:dyDescent="0.35">
      <c r="A1478"/>
      <c r="B1478"/>
      <c r="C1478"/>
      <c r="D1478"/>
      <c r="E1478"/>
      <c r="F1478"/>
      <c r="G1478"/>
    </row>
    <row r="1479" spans="1:7" x14ac:dyDescent="0.35">
      <c r="A1479"/>
      <c r="B1479"/>
      <c r="C1479"/>
      <c r="D1479"/>
      <c r="E1479"/>
      <c r="F1479"/>
      <c r="G1479"/>
    </row>
    <row r="1480" spans="1:7" x14ac:dyDescent="0.35">
      <c r="A1480"/>
      <c r="B1480"/>
      <c r="C1480"/>
      <c r="D1480"/>
      <c r="E1480"/>
      <c r="F1480"/>
      <c r="G1480"/>
    </row>
    <row r="1481" spans="1:7" x14ac:dyDescent="0.35">
      <c r="A1481"/>
      <c r="B1481"/>
      <c r="C1481"/>
      <c r="D1481"/>
      <c r="E1481"/>
      <c r="F1481"/>
      <c r="G1481"/>
    </row>
    <row r="1482" spans="1:7" x14ac:dyDescent="0.35">
      <c r="A1482"/>
      <c r="B1482"/>
      <c r="C1482"/>
      <c r="D1482"/>
      <c r="E1482"/>
      <c r="F1482"/>
      <c r="G1482"/>
    </row>
    <row r="1483" spans="1:7" x14ac:dyDescent="0.35">
      <c r="A1483"/>
      <c r="B1483"/>
      <c r="C1483"/>
      <c r="D1483"/>
      <c r="E1483"/>
      <c r="F1483"/>
      <c r="G1483"/>
    </row>
    <row r="1484" spans="1:7" x14ac:dyDescent="0.35">
      <c r="A1484"/>
      <c r="B1484"/>
      <c r="C1484"/>
      <c r="D1484"/>
      <c r="E1484"/>
      <c r="F1484"/>
      <c r="G1484"/>
    </row>
    <row r="1485" spans="1:7" x14ac:dyDescent="0.35">
      <c r="A1485"/>
      <c r="B1485"/>
      <c r="C1485"/>
      <c r="D1485"/>
      <c r="E1485"/>
      <c r="F1485"/>
      <c r="G1485"/>
    </row>
    <row r="1486" spans="1:7" x14ac:dyDescent="0.35">
      <c r="A1486"/>
      <c r="B1486"/>
      <c r="C1486"/>
      <c r="D1486"/>
      <c r="E1486"/>
      <c r="F1486"/>
      <c r="G1486"/>
    </row>
    <row r="1487" spans="1:7" x14ac:dyDescent="0.35">
      <c r="A1487"/>
      <c r="B1487"/>
      <c r="C1487"/>
      <c r="D1487"/>
      <c r="E1487"/>
      <c r="F1487"/>
      <c r="G1487"/>
    </row>
    <row r="1488" spans="1:7" x14ac:dyDescent="0.35">
      <c r="A1488"/>
      <c r="B1488"/>
      <c r="C1488"/>
      <c r="D1488"/>
      <c r="E1488"/>
      <c r="F1488"/>
      <c r="G1488"/>
    </row>
    <row r="1489" spans="1:7" x14ac:dyDescent="0.35">
      <c r="A1489"/>
      <c r="B1489"/>
      <c r="C1489"/>
      <c r="D1489"/>
      <c r="E1489"/>
      <c r="F1489"/>
      <c r="G1489"/>
    </row>
    <row r="1490" spans="1:7" x14ac:dyDescent="0.35">
      <c r="A1490"/>
      <c r="B1490"/>
      <c r="C1490"/>
      <c r="D1490"/>
      <c r="E1490"/>
      <c r="F1490"/>
      <c r="G1490"/>
    </row>
    <row r="1491" spans="1:7" x14ac:dyDescent="0.35">
      <c r="A1491"/>
      <c r="B1491"/>
      <c r="C1491"/>
      <c r="D1491"/>
      <c r="E1491"/>
      <c r="F1491"/>
      <c r="G1491"/>
    </row>
    <row r="1492" spans="1:7" x14ac:dyDescent="0.35">
      <c r="A1492"/>
      <c r="B1492"/>
      <c r="C1492"/>
      <c r="D1492"/>
      <c r="E1492"/>
      <c r="F1492"/>
      <c r="G1492"/>
    </row>
    <row r="1493" spans="1:7" x14ac:dyDescent="0.35">
      <c r="A1493"/>
      <c r="B1493"/>
      <c r="C1493"/>
      <c r="D1493"/>
      <c r="E1493"/>
      <c r="F1493"/>
      <c r="G1493"/>
    </row>
    <row r="1494" spans="1:7" x14ac:dyDescent="0.35">
      <c r="A1494"/>
      <c r="B1494"/>
      <c r="C1494"/>
      <c r="D1494"/>
      <c r="E1494"/>
      <c r="F1494"/>
      <c r="G1494"/>
    </row>
    <row r="1495" spans="1:7" x14ac:dyDescent="0.35">
      <c r="A1495"/>
      <c r="B1495"/>
      <c r="C1495"/>
      <c r="D1495"/>
      <c r="E1495"/>
      <c r="F1495"/>
      <c r="G1495"/>
    </row>
    <row r="1496" spans="1:7" x14ac:dyDescent="0.35">
      <c r="A1496"/>
      <c r="B1496"/>
      <c r="C1496"/>
      <c r="D1496"/>
      <c r="E1496"/>
      <c r="F1496"/>
      <c r="G1496"/>
    </row>
    <row r="1497" spans="1:7" x14ac:dyDescent="0.35">
      <c r="A1497"/>
      <c r="B1497"/>
      <c r="C1497"/>
      <c r="D1497"/>
      <c r="E1497"/>
      <c r="F1497"/>
      <c r="G1497"/>
    </row>
    <row r="1498" spans="1:7" x14ac:dyDescent="0.35">
      <c r="A1498"/>
      <c r="B1498"/>
      <c r="C1498"/>
      <c r="D1498"/>
      <c r="E1498"/>
      <c r="F1498"/>
      <c r="G1498"/>
    </row>
    <row r="1499" spans="1:7" x14ac:dyDescent="0.35">
      <c r="A1499"/>
      <c r="B1499"/>
      <c r="C1499"/>
      <c r="D1499"/>
      <c r="E1499"/>
      <c r="F1499"/>
      <c r="G1499"/>
    </row>
    <row r="1500" spans="1:7" x14ac:dyDescent="0.35">
      <c r="A1500"/>
      <c r="B1500"/>
      <c r="C1500"/>
      <c r="D1500"/>
      <c r="E1500"/>
      <c r="F1500"/>
      <c r="G1500"/>
    </row>
    <row r="1501" spans="1:7" x14ac:dyDescent="0.35">
      <c r="A1501"/>
      <c r="B1501"/>
      <c r="C1501"/>
      <c r="D1501"/>
      <c r="E1501"/>
      <c r="F1501"/>
      <c r="G1501"/>
    </row>
    <row r="1502" spans="1:7" x14ac:dyDescent="0.35">
      <c r="A1502"/>
      <c r="B1502"/>
      <c r="C1502"/>
      <c r="D1502"/>
      <c r="E1502"/>
      <c r="F1502"/>
      <c r="G1502"/>
    </row>
    <row r="1503" spans="1:7" x14ac:dyDescent="0.35">
      <c r="A1503"/>
      <c r="B1503"/>
      <c r="C1503"/>
      <c r="D1503"/>
      <c r="E1503"/>
      <c r="F1503"/>
      <c r="G1503"/>
    </row>
    <row r="1504" spans="1:7" x14ac:dyDescent="0.35">
      <c r="A1504"/>
      <c r="B1504"/>
      <c r="C1504"/>
      <c r="D1504"/>
      <c r="E1504"/>
      <c r="F1504"/>
      <c r="G1504"/>
    </row>
    <row r="1505" spans="1:7" x14ac:dyDescent="0.35">
      <c r="A1505"/>
      <c r="B1505"/>
      <c r="C1505"/>
      <c r="D1505"/>
      <c r="E1505"/>
      <c r="F1505"/>
      <c r="G1505"/>
    </row>
    <row r="1506" spans="1:7" x14ac:dyDescent="0.35">
      <c r="A1506"/>
      <c r="B1506"/>
      <c r="C1506"/>
      <c r="D1506"/>
      <c r="E1506"/>
      <c r="F1506"/>
      <c r="G1506"/>
    </row>
    <row r="1507" spans="1:7" x14ac:dyDescent="0.35">
      <c r="A1507"/>
      <c r="B1507"/>
      <c r="C1507"/>
      <c r="D1507"/>
      <c r="E1507"/>
      <c r="F1507"/>
      <c r="G1507"/>
    </row>
    <row r="1508" spans="1:7" x14ac:dyDescent="0.35">
      <c r="A1508"/>
      <c r="B1508"/>
      <c r="C1508"/>
      <c r="D1508"/>
      <c r="E1508"/>
      <c r="F1508"/>
      <c r="G1508"/>
    </row>
    <row r="1509" spans="1:7" x14ac:dyDescent="0.35">
      <c r="A1509"/>
      <c r="B1509"/>
      <c r="C1509"/>
      <c r="D1509"/>
      <c r="E1509"/>
      <c r="F1509"/>
      <c r="G1509"/>
    </row>
    <row r="1510" spans="1:7" x14ac:dyDescent="0.35">
      <c r="A1510"/>
      <c r="B1510"/>
      <c r="C1510"/>
      <c r="D1510"/>
      <c r="E1510"/>
      <c r="F1510"/>
      <c r="G1510"/>
    </row>
    <row r="1511" spans="1:7" x14ac:dyDescent="0.35">
      <c r="A1511"/>
      <c r="B1511"/>
      <c r="C1511"/>
      <c r="D1511"/>
      <c r="E1511"/>
      <c r="F1511"/>
      <c r="G1511"/>
    </row>
    <row r="1512" spans="1:7" x14ac:dyDescent="0.35">
      <c r="A1512"/>
      <c r="B1512"/>
      <c r="C1512"/>
      <c r="D1512"/>
      <c r="E1512"/>
      <c r="F1512"/>
      <c r="G1512"/>
    </row>
    <row r="1513" spans="1:7" x14ac:dyDescent="0.35">
      <c r="A1513"/>
      <c r="B1513"/>
      <c r="C1513"/>
      <c r="D1513"/>
      <c r="E1513"/>
      <c r="F1513"/>
      <c r="G1513"/>
    </row>
    <row r="1514" spans="1:7" x14ac:dyDescent="0.35">
      <c r="A1514"/>
      <c r="B1514"/>
      <c r="C1514"/>
      <c r="D1514"/>
      <c r="E1514"/>
      <c r="F1514"/>
      <c r="G1514"/>
    </row>
    <row r="1515" spans="1:7" x14ac:dyDescent="0.35">
      <c r="A1515"/>
      <c r="B1515"/>
      <c r="C1515"/>
      <c r="D1515"/>
      <c r="E1515"/>
      <c r="F1515"/>
      <c r="G1515"/>
    </row>
    <row r="1516" spans="1:7" x14ac:dyDescent="0.35">
      <c r="A1516"/>
      <c r="B1516"/>
      <c r="C1516"/>
      <c r="D1516"/>
      <c r="E1516"/>
      <c r="F1516"/>
      <c r="G1516"/>
    </row>
    <row r="1517" spans="1:7" x14ac:dyDescent="0.35">
      <c r="A1517"/>
      <c r="B1517"/>
      <c r="C1517"/>
      <c r="D1517"/>
      <c r="E1517"/>
      <c r="F1517"/>
      <c r="G1517"/>
    </row>
    <row r="1518" spans="1:7" x14ac:dyDescent="0.35">
      <c r="A1518"/>
      <c r="B1518"/>
      <c r="C1518"/>
      <c r="D1518"/>
      <c r="E1518"/>
      <c r="F1518"/>
      <c r="G1518"/>
    </row>
    <row r="1519" spans="1:7" x14ac:dyDescent="0.35">
      <c r="A1519"/>
      <c r="B1519"/>
      <c r="C1519"/>
      <c r="D1519"/>
      <c r="E1519"/>
      <c r="F1519"/>
      <c r="G1519"/>
    </row>
    <row r="1520" spans="1:7" x14ac:dyDescent="0.35">
      <c r="A1520"/>
      <c r="B1520"/>
      <c r="C1520"/>
      <c r="D1520"/>
      <c r="E1520"/>
      <c r="F1520"/>
      <c r="G1520"/>
    </row>
    <row r="1521" spans="1:7" x14ac:dyDescent="0.35">
      <c r="A1521"/>
      <c r="B1521"/>
      <c r="C1521"/>
      <c r="D1521"/>
      <c r="E1521"/>
      <c r="F1521"/>
      <c r="G1521"/>
    </row>
    <row r="1522" spans="1:7" x14ac:dyDescent="0.35">
      <c r="A1522"/>
      <c r="B1522"/>
      <c r="C1522"/>
      <c r="D1522"/>
      <c r="E1522"/>
      <c r="F1522"/>
      <c r="G1522"/>
    </row>
    <row r="1523" spans="1:7" x14ac:dyDescent="0.35">
      <c r="A1523"/>
      <c r="B1523"/>
      <c r="C1523"/>
      <c r="D1523"/>
      <c r="E1523"/>
      <c r="F1523"/>
      <c r="G1523"/>
    </row>
    <row r="1524" spans="1:7" x14ac:dyDescent="0.35">
      <c r="A1524"/>
      <c r="B1524"/>
      <c r="C1524"/>
      <c r="D1524"/>
      <c r="E1524"/>
      <c r="F1524"/>
      <c r="G1524"/>
    </row>
    <row r="1525" spans="1:7" x14ac:dyDescent="0.35">
      <c r="A1525"/>
      <c r="B1525"/>
      <c r="C1525"/>
      <c r="D1525"/>
      <c r="E1525"/>
      <c r="F1525"/>
      <c r="G1525"/>
    </row>
    <row r="1526" spans="1:7" x14ac:dyDescent="0.35">
      <c r="A1526"/>
      <c r="B1526"/>
      <c r="C1526"/>
      <c r="D1526"/>
      <c r="E1526"/>
      <c r="F1526"/>
      <c r="G1526"/>
    </row>
    <row r="1527" spans="1:7" x14ac:dyDescent="0.35">
      <c r="A1527"/>
      <c r="B1527"/>
      <c r="C1527"/>
      <c r="D1527"/>
      <c r="E1527"/>
      <c r="F1527"/>
      <c r="G1527"/>
    </row>
    <row r="1528" spans="1:7" x14ac:dyDescent="0.35">
      <c r="A1528"/>
      <c r="B1528"/>
      <c r="C1528"/>
      <c r="D1528"/>
      <c r="E1528"/>
      <c r="F1528"/>
      <c r="G1528"/>
    </row>
    <row r="1529" spans="1:7" x14ac:dyDescent="0.35">
      <c r="A1529"/>
      <c r="B1529"/>
      <c r="C1529"/>
      <c r="D1529"/>
      <c r="E1529"/>
      <c r="F1529"/>
      <c r="G1529"/>
    </row>
    <row r="1530" spans="1:7" x14ac:dyDescent="0.35">
      <c r="A1530"/>
      <c r="B1530"/>
      <c r="C1530"/>
      <c r="D1530"/>
      <c r="E1530"/>
      <c r="F1530"/>
      <c r="G1530"/>
    </row>
    <row r="1531" spans="1:7" x14ac:dyDescent="0.35">
      <c r="A1531"/>
      <c r="B1531"/>
      <c r="C1531"/>
      <c r="D1531"/>
      <c r="E1531"/>
      <c r="F1531"/>
      <c r="G1531"/>
    </row>
    <row r="1532" spans="1:7" x14ac:dyDescent="0.35">
      <c r="A1532"/>
      <c r="B1532"/>
      <c r="C1532"/>
      <c r="D1532"/>
      <c r="E1532"/>
      <c r="F1532"/>
      <c r="G1532"/>
    </row>
    <row r="1533" spans="1:7" x14ac:dyDescent="0.35">
      <c r="A1533"/>
      <c r="B1533"/>
      <c r="C1533"/>
      <c r="D1533"/>
      <c r="E1533"/>
      <c r="F1533"/>
      <c r="G1533"/>
    </row>
    <row r="1534" spans="1:7" x14ac:dyDescent="0.35">
      <c r="A1534"/>
      <c r="B1534"/>
      <c r="C1534"/>
      <c r="D1534"/>
      <c r="E1534"/>
      <c r="F1534"/>
      <c r="G1534"/>
    </row>
    <row r="1535" spans="1:7" x14ac:dyDescent="0.35">
      <c r="A1535"/>
      <c r="B1535"/>
      <c r="C1535"/>
      <c r="D1535"/>
      <c r="E1535"/>
      <c r="F1535"/>
      <c r="G1535"/>
    </row>
    <row r="1536" spans="1:7" x14ac:dyDescent="0.35">
      <c r="A1536"/>
      <c r="B1536"/>
      <c r="C1536"/>
      <c r="D1536"/>
      <c r="E1536"/>
      <c r="F1536"/>
      <c r="G1536"/>
    </row>
    <row r="1537" spans="1:7" x14ac:dyDescent="0.35">
      <c r="A1537"/>
      <c r="B1537"/>
      <c r="C1537"/>
      <c r="D1537"/>
      <c r="E1537"/>
      <c r="F1537"/>
      <c r="G1537"/>
    </row>
    <row r="1538" spans="1:7" x14ac:dyDescent="0.35">
      <c r="A1538"/>
      <c r="B1538"/>
      <c r="C1538"/>
      <c r="D1538"/>
      <c r="E1538"/>
      <c r="F1538"/>
      <c r="G1538"/>
    </row>
    <row r="1539" spans="1:7" x14ac:dyDescent="0.35">
      <c r="A1539"/>
      <c r="B1539"/>
      <c r="C1539"/>
      <c r="D1539"/>
      <c r="E1539"/>
      <c r="F1539"/>
      <c r="G1539"/>
    </row>
    <row r="1540" spans="1:7" x14ac:dyDescent="0.35">
      <c r="A1540"/>
      <c r="B1540"/>
      <c r="C1540"/>
      <c r="D1540"/>
      <c r="E1540"/>
      <c r="F1540"/>
      <c r="G1540"/>
    </row>
    <row r="1541" spans="1:7" x14ac:dyDescent="0.35">
      <c r="A1541"/>
      <c r="B1541"/>
      <c r="C1541"/>
      <c r="D1541"/>
      <c r="E1541"/>
      <c r="F1541"/>
      <c r="G1541"/>
    </row>
    <row r="1542" spans="1:7" x14ac:dyDescent="0.35">
      <c r="A1542"/>
      <c r="B1542"/>
      <c r="C1542"/>
      <c r="D1542"/>
      <c r="E1542"/>
      <c r="F1542"/>
      <c r="G1542"/>
    </row>
    <row r="1543" spans="1:7" x14ac:dyDescent="0.35">
      <c r="A1543"/>
      <c r="B1543"/>
      <c r="C1543"/>
      <c r="D1543"/>
      <c r="E1543"/>
      <c r="F1543"/>
      <c r="G1543"/>
    </row>
    <row r="1544" spans="1:7" x14ac:dyDescent="0.35">
      <c r="A1544"/>
      <c r="B1544"/>
      <c r="C1544"/>
      <c r="D1544"/>
      <c r="E1544"/>
      <c r="F1544"/>
      <c r="G1544"/>
    </row>
    <row r="1545" spans="1:7" x14ac:dyDescent="0.35">
      <c r="A1545"/>
      <c r="B1545"/>
      <c r="C1545"/>
      <c r="D1545"/>
      <c r="E1545"/>
      <c r="F1545"/>
      <c r="G1545"/>
    </row>
    <row r="1546" spans="1:7" x14ac:dyDescent="0.35">
      <c r="A1546"/>
      <c r="B1546"/>
      <c r="C1546"/>
      <c r="D1546"/>
      <c r="E1546"/>
      <c r="F1546"/>
      <c r="G1546"/>
    </row>
    <row r="1547" spans="1:7" x14ac:dyDescent="0.35">
      <c r="A1547"/>
      <c r="B1547"/>
      <c r="C1547"/>
      <c r="D1547"/>
      <c r="E1547"/>
      <c r="F1547"/>
      <c r="G1547"/>
    </row>
    <row r="1548" spans="1:7" x14ac:dyDescent="0.35">
      <c r="A1548"/>
      <c r="B1548"/>
      <c r="C1548"/>
      <c r="D1548"/>
      <c r="E1548"/>
      <c r="F1548"/>
      <c r="G1548"/>
    </row>
    <row r="1549" spans="1:7" x14ac:dyDescent="0.35">
      <c r="A1549"/>
      <c r="B1549"/>
      <c r="C1549"/>
      <c r="D1549"/>
      <c r="E1549"/>
      <c r="F1549"/>
      <c r="G1549"/>
    </row>
    <row r="1550" spans="1:7" x14ac:dyDescent="0.35">
      <c r="A1550"/>
      <c r="B1550"/>
      <c r="C1550"/>
      <c r="D1550"/>
      <c r="E1550"/>
      <c r="F1550"/>
      <c r="G1550"/>
    </row>
    <row r="1551" spans="1:7" x14ac:dyDescent="0.35">
      <c r="A1551"/>
      <c r="B1551"/>
      <c r="C1551"/>
      <c r="D1551"/>
      <c r="E1551"/>
      <c r="F1551"/>
      <c r="G1551"/>
    </row>
    <row r="1552" spans="1:7" x14ac:dyDescent="0.35">
      <c r="A1552"/>
      <c r="B1552"/>
      <c r="C1552"/>
      <c r="D1552"/>
      <c r="E1552"/>
      <c r="F1552"/>
      <c r="G1552"/>
    </row>
    <row r="1553" spans="1:7" x14ac:dyDescent="0.35">
      <c r="A1553"/>
      <c r="B1553"/>
      <c r="C1553"/>
      <c r="D1553"/>
      <c r="E1553"/>
      <c r="F1553"/>
      <c r="G1553"/>
    </row>
    <row r="1554" spans="1:7" x14ac:dyDescent="0.35">
      <c r="A1554"/>
      <c r="B1554"/>
      <c r="C1554"/>
      <c r="D1554"/>
      <c r="E1554"/>
      <c r="F1554"/>
      <c r="G1554"/>
    </row>
    <row r="1555" spans="1:7" x14ac:dyDescent="0.35">
      <c r="A1555"/>
      <c r="B1555"/>
      <c r="C1555"/>
      <c r="D1555"/>
      <c r="E1555"/>
      <c r="F1555"/>
      <c r="G1555"/>
    </row>
    <row r="1556" spans="1:7" x14ac:dyDescent="0.35">
      <c r="A1556"/>
      <c r="B1556"/>
      <c r="C1556"/>
      <c r="D1556"/>
      <c r="E1556"/>
      <c r="F1556"/>
      <c r="G1556"/>
    </row>
    <row r="1557" spans="1:7" x14ac:dyDescent="0.35">
      <c r="A1557"/>
      <c r="B1557"/>
      <c r="C1557"/>
      <c r="D1557"/>
      <c r="E1557"/>
      <c r="F1557"/>
      <c r="G1557"/>
    </row>
    <row r="1558" spans="1:7" x14ac:dyDescent="0.35">
      <c r="A1558"/>
      <c r="B1558"/>
      <c r="C1558"/>
      <c r="D1558"/>
      <c r="E1558"/>
      <c r="F1558"/>
      <c r="G1558"/>
    </row>
    <row r="1559" spans="1:7" x14ac:dyDescent="0.35">
      <c r="A1559"/>
      <c r="B1559"/>
      <c r="C1559"/>
      <c r="D1559"/>
      <c r="E1559"/>
      <c r="F1559"/>
      <c r="G1559"/>
    </row>
    <row r="1560" spans="1:7" x14ac:dyDescent="0.35">
      <c r="A1560"/>
      <c r="B1560"/>
      <c r="C1560"/>
      <c r="D1560"/>
      <c r="E1560"/>
      <c r="F1560"/>
      <c r="G1560"/>
    </row>
    <row r="1561" spans="1:7" x14ac:dyDescent="0.35">
      <c r="A1561"/>
      <c r="B1561"/>
      <c r="C1561"/>
      <c r="D1561"/>
      <c r="E1561"/>
      <c r="F1561"/>
      <c r="G1561"/>
    </row>
    <row r="1562" spans="1:7" x14ac:dyDescent="0.35">
      <c r="A1562"/>
      <c r="B1562"/>
      <c r="C1562"/>
      <c r="D1562"/>
      <c r="E1562"/>
      <c r="F1562"/>
      <c r="G1562"/>
    </row>
    <row r="1563" spans="1:7" x14ac:dyDescent="0.35">
      <c r="A1563"/>
      <c r="B1563"/>
      <c r="C1563"/>
      <c r="D1563"/>
      <c r="E1563"/>
      <c r="F1563"/>
      <c r="G1563"/>
    </row>
    <row r="1564" spans="1:7" x14ac:dyDescent="0.35">
      <c r="A1564"/>
      <c r="B1564"/>
      <c r="C1564"/>
      <c r="D1564"/>
      <c r="E1564"/>
      <c r="F1564"/>
      <c r="G1564"/>
    </row>
    <row r="1565" spans="1:7" x14ac:dyDescent="0.35">
      <c r="A1565"/>
      <c r="B1565"/>
      <c r="C1565"/>
      <c r="D1565"/>
      <c r="E1565"/>
      <c r="F1565"/>
      <c r="G1565"/>
    </row>
    <row r="1566" spans="1:7" x14ac:dyDescent="0.35">
      <c r="A1566"/>
      <c r="B1566"/>
      <c r="C1566"/>
      <c r="D1566"/>
      <c r="E1566"/>
      <c r="F1566"/>
      <c r="G1566"/>
    </row>
    <row r="1567" spans="1:7" x14ac:dyDescent="0.35">
      <c r="A1567"/>
      <c r="B1567"/>
      <c r="C1567"/>
      <c r="D1567"/>
      <c r="E1567"/>
      <c r="F1567"/>
      <c r="G1567"/>
    </row>
    <row r="1568" spans="1:7" x14ac:dyDescent="0.35">
      <c r="A1568"/>
      <c r="B1568"/>
      <c r="C1568"/>
      <c r="D1568"/>
      <c r="E1568"/>
      <c r="F1568"/>
      <c r="G1568"/>
    </row>
    <row r="1569" spans="1:7" x14ac:dyDescent="0.35">
      <c r="A1569"/>
      <c r="B1569"/>
      <c r="C1569"/>
      <c r="D1569"/>
      <c r="E1569"/>
      <c r="F1569"/>
      <c r="G1569"/>
    </row>
    <row r="1570" spans="1:7" x14ac:dyDescent="0.35">
      <c r="A1570"/>
      <c r="B1570"/>
      <c r="C1570"/>
      <c r="D1570"/>
      <c r="E1570"/>
      <c r="F1570"/>
      <c r="G1570"/>
    </row>
    <row r="1571" spans="1:7" x14ac:dyDescent="0.35">
      <c r="A1571"/>
      <c r="B1571"/>
      <c r="C1571"/>
      <c r="D1571"/>
      <c r="E1571"/>
      <c r="F1571"/>
      <c r="G1571"/>
    </row>
    <row r="1572" spans="1:7" x14ac:dyDescent="0.35">
      <c r="A1572"/>
      <c r="B1572"/>
      <c r="C1572"/>
      <c r="D1572"/>
      <c r="E1572"/>
      <c r="F1572"/>
      <c r="G1572"/>
    </row>
    <row r="1573" spans="1:7" x14ac:dyDescent="0.35">
      <c r="A1573"/>
      <c r="B1573"/>
      <c r="C1573"/>
      <c r="D1573"/>
      <c r="E1573"/>
      <c r="F1573"/>
      <c r="G1573"/>
    </row>
    <row r="1574" spans="1:7" x14ac:dyDescent="0.35">
      <c r="A1574"/>
      <c r="B1574"/>
      <c r="C1574"/>
      <c r="D1574"/>
      <c r="E1574"/>
      <c r="F1574"/>
      <c r="G1574"/>
    </row>
    <row r="1575" spans="1:7" x14ac:dyDescent="0.35">
      <c r="A1575"/>
      <c r="B1575"/>
      <c r="C1575"/>
      <c r="D1575"/>
      <c r="E1575"/>
      <c r="F1575"/>
      <c r="G1575"/>
    </row>
    <row r="1576" spans="1:7" x14ac:dyDescent="0.35">
      <c r="A1576"/>
      <c r="B1576"/>
      <c r="C1576"/>
      <c r="D1576"/>
      <c r="E1576"/>
      <c r="F1576"/>
      <c r="G1576"/>
    </row>
    <row r="1577" spans="1:7" x14ac:dyDescent="0.35">
      <c r="A1577"/>
      <c r="B1577"/>
      <c r="C1577"/>
      <c r="D1577"/>
      <c r="E1577"/>
      <c r="F1577"/>
      <c r="G1577"/>
    </row>
    <row r="1578" spans="1:7" x14ac:dyDescent="0.35">
      <c r="A1578"/>
      <c r="B1578"/>
      <c r="C1578"/>
      <c r="D1578"/>
      <c r="E1578"/>
      <c r="F1578"/>
      <c r="G1578"/>
    </row>
    <row r="1579" spans="1:7" x14ac:dyDescent="0.35">
      <c r="A1579"/>
      <c r="B1579"/>
      <c r="C1579"/>
      <c r="D1579"/>
      <c r="E1579"/>
      <c r="F1579"/>
      <c r="G1579"/>
    </row>
    <row r="1580" spans="1:7" x14ac:dyDescent="0.35">
      <c r="A1580"/>
      <c r="B1580"/>
      <c r="C1580"/>
      <c r="D1580"/>
      <c r="E1580"/>
      <c r="F1580"/>
      <c r="G1580"/>
    </row>
    <row r="1581" spans="1:7" x14ac:dyDescent="0.35">
      <c r="A1581"/>
      <c r="B1581"/>
      <c r="C1581"/>
      <c r="D1581"/>
      <c r="E1581"/>
      <c r="F1581"/>
      <c r="G1581"/>
    </row>
    <row r="1582" spans="1:7" x14ac:dyDescent="0.35">
      <c r="A1582"/>
      <c r="B1582"/>
      <c r="C1582"/>
      <c r="D1582"/>
      <c r="E1582"/>
      <c r="F1582"/>
      <c r="G1582"/>
    </row>
    <row r="1583" spans="1:7" x14ac:dyDescent="0.35">
      <c r="A1583"/>
      <c r="B1583"/>
      <c r="C1583"/>
      <c r="D1583"/>
      <c r="E1583"/>
      <c r="F1583"/>
      <c r="G1583"/>
    </row>
    <row r="1584" spans="1:7" x14ac:dyDescent="0.35">
      <c r="A1584"/>
      <c r="B1584"/>
      <c r="C1584"/>
      <c r="D1584"/>
      <c r="E1584"/>
      <c r="F1584"/>
      <c r="G1584"/>
    </row>
    <row r="1585" spans="1:7" x14ac:dyDescent="0.35">
      <c r="A1585"/>
      <c r="B1585"/>
      <c r="C1585"/>
      <c r="D1585"/>
      <c r="E1585"/>
      <c r="F1585"/>
      <c r="G1585"/>
    </row>
    <row r="1586" spans="1:7" x14ac:dyDescent="0.35">
      <c r="A1586"/>
      <c r="B1586"/>
      <c r="C1586"/>
      <c r="D1586"/>
      <c r="E1586"/>
      <c r="F1586"/>
      <c r="G1586"/>
    </row>
    <row r="1587" spans="1:7" x14ac:dyDescent="0.35">
      <c r="A1587"/>
      <c r="B1587"/>
      <c r="C1587"/>
      <c r="D1587"/>
      <c r="E1587"/>
      <c r="F1587"/>
      <c r="G1587"/>
    </row>
    <row r="1588" spans="1:7" x14ac:dyDescent="0.35">
      <c r="A1588"/>
      <c r="B1588"/>
      <c r="C1588"/>
      <c r="D1588"/>
      <c r="E1588"/>
      <c r="F1588"/>
      <c r="G1588"/>
    </row>
    <row r="1589" spans="1:7" x14ac:dyDescent="0.35">
      <c r="A1589"/>
      <c r="B1589"/>
      <c r="C1589"/>
      <c r="D1589"/>
      <c r="E1589"/>
      <c r="F1589"/>
      <c r="G1589"/>
    </row>
    <row r="1590" spans="1:7" x14ac:dyDescent="0.35">
      <c r="A1590"/>
      <c r="B1590"/>
      <c r="C1590"/>
      <c r="D1590"/>
      <c r="E1590"/>
      <c r="F1590"/>
      <c r="G1590"/>
    </row>
    <row r="1591" spans="1:7" x14ac:dyDescent="0.35">
      <c r="A1591"/>
      <c r="B1591"/>
      <c r="C1591"/>
      <c r="D1591"/>
      <c r="E1591"/>
      <c r="F1591"/>
      <c r="G1591"/>
    </row>
    <row r="1592" spans="1:7" x14ac:dyDescent="0.35">
      <c r="A1592"/>
      <c r="B1592"/>
      <c r="C1592"/>
      <c r="D1592"/>
      <c r="E1592"/>
      <c r="F1592"/>
      <c r="G1592"/>
    </row>
    <row r="1593" spans="1:7" x14ac:dyDescent="0.35">
      <c r="A1593"/>
      <c r="B1593"/>
      <c r="C1593"/>
      <c r="D1593"/>
      <c r="E1593"/>
      <c r="F1593"/>
      <c r="G1593"/>
    </row>
    <row r="1594" spans="1:7" x14ac:dyDescent="0.35">
      <c r="A1594"/>
      <c r="B1594"/>
      <c r="C1594"/>
      <c r="D1594"/>
      <c r="E1594"/>
      <c r="F1594"/>
      <c r="G1594"/>
    </row>
    <row r="1595" spans="1:7" x14ac:dyDescent="0.35">
      <c r="A1595"/>
      <c r="B1595"/>
      <c r="C1595"/>
      <c r="D1595"/>
      <c r="E1595"/>
      <c r="F1595"/>
      <c r="G1595"/>
    </row>
    <row r="1596" spans="1:7" x14ac:dyDescent="0.35">
      <c r="A1596"/>
      <c r="B1596"/>
      <c r="C1596"/>
      <c r="D1596"/>
      <c r="E1596"/>
      <c r="F1596"/>
      <c r="G1596"/>
    </row>
    <row r="1597" spans="1:7" x14ac:dyDescent="0.35">
      <c r="A1597"/>
      <c r="B1597"/>
      <c r="C1597"/>
      <c r="D1597"/>
      <c r="E1597"/>
      <c r="F1597"/>
      <c r="G1597"/>
    </row>
    <row r="1598" spans="1:7" x14ac:dyDescent="0.35">
      <c r="A1598"/>
      <c r="B1598"/>
      <c r="C1598"/>
      <c r="D1598"/>
      <c r="E1598"/>
      <c r="F1598"/>
      <c r="G1598"/>
    </row>
    <row r="1599" spans="1:7" x14ac:dyDescent="0.35">
      <c r="A1599"/>
      <c r="B1599"/>
      <c r="C1599"/>
      <c r="D1599"/>
      <c r="E1599"/>
      <c r="F1599"/>
      <c r="G1599"/>
    </row>
    <row r="1600" spans="1:7" x14ac:dyDescent="0.35">
      <c r="A1600"/>
      <c r="B1600"/>
      <c r="C1600"/>
      <c r="D1600"/>
      <c r="E1600"/>
      <c r="F1600"/>
      <c r="G1600"/>
    </row>
    <row r="1601" spans="1:7" x14ac:dyDescent="0.35">
      <c r="A1601"/>
      <c r="B1601"/>
      <c r="C1601"/>
      <c r="D1601"/>
      <c r="E1601"/>
      <c r="F1601"/>
      <c r="G1601"/>
    </row>
    <row r="1602" spans="1:7" x14ac:dyDescent="0.35">
      <c r="A1602"/>
      <c r="B1602"/>
      <c r="C1602"/>
      <c r="D1602"/>
      <c r="E1602"/>
      <c r="F1602"/>
      <c r="G1602"/>
    </row>
    <row r="1603" spans="1:7" x14ac:dyDescent="0.35">
      <c r="A1603"/>
      <c r="B1603"/>
      <c r="C1603"/>
      <c r="D1603"/>
      <c r="E1603"/>
      <c r="F1603"/>
      <c r="G1603"/>
    </row>
    <row r="1604" spans="1:7" x14ac:dyDescent="0.35">
      <c r="A1604"/>
      <c r="B1604"/>
      <c r="C1604"/>
      <c r="D1604"/>
      <c r="E1604"/>
      <c r="F1604"/>
      <c r="G1604"/>
    </row>
    <row r="1605" spans="1:7" x14ac:dyDescent="0.35">
      <c r="A1605"/>
      <c r="B1605"/>
      <c r="C1605"/>
      <c r="D1605"/>
      <c r="E1605"/>
      <c r="F1605"/>
      <c r="G1605"/>
    </row>
    <row r="1606" spans="1:7" x14ac:dyDescent="0.35">
      <c r="A1606"/>
      <c r="B1606"/>
      <c r="C1606"/>
      <c r="D1606"/>
      <c r="E1606"/>
      <c r="F1606"/>
      <c r="G1606"/>
    </row>
    <row r="1607" spans="1:7" x14ac:dyDescent="0.35">
      <c r="A1607"/>
      <c r="B1607"/>
      <c r="C1607"/>
      <c r="D1607"/>
      <c r="E1607"/>
      <c r="F1607"/>
      <c r="G1607"/>
    </row>
    <row r="1608" spans="1:7" x14ac:dyDescent="0.35">
      <c r="A1608"/>
      <c r="B1608"/>
      <c r="C1608"/>
      <c r="D1608"/>
      <c r="E1608"/>
      <c r="F1608"/>
      <c r="G1608"/>
    </row>
    <row r="1609" spans="1:7" x14ac:dyDescent="0.35">
      <c r="A1609"/>
      <c r="B1609"/>
      <c r="C1609"/>
      <c r="D1609"/>
      <c r="E1609"/>
      <c r="F1609"/>
      <c r="G1609"/>
    </row>
    <row r="1610" spans="1:7" x14ac:dyDescent="0.35">
      <c r="A1610"/>
      <c r="B1610"/>
      <c r="C1610"/>
      <c r="D1610"/>
      <c r="E1610"/>
      <c r="F1610"/>
      <c r="G1610"/>
    </row>
    <row r="1611" spans="1:7" x14ac:dyDescent="0.35">
      <c r="A1611"/>
      <c r="B1611"/>
      <c r="C1611"/>
      <c r="D1611"/>
      <c r="E1611"/>
      <c r="F1611"/>
      <c r="G1611"/>
    </row>
    <row r="1612" spans="1:7" x14ac:dyDescent="0.35">
      <c r="A1612"/>
      <c r="B1612"/>
      <c r="C1612"/>
      <c r="D1612"/>
      <c r="E1612"/>
      <c r="F1612"/>
      <c r="G1612"/>
    </row>
    <row r="1613" spans="1:7" x14ac:dyDescent="0.35">
      <c r="A1613"/>
      <c r="B1613"/>
      <c r="C1613"/>
      <c r="D1613"/>
      <c r="E1613"/>
      <c r="F1613"/>
      <c r="G1613"/>
    </row>
    <row r="1614" spans="1:7" x14ac:dyDescent="0.35">
      <c r="A1614"/>
      <c r="B1614"/>
      <c r="C1614"/>
      <c r="D1614"/>
      <c r="E1614"/>
      <c r="F1614"/>
      <c r="G1614"/>
    </row>
    <row r="1615" spans="1:7" x14ac:dyDescent="0.35">
      <c r="A1615"/>
      <c r="B1615"/>
      <c r="C1615"/>
      <c r="D1615"/>
      <c r="E1615"/>
      <c r="F1615"/>
      <c r="G1615"/>
    </row>
    <row r="1616" spans="1:7" x14ac:dyDescent="0.35">
      <c r="A1616"/>
      <c r="B1616"/>
      <c r="C1616"/>
      <c r="D1616"/>
      <c r="E1616"/>
      <c r="F1616"/>
      <c r="G1616"/>
    </row>
    <row r="1617" spans="1:7" x14ac:dyDescent="0.35">
      <c r="A1617"/>
      <c r="B1617"/>
      <c r="C1617"/>
      <c r="D1617"/>
      <c r="E1617"/>
      <c r="F1617"/>
      <c r="G1617"/>
    </row>
    <row r="1618" spans="1:7" x14ac:dyDescent="0.35">
      <c r="A1618"/>
      <c r="B1618"/>
      <c r="C1618"/>
      <c r="D1618"/>
      <c r="E1618"/>
      <c r="F1618"/>
      <c r="G1618"/>
    </row>
    <row r="1619" spans="1:7" x14ac:dyDescent="0.35">
      <c r="A1619"/>
      <c r="B1619"/>
      <c r="C1619"/>
      <c r="D1619"/>
      <c r="E1619"/>
      <c r="F1619"/>
      <c r="G1619"/>
    </row>
    <row r="1620" spans="1:7" x14ac:dyDescent="0.35">
      <c r="A1620"/>
      <c r="B1620"/>
      <c r="C1620"/>
      <c r="D1620"/>
      <c r="E1620"/>
      <c r="F1620"/>
      <c r="G1620"/>
    </row>
    <row r="1621" spans="1:7" x14ac:dyDescent="0.35">
      <c r="A1621"/>
      <c r="B1621"/>
      <c r="C1621"/>
      <c r="D1621"/>
      <c r="E1621"/>
      <c r="F1621"/>
      <c r="G1621"/>
    </row>
    <row r="1622" spans="1:7" x14ac:dyDescent="0.35">
      <c r="A1622"/>
      <c r="B1622"/>
      <c r="C1622"/>
      <c r="D1622"/>
      <c r="E1622"/>
      <c r="F1622"/>
      <c r="G1622"/>
    </row>
    <row r="1623" spans="1:7" x14ac:dyDescent="0.35">
      <c r="A1623"/>
      <c r="B1623"/>
      <c r="C1623"/>
      <c r="D1623"/>
      <c r="E1623"/>
      <c r="F1623"/>
      <c r="G1623"/>
    </row>
    <row r="1624" spans="1:7" x14ac:dyDescent="0.35">
      <c r="A1624"/>
      <c r="B1624"/>
      <c r="C1624"/>
      <c r="D1624"/>
      <c r="E1624"/>
      <c r="F1624"/>
      <c r="G1624"/>
    </row>
    <row r="1625" spans="1:7" x14ac:dyDescent="0.35">
      <c r="A1625"/>
      <c r="B1625"/>
      <c r="C1625"/>
      <c r="D1625"/>
      <c r="E1625"/>
      <c r="F1625"/>
      <c r="G1625"/>
    </row>
    <row r="1626" spans="1:7" x14ac:dyDescent="0.35">
      <c r="A1626"/>
      <c r="B1626"/>
      <c r="C1626"/>
      <c r="D1626"/>
      <c r="E1626"/>
      <c r="F1626"/>
      <c r="G1626"/>
    </row>
    <row r="1627" spans="1:7" x14ac:dyDescent="0.35">
      <c r="A1627"/>
      <c r="B1627"/>
      <c r="C1627"/>
      <c r="D1627"/>
      <c r="E1627"/>
      <c r="F1627"/>
      <c r="G1627"/>
    </row>
    <row r="1628" spans="1:7" x14ac:dyDescent="0.35">
      <c r="A1628"/>
      <c r="B1628"/>
      <c r="C1628"/>
      <c r="D1628"/>
      <c r="E1628"/>
      <c r="F1628"/>
      <c r="G1628"/>
    </row>
    <row r="1629" spans="1:7" x14ac:dyDescent="0.35">
      <c r="A1629"/>
      <c r="B1629"/>
      <c r="C1629"/>
      <c r="D1629"/>
      <c r="E1629"/>
      <c r="F1629"/>
      <c r="G1629"/>
    </row>
    <row r="1630" spans="1:7" x14ac:dyDescent="0.35">
      <c r="A1630"/>
      <c r="B1630"/>
      <c r="C1630"/>
      <c r="D1630"/>
      <c r="E1630"/>
      <c r="F1630"/>
      <c r="G1630"/>
    </row>
    <row r="1631" spans="1:7" x14ac:dyDescent="0.35">
      <c r="A1631"/>
      <c r="B1631"/>
      <c r="C1631"/>
      <c r="D1631"/>
      <c r="E1631"/>
      <c r="F1631"/>
      <c r="G1631"/>
    </row>
    <row r="1632" spans="1:7" x14ac:dyDescent="0.35">
      <c r="A1632"/>
      <c r="B1632"/>
      <c r="C1632"/>
      <c r="D1632"/>
      <c r="E1632"/>
      <c r="F1632"/>
      <c r="G1632"/>
    </row>
    <row r="1633" spans="1:7" x14ac:dyDescent="0.35">
      <c r="A1633"/>
      <c r="B1633"/>
      <c r="C1633"/>
      <c r="D1633"/>
      <c r="E1633"/>
      <c r="F1633"/>
      <c r="G1633"/>
    </row>
    <row r="1634" spans="1:7" x14ac:dyDescent="0.35">
      <c r="A1634"/>
      <c r="B1634"/>
      <c r="C1634"/>
      <c r="D1634"/>
      <c r="E1634"/>
      <c r="F1634"/>
      <c r="G1634"/>
    </row>
    <row r="1635" spans="1:7" x14ac:dyDescent="0.35">
      <c r="A1635"/>
      <c r="B1635"/>
      <c r="C1635"/>
      <c r="D1635"/>
      <c r="E1635"/>
      <c r="F1635"/>
      <c r="G1635"/>
    </row>
    <row r="1636" spans="1:7" x14ac:dyDescent="0.35">
      <c r="A1636"/>
      <c r="B1636"/>
      <c r="C1636"/>
      <c r="D1636"/>
      <c r="E1636"/>
      <c r="F1636"/>
      <c r="G1636"/>
    </row>
    <row r="1637" spans="1:7" x14ac:dyDescent="0.35">
      <c r="A1637"/>
      <c r="B1637"/>
      <c r="C1637"/>
      <c r="D1637"/>
      <c r="E1637"/>
      <c r="F1637"/>
      <c r="G1637"/>
    </row>
    <row r="1638" spans="1:7" x14ac:dyDescent="0.35">
      <c r="A1638"/>
      <c r="B1638"/>
      <c r="C1638"/>
      <c r="D1638"/>
      <c r="E1638"/>
      <c r="F1638"/>
      <c r="G1638"/>
    </row>
    <row r="1639" spans="1:7" x14ac:dyDescent="0.35">
      <c r="A1639"/>
      <c r="B1639"/>
      <c r="C1639"/>
      <c r="D1639"/>
      <c r="E1639"/>
      <c r="F1639"/>
      <c r="G1639"/>
    </row>
    <row r="1640" spans="1:7" x14ac:dyDescent="0.35">
      <c r="A1640"/>
      <c r="B1640"/>
      <c r="C1640"/>
      <c r="D1640"/>
      <c r="E1640"/>
      <c r="F1640"/>
      <c r="G1640"/>
    </row>
    <row r="1641" spans="1:7" x14ac:dyDescent="0.35">
      <c r="A1641"/>
      <c r="B1641"/>
      <c r="C1641"/>
      <c r="D1641"/>
      <c r="E1641"/>
      <c r="F1641"/>
      <c r="G1641"/>
    </row>
    <row r="1642" spans="1:7" x14ac:dyDescent="0.35">
      <c r="A1642"/>
      <c r="B1642"/>
      <c r="C1642"/>
      <c r="D1642"/>
      <c r="E1642"/>
      <c r="F1642"/>
      <c r="G1642"/>
    </row>
    <row r="1643" spans="1:7" x14ac:dyDescent="0.35">
      <c r="A1643"/>
      <c r="B1643"/>
      <c r="C1643"/>
      <c r="D1643"/>
      <c r="E1643"/>
      <c r="F1643"/>
      <c r="G1643"/>
    </row>
    <row r="1644" spans="1:7" x14ac:dyDescent="0.35">
      <c r="A1644"/>
      <c r="B1644"/>
      <c r="C1644"/>
      <c r="D1644"/>
      <c r="E1644"/>
      <c r="F1644"/>
      <c r="G1644"/>
    </row>
    <row r="1645" spans="1:7" x14ac:dyDescent="0.35">
      <c r="A1645"/>
      <c r="B1645"/>
      <c r="C1645"/>
      <c r="D1645"/>
      <c r="E1645"/>
      <c r="F1645"/>
      <c r="G1645"/>
    </row>
    <row r="1646" spans="1:7" x14ac:dyDescent="0.35">
      <c r="A1646"/>
      <c r="B1646"/>
      <c r="C1646"/>
      <c r="D1646"/>
      <c r="E1646"/>
      <c r="F1646"/>
      <c r="G1646"/>
    </row>
    <row r="1647" spans="1:7" x14ac:dyDescent="0.35">
      <c r="A1647"/>
      <c r="B1647"/>
      <c r="C1647"/>
      <c r="D1647"/>
      <c r="E1647"/>
      <c r="F1647"/>
      <c r="G1647"/>
    </row>
    <row r="1648" spans="1:7" x14ac:dyDescent="0.35">
      <c r="A1648"/>
      <c r="B1648"/>
      <c r="C1648"/>
      <c r="D1648"/>
      <c r="E1648"/>
      <c r="F1648"/>
      <c r="G1648"/>
    </row>
    <row r="1649" spans="1:7" x14ac:dyDescent="0.35">
      <c r="A1649"/>
      <c r="B1649"/>
      <c r="C1649"/>
      <c r="D1649"/>
      <c r="E1649"/>
      <c r="F1649"/>
      <c r="G1649"/>
    </row>
    <row r="1650" spans="1:7" x14ac:dyDescent="0.35">
      <c r="A1650"/>
      <c r="B1650"/>
      <c r="C1650"/>
      <c r="D1650"/>
      <c r="E1650"/>
      <c r="F1650"/>
      <c r="G1650"/>
    </row>
    <row r="1651" spans="1:7" x14ac:dyDescent="0.35">
      <c r="A1651"/>
      <c r="B1651"/>
      <c r="C1651"/>
      <c r="D1651"/>
      <c r="E1651"/>
      <c r="F1651"/>
      <c r="G1651"/>
    </row>
    <row r="1652" spans="1:7" x14ac:dyDescent="0.35">
      <c r="A1652"/>
      <c r="B1652"/>
      <c r="C1652"/>
      <c r="D1652"/>
      <c r="E1652"/>
      <c r="F1652"/>
      <c r="G1652"/>
    </row>
    <row r="1653" spans="1:7" x14ac:dyDescent="0.35">
      <c r="A1653"/>
      <c r="B1653"/>
      <c r="C1653"/>
      <c r="D1653"/>
      <c r="E1653"/>
      <c r="F1653"/>
      <c r="G1653"/>
    </row>
    <row r="1654" spans="1:7" x14ac:dyDescent="0.35">
      <c r="A1654"/>
      <c r="B1654"/>
      <c r="C1654"/>
      <c r="D1654"/>
      <c r="E1654"/>
      <c r="F1654"/>
      <c r="G1654"/>
    </row>
    <row r="1655" spans="1:7" x14ac:dyDescent="0.35">
      <c r="A1655"/>
      <c r="B1655"/>
      <c r="C1655"/>
      <c r="D1655"/>
      <c r="E1655"/>
      <c r="F1655"/>
      <c r="G1655"/>
    </row>
    <row r="1656" spans="1:7" x14ac:dyDescent="0.35">
      <c r="A1656"/>
      <c r="B1656"/>
      <c r="C1656"/>
      <c r="D1656"/>
      <c r="E1656"/>
      <c r="F1656"/>
      <c r="G1656"/>
    </row>
    <row r="1657" spans="1:7" x14ac:dyDescent="0.35">
      <c r="A1657"/>
      <c r="B1657"/>
      <c r="C1657"/>
      <c r="D1657"/>
      <c r="E1657"/>
      <c r="F1657"/>
      <c r="G1657"/>
    </row>
    <row r="1658" spans="1:7" x14ac:dyDescent="0.35">
      <c r="A1658"/>
      <c r="B1658"/>
      <c r="C1658"/>
      <c r="D1658"/>
      <c r="E1658"/>
      <c r="F1658"/>
      <c r="G1658"/>
    </row>
    <row r="1659" spans="1:7" x14ac:dyDescent="0.35">
      <c r="A1659"/>
      <c r="B1659"/>
      <c r="C1659"/>
      <c r="D1659"/>
      <c r="E1659"/>
      <c r="F1659"/>
      <c r="G1659"/>
    </row>
    <row r="1660" spans="1:7" x14ac:dyDescent="0.35">
      <c r="A1660"/>
      <c r="B1660"/>
      <c r="C1660"/>
      <c r="D1660"/>
      <c r="E1660"/>
      <c r="F1660"/>
      <c r="G1660"/>
    </row>
    <row r="1661" spans="1:7" x14ac:dyDescent="0.35">
      <c r="A1661"/>
      <c r="B1661"/>
      <c r="C1661"/>
      <c r="D1661"/>
      <c r="E1661"/>
      <c r="F1661"/>
      <c r="G1661"/>
    </row>
    <row r="1662" spans="1:7" x14ac:dyDescent="0.35">
      <c r="A1662"/>
      <c r="B1662"/>
      <c r="C1662"/>
      <c r="D1662"/>
      <c r="E1662"/>
      <c r="F1662"/>
      <c r="G1662"/>
    </row>
    <row r="1663" spans="1:7" x14ac:dyDescent="0.35">
      <c r="A1663"/>
      <c r="B1663"/>
      <c r="C1663"/>
      <c r="D1663"/>
      <c r="E1663"/>
      <c r="F1663"/>
      <c r="G1663"/>
    </row>
    <row r="1664" spans="1:7" x14ac:dyDescent="0.35">
      <c r="A1664"/>
      <c r="B1664"/>
      <c r="C1664"/>
      <c r="D1664"/>
      <c r="E1664"/>
      <c r="F1664"/>
      <c r="G1664"/>
    </row>
    <row r="1665" spans="1:7" x14ac:dyDescent="0.35">
      <c r="A1665"/>
      <c r="B1665"/>
      <c r="C1665"/>
      <c r="D1665"/>
      <c r="E1665"/>
      <c r="F1665"/>
      <c r="G1665"/>
    </row>
    <row r="1666" spans="1:7" x14ac:dyDescent="0.35">
      <c r="A1666"/>
      <c r="B1666"/>
      <c r="C1666"/>
      <c r="D1666"/>
      <c r="E1666"/>
      <c r="F1666"/>
      <c r="G1666"/>
    </row>
    <row r="1667" spans="1:7" x14ac:dyDescent="0.35">
      <c r="A1667"/>
      <c r="B1667"/>
      <c r="C1667"/>
      <c r="D1667"/>
      <c r="E1667"/>
      <c r="F1667"/>
      <c r="G1667"/>
    </row>
    <row r="1668" spans="1:7" x14ac:dyDescent="0.35">
      <c r="A1668"/>
      <c r="B1668"/>
      <c r="C1668"/>
      <c r="D1668"/>
      <c r="E1668"/>
      <c r="F1668"/>
      <c r="G1668"/>
    </row>
    <row r="1669" spans="1:7" x14ac:dyDescent="0.35">
      <c r="A1669"/>
      <c r="B1669"/>
      <c r="C1669"/>
      <c r="D1669"/>
      <c r="E1669"/>
      <c r="F1669"/>
      <c r="G1669"/>
    </row>
    <row r="1670" spans="1:7" x14ac:dyDescent="0.35">
      <c r="A1670"/>
      <c r="B1670"/>
      <c r="C1670"/>
      <c r="D1670"/>
      <c r="E1670"/>
      <c r="F1670"/>
      <c r="G1670"/>
    </row>
    <row r="1671" spans="1:7" x14ac:dyDescent="0.35">
      <c r="A1671"/>
      <c r="B1671"/>
      <c r="C1671"/>
      <c r="D1671"/>
      <c r="E1671"/>
      <c r="F1671"/>
      <c r="G1671"/>
    </row>
    <row r="1672" spans="1:7" x14ac:dyDescent="0.35">
      <c r="A1672"/>
      <c r="B1672"/>
      <c r="C1672"/>
      <c r="D1672"/>
      <c r="E1672"/>
      <c r="F1672"/>
      <c r="G1672"/>
    </row>
    <row r="1673" spans="1:7" x14ac:dyDescent="0.35">
      <c r="A1673"/>
      <c r="B1673"/>
      <c r="C1673"/>
      <c r="D1673"/>
      <c r="E1673"/>
      <c r="F1673"/>
      <c r="G1673"/>
    </row>
    <row r="1674" spans="1:7" x14ac:dyDescent="0.35">
      <c r="A1674"/>
      <c r="B1674"/>
      <c r="C1674"/>
      <c r="D1674"/>
      <c r="E1674"/>
      <c r="F1674"/>
      <c r="G1674"/>
    </row>
    <row r="1675" spans="1:7" x14ac:dyDescent="0.35">
      <c r="A1675"/>
      <c r="B1675"/>
      <c r="C1675"/>
      <c r="D1675"/>
      <c r="E1675"/>
      <c r="F1675"/>
      <c r="G1675"/>
    </row>
    <row r="1676" spans="1:7" x14ac:dyDescent="0.35">
      <c r="A1676"/>
      <c r="B1676"/>
      <c r="C1676"/>
      <c r="D1676"/>
      <c r="E1676"/>
      <c r="F1676"/>
      <c r="G1676"/>
    </row>
    <row r="1677" spans="1:7" x14ac:dyDescent="0.35">
      <c r="A1677"/>
      <c r="B1677"/>
      <c r="C1677"/>
      <c r="D1677"/>
      <c r="E1677"/>
      <c r="F1677"/>
      <c r="G1677"/>
    </row>
    <row r="1678" spans="1:7" x14ac:dyDescent="0.35">
      <c r="A1678"/>
      <c r="B1678"/>
      <c r="C1678"/>
      <c r="D1678"/>
      <c r="E1678"/>
      <c r="F1678"/>
      <c r="G1678"/>
    </row>
    <row r="1679" spans="1:7" x14ac:dyDescent="0.35">
      <c r="A1679"/>
      <c r="B1679"/>
      <c r="C1679"/>
      <c r="D1679"/>
      <c r="E1679"/>
      <c r="F1679"/>
      <c r="G1679"/>
    </row>
    <row r="1680" spans="1:7" x14ac:dyDescent="0.35">
      <c r="A1680"/>
      <c r="B1680"/>
      <c r="C1680"/>
      <c r="D1680"/>
      <c r="E1680"/>
      <c r="F1680"/>
      <c r="G1680"/>
    </row>
    <row r="1681" spans="1:7" x14ac:dyDescent="0.35">
      <c r="A1681"/>
      <c r="B1681"/>
      <c r="C1681"/>
      <c r="D1681"/>
      <c r="E1681"/>
      <c r="F1681"/>
      <c r="G1681"/>
    </row>
    <row r="1682" spans="1:7" x14ac:dyDescent="0.35">
      <c r="A1682"/>
      <c r="B1682"/>
      <c r="C1682"/>
      <c r="D1682"/>
      <c r="E1682"/>
      <c r="F1682"/>
      <c r="G1682"/>
    </row>
    <row r="1683" spans="1:7" x14ac:dyDescent="0.35">
      <c r="A1683"/>
      <c r="B1683"/>
      <c r="C1683"/>
      <c r="D1683"/>
      <c r="E1683"/>
      <c r="F1683"/>
      <c r="G1683"/>
    </row>
    <row r="1684" spans="1:7" x14ac:dyDescent="0.35">
      <c r="A1684"/>
      <c r="B1684"/>
      <c r="C1684"/>
      <c r="D1684"/>
      <c r="E1684"/>
      <c r="F1684"/>
      <c r="G1684"/>
    </row>
    <row r="1685" spans="1:7" x14ac:dyDescent="0.35">
      <c r="A1685"/>
      <c r="B1685"/>
      <c r="C1685"/>
      <c r="D1685"/>
      <c r="E1685"/>
      <c r="F1685"/>
      <c r="G1685"/>
    </row>
    <row r="1686" spans="1:7" x14ac:dyDescent="0.35">
      <c r="A1686"/>
      <c r="B1686"/>
      <c r="C1686"/>
      <c r="D1686"/>
      <c r="E1686"/>
      <c r="F1686"/>
      <c r="G1686"/>
    </row>
    <row r="1687" spans="1:7" x14ac:dyDescent="0.35">
      <c r="A1687"/>
      <c r="B1687"/>
      <c r="C1687"/>
      <c r="D1687"/>
      <c r="E1687"/>
      <c r="F1687"/>
      <c r="G1687"/>
    </row>
    <row r="1688" spans="1:7" x14ac:dyDescent="0.35">
      <c r="A1688"/>
      <c r="B1688"/>
      <c r="C1688"/>
      <c r="D1688"/>
      <c r="E1688"/>
      <c r="F1688"/>
      <c r="G1688"/>
    </row>
    <row r="1689" spans="1:7" x14ac:dyDescent="0.35">
      <c r="A1689"/>
      <c r="B1689"/>
      <c r="C1689"/>
      <c r="D1689"/>
      <c r="E1689"/>
      <c r="F1689"/>
      <c r="G1689"/>
    </row>
    <row r="1690" spans="1:7" x14ac:dyDescent="0.35">
      <c r="A1690"/>
      <c r="B1690"/>
      <c r="C1690"/>
      <c r="D1690"/>
      <c r="E1690"/>
      <c r="F1690"/>
      <c r="G1690"/>
    </row>
    <row r="1691" spans="1:7" x14ac:dyDescent="0.35">
      <c r="A1691"/>
      <c r="B1691"/>
      <c r="C1691"/>
      <c r="D1691"/>
      <c r="E1691"/>
      <c r="F1691"/>
      <c r="G1691"/>
    </row>
    <row r="1692" spans="1:7" x14ac:dyDescent="0.35">
      <c r="A1692"/>
      <c r="B1692"/>
      <c r="C1692"/>
      <c r="D1692"/>
      <c r="E1692"/>
      <c r="F1692"/>
      <c r="G1692"/>
    </row>
    <row r="1693" spans="1:7" x14ac:dyDescent="0.35">
      <c r="A1693"/>
      <c r="B1693"/>
      <c r="C1693"/>
      <c r="D1693"/>
      <c r="E1693"/>
      <c r="F1693"/>
      <c r="G1693"/>
    </row>
    <row r="1694" spans="1:7" x14ac:dyDescent="0.35">
      <c r="A1694"/>
      <c r="B1694"/>
      <c r="C1694"/>
      <c r="D1694"/>
      <c r="E1694"/>
      <c r="F1694"/>
      <c r="G1694"/>
    </row>
    <row r="1695" spans="1:7" x14ac:dyDescent="0.35">
      <c r="A1695"/>
      <c r="B1695"/>
      <c r="C1695"/>
      <c r="D1695"/>
      <c r="E1695"/>
      <c r="F1695"/>
      <c r="G1695"/>
    </row>
    <row r="1696" spans="1:7" x14ac:dyDescent="0.35">
      <c r="A1696"/>
      <c r="B1696"/>
      <c r="C1696"/>
      <c r="D1696"/>
      <c r="E1696"/>
      <c r="F1696"/>
      <c r="G1696"/>
    </row>
    <row r="1697" spans="1:7" x14ac:dyDescent="0.35">
      <c r="A1697"/>
      <c r="B1697"/>
      <c r="C1697"/>
      <c r="D1697"/>
      <c r="E1697"/>
      <c r="F1697"/>
      <c r="G1697"/>
    </row>
    <row r="1698" spans="1:7" x14ac:dyDescent="0.35">
      <c r="A1698"/>
      <c r="B1698"/>
      <c r="C1698"/>
      <c r="D1698"/>
      <c r="E1698"/>
      <c r="F1698"/>
      <c r="G1698"/>
    </row>
    <row r="1699" spans="1:7" x14ac:dyDescent="0.35">
      <c r="A1699"/>
      <c r="B1699"/>
      <c r="C1699"/>
      <c r="D1699"/>
      <c r="E1699"/>
      <c r="F1699"/>
      <c r="G1699"/>
    </row>
    <row r="1700" spans="1:7" x14ac:dyDescent="0.35">
      <c r="A1700"/>
      <c r="B1700"/>
      <c r="C1700"/>
      <c r="D1700"/>
      <c r="E1700"/>
      <c r="F1700"/>
      <c r="G1700"/>
    </row>
    <row r="1701" spans="1:7" x14ac:dyDescent="0.35">
      <c r="A1701"/>
      <c r="B1701"/>
      <c r="C1701"/>
      <c r="D1701"/>
      <c r="E1701"/>
      <c r="F1701"/>
      <c r="G1701"/>
    </row>
    <row r="1702" spans="1:7" x14ac:dyDescent="0.35">
      <c r="A1702"/>
      <c r="B1702"/>
      <c r="C1702"/>
      <c r="D1702"/>
      <c r="E1702"/>
      <c r="F1702"/>
      <c r="G1702"/>
    </row>
    <row r="1703" spans="1:7" x14ac:dyDescent="0.35">
      <c r="A1703"/>
      <c r="B1703"/>
      <c r="C1703"/>
      <c r="D1703"/>
      <c r="E1703"/>
      <c r="F1703"/>
      <c r="G1703"/>
    </row>
    <row r="1704" spans="1:7" x14ac:dyDescent="0.35">
      <c r="A1704"/>
      <c r="B1704"/>
      <c r="C1704"/>
      <c r="D1704"/>
      <c r="E1704"/>
      <c r="F1704"/>
      <c r="G1704"/>
    </row>
    <row r="1705" spans="1:7" x14ac:dyDescent="0.35">
      <c r="A1705"/>
      <c r="B1705"/>
      <c r="C1705"/>
      <c r="D1705"/>
      <c r="E1705"/>
      <c r="F1705"/>
      <c r="G1705"/>
    </row>
    <row r="1706" spans="1:7" x14ac:dyDescent="0.35">
      <c r="A1706"/>
      <c r="B1706"/>
      <c r="C1706"/>
      <c r="D1706"/>
      <c r="E1706"/>
      <c r="F1706"/>
      <c r="G1706"/>
    </row>
    <row r="1707" spans="1:7" x14ac:dyDescent="0.35">
      <c r="A1707"/>
      <c r="B1707"/>
      <c r="C1707"/>
      <c r="D1707"/>
      <c r="E1707"/>
      <c r="F1707"/>
      <c r="G1707"/>
    </row>
    <row r="1708" spans="1:7" x14ac:dyDescent="0.35">
      <c r="A1708"/>
      <c r="B1708"/>
      <c r="C1708"/>
      <c r="D1708"/>
      <c r="E1708"/>
      <c r="F1708"/>
      <c r="G1708"/>
    </row>
    <row r="1709" spans="1:7" x14ac:dyDescent="0.35">
      <c r="A1709"/>
      <c r="B1709"/>
      <c r="C1709"/>
      <c r="D1709"/>
      <c r="E1709"/>
      <c r="F1709"/>
      <c r="G1709"/>
    </row>
    <row r="1710" spans="1:7" x14ac:dyDescent="0.35">
      <c r="A1710"/>
      <c r="B1710"/>
      <c r="C1710"/>
      <c r="D1710"/>
      <c r="E1710"/>
      <c r="F1710"/>
      <c r="G1710"/>
    </row>
    <row r="1711" spans="1:7" x14ac:dyDescent="0.35">
      <c r="A1711"/>
      <c r="B1711"/>
      <c r="C1711"/>
      <c r="D1711"/>
      <c r="E1711"/>
      <c r="F1711"/>
      <c r="G1711"/>
    </row>
    <row r="1712" spans="1:7" x14ac:dyDescent="0.35">
      <c r="A1712"/>
      <c r="B1712"/>
      <c r="C1712"/>
      <c r="D1712"/>
      <c r="E1712"/>
      <c r="F1712"/>
      <c r="G1712"/>
    </row>
    <row r="1713" spans="1:7" x14ac:dyDescent="0.35">
      <c r="A1713"/>
      <c r="B1713"/>
      <c r="C1713"/>
      <c r="D1713"/>
      <c r="E1713"/>
      <c r="F1713"/>
      <c r="G1713"/>
    </row>
    <row r="1714" spans="1:7" x14ac:dyDescent="0.35">
      <c r="A1714"/>
      <c r="B1714"/>
      <c r="C1714"/>
      <c r="D1714"/>
      <c r="E1714"/>
      <c r="F1714"/>
      <c r="G1714"/>
    </row>
    <row r="1715" spans="1:7" x14ac:dyDescent="0.35">
      <c r="A1715"/>
      <c r="B1715"/>
      <c r="C1715"/>
      <c r="D1715"/>
      <c r="E1715"/>
      <c r="F1715"/>
      <c r="G1715"/>
    </row>
    <row r="1716" spans="1:7" x14ac:dyDescent="0.35">
      <c r="A1716"/>
      <c r="B1716"/>
      <c r="C1716"/>
      <c r="D1716"/>
      <c r="E1716"/>
      <c r="F1716"/>
      <c r="G1716"/>
    </row>
    <row r="1717" spans="1:7" x14ac:dyDescent="0.35">
      <c r="A1717"/>
      <c r="B1717"/>
      <c r="C1717"/>
      <c r="D1717"/>
      <c r="E1717"/>
      <c r="F1717"/>
      <c r="G1717"/>
    </row>
    <row r="1718" spans="1:7" x14ac:dyDescent="0.35">
      <c r="A1718"/>
      <c r="B1718"/>
      <c r="C1718"/>
      <c r="D1718"/>
      <c r="E1718"/>
      <c r="F1718"/>
      <c r="G1718"/>
    </row>
    <row r="1719" spans="1:7" x14ac:dyDescent="0.35">
      <c r="A1719"/>
      <c r="B1719"/>
      <c r="C1719"/>
      <c r="D1719"/>
      <c r="E1719"/>
      <c r="F1719"/>
      <c r="G1719"/>
    </row>
    <row r="1720" spans="1:7" x14ac:dyDescent="0.35">
      <c r="A1720"/>
      <c r="B1720"/>
      <c r="C1720"/>
      <c r="D1720"/>
      <c r="E1720"/>
      <c r="F1720"/>
      <c r="G1720"/>
    </row>
    <row r="1721" spans="1:7" x14ac:dyDescent="0.35">
      <c r="A1721"/>
      <c r="B1721"/>
      <c r="C1721"/>
      <c r="D1721"/>
      <c r="E1721"/>
      <c r="F1721"/>
      <c r="G1721"/>
    </row>
    <row r="1722" spans="1:7" x14ac:dyDescent="0.35">
      <c r="A1722"/>
      <c r="B1722"/>
      <c r="C1722"/>
      <c r="D1722"/>
      <c r="E1722"/>
      <c r="F1722"/>
      <c r="G1722"/>
    </row>
    <row r="1723" spans="1:7" x14ac:dyDescent="0.35">
      <c r="A1723"/>
      <c r="B1723"/>
      <c r="C1723"/>
      <c r="D1723"/>
      <c r="E1723"/>
      <c r="F1723"/>
      <c r="G1723"/>
    </row>
    <row r="1724" spans="1:7" x14ac:dyDescent="0.35">
      <c r="A1724"/>
      <c r="B1724"/>
      <c r="C1724"/>
      <c r="D1724"/>
      <c r="E1724"/>
      <c r="F1724"/>
      <c r="G1724"/>
    </row>
    <row r="1725" spans="1:7" x14ac:dyDescent="0.35">
      <c r="A1725"/>
      <c r="B1725"/>
      <c r="C1725"/>
      <c r="D1725"/>
      <c r="E1725"/>
      <c r="F1725"/>
      <c r="G1725"/>
    </row>
    <row r="1726" spans="1:7" x14ac:dyDescent="0.35">
      <c r="A1726"/>
      <c r="B1726"/>
      <c r="C1726"/>
      <c r="D1726"/>
      <c r="E1726"/>
      <c r="F1726"/>
      <c r="G1726"/>
    </row>
    <row r="1727" spans="1:7" x14ac:dyDescent="0.35">
      <c r="A1727"/>
      <c r="B1727"/>
      <c r="C1727"/>
      <c r="D1727"/>
      <c r="E1727"/>
      <c r="F1727"/>
      <c r="G1727"/>
    </row>
    <row r="1728" spans="1:7" x14ac:dyDescent="0.35">
      <c r="A1728"/>
      <c r="B1728"/>
      <c r="C1728"/>
      <c r="D1728"/>
      <c r="E1728"/>
      <c r="F1728"/>
      <c r="G1728"/>
    </row>
    <row r="1729" spans="1:7" x14ac:dyDescent="0.35">
      <c r="A1729"/>
      <c r="B1729"/>
      <c r="C1729"/>
      <c r="D1729"/>
      <c r="E1729"/>
      <c r="F1729"/>
      <c r="G1729"/>
    </row>
    <row r="1730" spans="1:7" x14ac:dyDescent="0.35">
      <c r="A1730"/>
      <c r="B1730"/>
      <c r="C1730"/>
      <c r="D1730"/>
      <c r="E1730"/>
      <c r="F1730"/>
      <c r="G1730"/>
    </row>
    <row r="1731" spans="1:7" x14ac:dyDescent="0.35">
      <c r="A1731"/>
      <c r="B1731"/>
      <c r="C1731"/>
      <c r="D1731"/>
      <c r="E1731"/>
      <c r="F1731"/>
      <c r="G1731"/>
    </row>
    <row r="1732" spans="1:7" x14ac:dyDescent="0.35">
      <c r="A1732"/>
      <c r="B1732"/>
      <c r="C1732"/>
      <c r="D1732"/>
      <c r="E1732"/>
      <c r="F1732"/>
      <c r="G1732"/>
    </row>
    <row r="1733" spans="1:7" x14ac:dyDescent="0.35">
      <c r="A1733"/>
      <c r="B1733"/>
      <c r="C1733"/>
      <c r="D1733"/>
      <c r="E1733"/>
      <c r="F1733"/>
      <c r="G1733"/>
    </row>
    <row r="1734" spans="1:7" x14ac:dyDescent="0.35">
      <c r="A1734"/>
      <c r="B1734"/>
      <c r="C1734"/>
      <c r="D1734"/>
      <c r="E1734"/>
      <c r="F1734"/>
      <c r="G1734"/>
    </row>
    <row r="1735" spans="1:7" x14ac:dyDescent="0.35">
      <c r="A1735"/>
      <c r="B1735"/>
      <c r="C1735"/>
      <c r="D1735"/>
      <c r="E1735"/>
      <c r="F1735"/>
      <c r="G1735"/>
    </row>
    <row r="1736" spans="1:7" x14ac:dyDescent="0.35">
      <c r="A1736"/>
      <c r="B1736"/>
      <c r="C1736"/>
      <c r="D1736"/>
      <c r="E1736"/>
      <c r="F1736"/>
      <c r="G1736"/>
    </row>
    <row r="1737" spans="1:7" x14ac:dyDescent="0.35">
      <c r="A1737"/>
      <c r="B1737"/>
      <c r="C1737"/>
      <c r="D1737"/>
      <c r="E1737"/>
      <c r="F1737"/>
      <c r="G1737"/>
    </row>
    <row r="1738" spans="1:7" x14ac:dyDescent="0.35">
      <c r="A1738"/>
      <c r="B1738"/>
      <c r="C1738"/>
      <c r="D1738"/>
      <c r="E1738"/>
      <c r="F1738"/>
      <c r="G1738"/>
    </row>
    <row r="1739" spans="1:7" x14ac:dyDescent="0.35">
      <c r="A1739"/>
      <c r="B1739"/>
      <c r="C1739"/>
      <c r="D1739"/>
      <c r="E1739"/>
      <c r="F1739"/>
      <c r="G1739"/>
    </row>
    <row r="1740" spans="1:7" x14ac:dyDescent="0.35">
      <c r="A1740"/>
      <c r="B1740"/>
      <c r="C1740"/>
      <c r="D1740"/>
      <c r="E1740"/>
      <c r="F1740"/>
      <c r="G1740"/>
    </row>
    <row r="1741" spans="1:7" x14ac:dyDescent="0.35">
      <c r="A1741"/>
      <c r="B1741"/>
      <c r="C1741"/>
      <c r="D1741"/>
      <c r="E1741"/>
      <c r="F1741"/>
      <c r="G1741"/>
    </row>
    <row r="1742" spans="1:7" x14ac:dyDescent="0.35">
      <c r="A1742"/>
      <c r="B1742"/>
      <c r="C1742"/>
      <c r="D1742"/>
      <c r="E1742"/>
      <c r="F1742"/>
      <c r="G1742"/>
    </row>
    <row r="1743" spans="1:7" x14ac:dyDescent="0.35">
      <c r="A1743"/>
      <c r="B1743"/>
      <c r="C1743"/>
      <c r="D1743"/>
      <c r="E1743"/>
      <c r="F1743"/>
      <c r="G1743"/>
    </row>
    <row r="1744" spans="1:7" x14ac:dyDescent="0.35">
      <c r="A1744"/>
      <c r="B1744"/>
      <c r="C1744"/>
      <c r="D1744"/>
      <c r="E1744"/>
      <c r="F1744"/>
      <c r="G1744"/>
    </row>
    <row r="1745" spans="1:7" x14ac:dyDescent="0.35">
      <c r="A1745"/>
      <c r="B1745"/>
      <c r="C1745"/>
      <c r="D1745"/>
      <c r="E1745"/>
      <c r="F1745"/>
      <c r="G1745"/>
    </row>
    <row r="1746" spans="1:7" x14ac:dyDescent="0.35">
      <c r="A1746"/>
      <c r="B1746"/>
      <c r="C1746"/>
      <c r="D1746"/>
      <c r="E1746"/>
      <c r="F1746"/>
      <c r="G1746"/>
    </row>
    <row r="1747" spans="1:7" x14ac:dyDescent="0.35">
      <c r="A1747"/>
      <c r="B1747"/>
      <c r="C1747"/>
      <c r="D1747"/>
      <c r="E1747"/>
      <c r="F1747"/>
      <c r="G1747"/>
    </row>
    <row r="1748" spans="1:7" x14ac:dyDescent="0.35">
      <c r="A1748"/>
      <c r="B1748"/>
      <c r="C1748"/>
      <c r="D1748"/>
      <c r="E1748"/>
      <c r="F1748"/>
      <c r="G1748"/>
    </row>
    <row r="1749" spans="1:7" x14ac:dyDescent="0.35">
      <c r="A1749"/>
      <c r="B1749"/>
      <c r="C1749"/>
      <c r="D1749"/>
      <c r="E1749"/>
      <c r="F1749"/>
      <c r="G1749"/>
    </row>
    <row r="1750" spans="1:7" x14ac:dyDescent="0.35">
      <c r="A1750"/>
      <c r="B1750"/>
      <c r="C1750"/>
      <c r="D1750"/>
      <c r="E1750"/>
      <c r="F1750"/>
      <c r="G1750"/>
    </row>
    <row r="1751" spans="1:7" x14ac:dyDescent="0.35">
      <c r="A1751"/>
      <c r="B1751"/>
      <c r="C1751"/>
      <c r="D1751"/>
      <c r="E1751"/>
      <c r="F1751"/>
      <c r="G1751"/>
    </row>
    <row r="1752" spans="1:7" x14ac:dyDescent="0.35">
      <c r="A1752"/>
      <c r="B1752"/>
      <c r="C1752"/>
      <c r="D1752"/>
      <c r="E1752"/>
      <c r="F1752"/>
      <c r="G1752"/>
    </row>
    <row r="1753" spans="1:7" x14ac:dyDescent="0.35">
      <c r="A1753"/>
      <c r="B1753"/>
      <c r="C1753"/>
      <c r="D1753"/>
      <c r="E1753"/>
      <c r="F1753"/>
      <c r="G1753"/>
    </row>
    <row r="1754" spans="1:7" x14ac:dyDescent="0.35">
      <c r="A1754"/>
      <c r="B1754"/>
      <c r="C1754"/>
      <c r="D1754"/>
      <c r="E1754"/>
      <c r="F1754"/>
      <c r="G1754"/>
    </row>
    <row r="1755" spans="1:7" x14ac:dyDescent="0.35">
      <c r="A1755"/>
      <c r="B1755"/>
      <c r="C1755"/>
      <c r="D1755"/>
      <c r="E1755"/>
      <c r="F1755"/>
      <c r="G1755"/>
    </row>
    <row r="1756" spans="1:7" x14ac:dyDescent="0.35">
      <c r="A1756"/>
      <c r="B1756"/>
      <c r="C1756"/>
      <c r="D1756"/>
      <c r="E1756"/>
      <c r="F1756"/>
      <c r="G1756"/>
    </row>
    <row r="1757" spans="1:7" x14ac:dyDescent="0.35">
      <c r="A1757"/>
      <c r="B1757"/>
      <c r="C1757"/>
      <c r="D1757"/>
      <c r="E1757"/>
      <c r="F1757"/>
      <c r="G1757"/>
    </row>
    <row r="1758" spans="1:7" x14ac:dyDescent="0.35">
      <c r="A1758"/>
      <c r="B1758"/>
      <c r="C1758"/>
      <c r="D1758"/>
      <c r="E1758"/>
      <c r="F1758"/>
      <c r="G1758"/>
    </row>
    <row r="1759" spans="1:7" x14ac:dyDescent="0.35">
      <c r="A1759"/>
      <c r="B1759"/>
      <c r="C1759"/>
      <c r="D1759"/>
      <c r="E1759"/>
      <c r="F1759"/>
      <c r="G1759"/>
    </row>
    <row r="1760" spans="1:7" x14ac:dyDescent="0.35">
      <c r="A1760"/>
      <c r="B1760"/>
      <c r="C1760"/>
      <c r="D1760"/>
      <c r="E1760"/>
      <c r="F1760"/>
      <c r="G1760"/>
    </row>
    <row r="1761" spans="1:7" x14ac:dyDescent="0.35">
      <c r="A1761"/>
      <c r="B1761"/>
      <c r="C1761"/>
      <c r="D1761"/>
      <c r="E1761"/>
      <c r="F1761"/>
      <c r="G1761"/>
    </row>
    <row r="1762" spans="1:7" x14ac:dyDescent="0.35">
      <c r="A1762"/>
      <c r="B1762"/>
      <c r="C1762"/>
      <c r="D1762"/>
      <c r="E1762"/>
      <c r="F1762"/>
      <c r="G1762"/>
    </row>
    <row r="1763" spans="1:7" x14ac:dyDescent="0.35">
      <c r="A1763"/>
      <c r="B1763"/>
      <c r="C1763"/>
      <c r="D1763"/>
      <c r="E1763"/>
      <c r="F1763"/>
      <c r="G1763"/>
    </row>
    <row r="1764" spans="1:7" x14ac:dyDescent="0.35">
      <c r="A1764"/>
      <c r="B1764"/>
      <c r="C1764"/>
      <c r="D1764"/>
      <c r="E1764"/>
      <c r="F1764"/>
      <c r="G1764"/>
    </row>
    <row r="1765" spans="1:7" x14ac:dyDescent="0.35">
      <c r="A1765"/>
      <c r="B1765"/>
      <c r="C1765"/>
      <c r="D1765"/>
      <c r="E1765"/>
      <c r="F1765"/>
      <c r="G1765"/>
    </row>
    <row r="1766" spans="1:7" x14ac:dyDescent="0.35">
      <c r="A1766"/>
      <c r="B1766"/>
      <c r="C1766"/>
      <c r="D1766"/>
      <c r="E1766"/>
      <c r="F1766"/>
      <c r="G1766"/>
    </row>
    <row r="1767" spans="1:7" x14ac:dyDescent="0.35">
      <c r="A1767"/>
      <c r="B1767"/>
      <c r="C1767"/>
      <c r="D1767"/>
      <c r="E1767"/>
      <c r="F1767"/>
      <c r="G1767"/>
    </row>
    <row r="1768" spans="1:7" x14ac:dyDescent="0.35">
      <c r="A1768"/>
      <c r="B1768"/>
      <c r="C1768"/>
      <c r="D1768"/>
      <c r="E1768"/>
      <c r="F1768"/>
      <c r="G1768"/>
    </row>
    <row r="1769" spans="1:7" x14ac:dyDescent="0.35">
      <c r="A1769"/>
      <c r="B1769"/>
      <c r="C1769"/>
      <c r="D1769"/>
      <c r="E1769"/>
      <c r="F1769"/>
      <c r="G1769"/>
    </row>
    <row r="1770" spans="1:7" x14ac:dyDescent="0.35">
      <c r="A1770"/>
      <c r="B1770"/>
      <c r="C1770"/>
      <c r="D1770"/>
      <c r="E1770"/>
      <c r="F1770"/>
      <c r="G1770"/>
    </row>
    <row r="1771" spans="1:7" x14ac:dyDescent="0.35">
      <c r="A1771"/>
      <c r="B1771"/>
      <c r="C1771"/>
      <c r="D1771"/>
      <c r="E1771"/>
      <c r="F1771"/>
      <c r="G1771"/>
    </row>
    <row r="1772" spans="1:7" x14ac:dyDescent="0.35">
      <c r="A1772"/>
      <c r="B1772"/>
      <c r="C1772"/>
      <c r="D1772"/>
      <c r="E1772"/>
      <c r="F1772"/>
      <c r="G1772"/>
    </row>
    <row r="1773" spans="1:7" x14ac:dyDescent="0.35">
      <c r="A1773"/>
      <c r="B1773"/>
      <c r="C1773"/>
      <c r="D1773"/>
      <c r="E1773"/>
      <c r="F1773"/>
      <c r="G1773"/>
    </row>
    <row r="1774" spans="1:7" x14ac:dyDescent="0.35">
      <c r="A1774"/>
      <c r="B1774"/>
      <c r="C1774"/>
      <c r="D1774"/>
      <c r="E1774"/>
      <c r="F1774"/>
      <c r="G1774"/>
    </row>
    <row r="1775" spans="1:7" x14ac:dyDescent="0.35">
      <c r="A1775"/>
      <c r="B1775"/>
      <c r="C1775"/>
      <c r="D1775"/>
      <c r="E1775"/>
      <c r="F1775"/>
      <c r="G1775"/>
    </row>
    <row r="1776" spans="1:7" x14ac:dyDescent="0.35">
      <c r="A1776"/>
      <c r="B1776"/>
      <c r="C1776"/>
      <c r="D1776"/>
      <c r="E1776"/>
      <c r="F1776"/>
      <c r="G1776"/>
    </row>
    <row r="1777" spans="1:7" x14ac:dyDescent="0.35">
      <c r="A1777"/>
      <c r="B1777"/>
      <c r="C1777"/>
      <c r="D1777"/>
      <c r="E1777"/>
      <c r="F1777"/>
      <c r="G1777"/>
    </row>
    <row r="1778" spans="1:7" x14ac:dyDescent="0.35">
      <c r="A1778"/>
      <c r="B1778"/>
      <c r="C1778"/>
      <c r="D1778"/>
      <c r="E1778"/>
      <c r="F1778"/>
      <c r="G1778"/>
    </row>
    <row r="1779" spans="1:7" x14ac:dyDescent="0.35">
      <c r="A1779"/>
      <c r="B1779"/>
      <c r="C1779"/>
      <c r="D1779"/>
      <c r="E1779"/>
      <c r="F1779"/>
      <c r="G1779"/>
    </row>
    <row r="1780" spans="1:7" x14ac:dyDescent="0.35">
      <c r="A1780"/>
      <c r="B1780"/>
      <c r="C1780"/>
      <c r="D1780"/>
      <c r="E1780"/>
      <c r="F1780"/>
      <c r="G1780"/>
    </row>
    <row r="1781" spans="1:7" x14ac:dyDescent="0.35">
      <c r="A1781"/>
      <c r="B1781"/>
      <c r="C1781"/>
      <c r="D1781"/>
      <c r="E1781"/>
      <c r="F1781"/>
      <c r="G1781"/>
    </row>
    <row r="1782" spans="1:7" x14ac:dyDescent="0.35">
      <c r="A1782"/>
      <c r="B1782"/>
      <c r="C1782"/>
      <c r="D1782"/>
      <c r="E1782"/>
      <c r="F1782"/>
      <c r="G1782"/>
    </row>
    <row r="1783" spans="1:7" x14ac:dyDescent="0.35">
      <c r="A1783"/>
      <c r="B1783"/>
      <c r="C1783"/>
      <c r="D1783"/>
      <c r="E1783"/>
      <c r="F1783"/>
      <c r="G1783"/>
    </row>
    <row r="1784" spans="1:7" x14ac:dyDescent="0.35">
      <c r="A1784"/>
      <c r="B1784"/>
      <c r="C1784"/>
      <c r="D1784"/>
      <c r="E1784"/>
      <c r="F1784"/>
      <c r="G1784"/>
    </row>
    <row r="1785" spans="1:7" x14ac:dyDescent="0.35">
      <c r="A1785"/>
      <c r="B1785"/>
      <c r="C1785"/>
      <c r="D1785"/>
      <c r="E1785"/>
      <c r="F1785"/>
      <c r="G1785"/>
    </row>
    <row r="1786" spans="1:7" x14ac:dyDescent="0.35">
      <c r="A1786"/>
      <c r="B1786"/>
      <c r="C1786"/>
      <c r="D1786"/>
      <c r="E1786"/>
      <c r="F1786"/>
      <c r="G1786"/>
    </row>
    <row r="1787" spans="1:7" x14ac:dyDescent="0.35">
      <c r="A1787"/>
      <c r="B1787"/>
      <c r="C1787"/>
      <c r="D1787"/>
      <c r="E1787"/>
      <c r="F1787"/>
      <c r="G1787"/>
    </row>
    <row r="1788" spans="1:7" x14ac:dyDescent="0.35">
      <c r="A1788"/>
      <c r="B1788"/>
      <c r="C1788"/>
      <c r="D1788"/>
      <c r="E1788"/>
      <c r="F1788"/>
      <c r="G1788"/>
    </row>
    <row r="1789" spans="1:7" x14ac:dyDescent="0.35">
      <c r="A1789"/>
      <c r="B1789"/>
      <c r="C1789"/>
      <c r="D1789"/>
      <c r="E1789"/>
      <c r="F1789"/>
      <c r="G1789"/>
    </row>
    <row r="1790" spans="1:7" x14ac:dyDescent="0.35">
      <c r="A1790"/>
      <c r="B1790"/>
      <c r="C1790"/>
      <c r="D1790"/>
      <c r="E1790"/>
      <c r="F1790"/>
      <c r="G1790"/>
    </row>
    <row r="1791" spans="1:7" x14ac:dyDescent="0.35">
      <c r="A1791"/>
      <c r="B1791"/>
      <c r="C1791"/>
      <c r="D1791"/>
      <c r="E1791"/>
      <c r="F1791"/>
      <c r="G1791"/>
    </row>
    <row r="1792" spans="1:7" x14ac:dyDescent="0.35">
      <c r="A1792"/>
      <c r="B1792"/>
      <c r="C1792"/>
      <c r="D1792"/>
      <c r="E1792"/>
      <c r="F1792"/>
      <c r="G1792"/>
    </row>
    <row r="1793" spans="1:7" x14ac:dyDescent="0.35">
      <c r="A1793"/>
      <c r="B1793"/>
      <c r="C1793"/>
      <c r="D1793"/>
      <c r="E1793"/>
      <c r="F1793"/>
      <c r="G1793"/>
    </row>
    <row r="1794" spans="1:7" x14ac:dyDescent="0.35">
      <c r="A1794"/>
      <c r="B1794"/>
      <c r="C1794"/>
      <c r="D1794"/>
      <c r="E1794"/>
      <c r="F1794"/>
      <c r="G1794"/>
    </row>
    <row r="1795" spans="1:7" x14ac:dyDescent="0.35">
      <c r="A1795"/>
      <c r="B1795"/>
      <c r="C1795"/>
      <c r="D1795"/>
      <c r="E1795"/>
      <c r="F1795"/>
      <c r="G1795"/>
    </row>
    <row r="1796" spans="1:7" x14ac:dyDescent="0.35">
      <c r="A1796"/>
      <c r="B1796"/>
      <c r="C1796"/>
      <c r="D1796"/>
      <c r="E1796"/>
      <c r="F1796"/>
      <c r="G1796"/>
    </row>
    <row r="1797" spans="1:7" x14ac:dyDescent="0.35">
      <c r="A1797"/>
      <c r="B1797"/>
      <c r="C1797"/>
      <c r="D1797"/>
      <c r="E1797"/>
      <c r="F1797"/>
      <c r="G1797"/>
    </row>
    <row r="1798" spans="1:7" x14ac:dyDescent="0.35">
      <c r="A1798"/>
      <c r="B1798"/>
      <c r="C1798"/>
      <c r="D1798"/>
      <c r="E1798"/>
      <c r="F1798"/>
      <c r="G1798"/>
    </row>
    <row r="1799" spans="1:7" x14ac:dyDescent="0.35">
      <c r="A1799"/>
      <c r="B1799"/>
      <c r="C1799"/>
      <c r="D1799"/>
      <c r="E1799"/>
      <c r="F1799"/>
      <c r="G1799"/>
    </row>
    <row r="1800" spans="1:7" x14ac:dyDescent="0.35">
      <c r="A1800"/>
      <c r="B1800"/>
      <c r="C1800"/>
      <c r="D1800"/>
      <c r="E1800"/>
      <c r="F1800"/>
      <c r="G1800"/>
    </row>
    <row r="1801" spans="1:7" x14ac:dyDescent="0.35">
      <c r="A1801"/>
      <c r="B1801"/>
      <c r="C1801"/>
      <c r="D1801"/>
      <c r="E1801"/>
      <c r="F1801"/>
      <c r="G1801"/>
    </row>
    <row r="1802" spans="1:7" x14ac:dyDescent="0.35">
      <c r="A1802"/>
      <c r="B1802"/>
      <c r="C1802"/>
      <c r="D1802"/>
      <c r="E1802"/>
      <c r="F1802"/>
      <c r="G1802"/>
    </row>
    <row r="1803" spans="1:7" x14ac:dyDescent="0.35">
      <c r="A1803"/>
      <c r="B1803"/>
      <c r="C1803"/>
      <c r="D1803"/>
      <c r="E1803"/>
      <c r="F1803"/>
      <c r="G1803"/>
    </row>
    <row r="1804" spans="1:7" x14ac:dyDescent="0.35">
      <c r="A1804"/>
      <c r="B1804"/>
      <c r="C1804"/>
      <c r="D1804"/>
      <c r="E1804"/>
      <c r="F1804"/>
      <c r="G1804"/>
    </row>
    <row r="1805" spans="1:7" x14ac:dyDescent="0.35">
      <c r="A1805"/>
      <c r="B1805"/>
      <c r="C1805"/>
      <c r="D1805"/>
      <c r="E1805"/>
      <c r="F1805"/>
      <c r="G1805"/>
    </row>
    <row r="1806" spans="1:7" x14ac:dyDescent="0.35">
      <c r="A1806"/>
      <c r="B1806"/>
      <c r="C1806"/>
      <c r="D1806"/>
      <c r="E1806"/>
      <c r="F1806"/>
      <c r="G1806"/>
    </row>
    <row r="1807" spans="1:7" x14ac:dyDescent="0.35">
      <c r="A1807"/>
      <c r="B1807"/>
      <c r="C1807"/>
      <c r="D1807"/>
      <c r="E1807"/>
      <c r="F1807"/>
      <c r="G1807"/>
    </row>
    <row r="1808" spans="1:7" x14ac:dyDescent="0.35">
      <c r="A1808"/>
      <c r="B1808"/>
      <c r="C1808"/>
      <c r="D1808"/>
      <c r="E1808"/>
      <c r="F1808"/>
      <c r="G1808"/>
    </row>
    <row r="1809" spans="1:7" x14ac:dyDescent="0.35">
      <c r="A1809"/>
      <c r="B1809"/>
      <c r="C1809"/>
      <c r="D1809"/>
      <c r="E1809"/>
      <c r="F1809"/>
      <c r="G1809"/>
    </row>
    <row r="1810" spans="1:7" x14ac:dyDescent="0.35">
      <c r="A1810"/>
      <c r="B1810"/>
      <c r="C1810"/>
      <c r="D1810"/>
      <c r="E1810"/>
      <c r="F1810"/>
      <c r="G1810"/>
    </row>
    <row r="1811" spans="1:7" x14ac:dyDescent="0.35">
      <c r="A1811"/>
      <c r="B1811"/>
      <c r="C1811"/>
      <c r="D1811"/>
      <c r="E1811"/>
      <c r="F1811"/>
      <c r="G1811"/>
    </row>
    <row r="1812" spans="1:7" x14ac:dyDescent="0.35">
      <c r="A1812"/>
      <c r="B1812"/>
      <c r="C1812"/>
      <c r="D1812"/>
      <c r="E1812"/>
      <c r="F1812"/>
      <c r="G1812"/>
    </row>
    <row r="1813" spans="1:7" x14ac:dyDescent="0.35">
      <c r="A1813"/>
      <c r="B1813"/>
      <c r="C1813"/>
      <c r="D1813"/>
      <c r="E1813"/>
      <c r="F1813"/>
      <c r="G1813"/>
    </row>
    <row r="1814" spans="1:7" x14ac:dyDescent="0.35">
      <c r="A1814"/>
      <c r="B1814"/>
      <c r="C1814"/>
      <c r="D1814"/>
      <c r="E1814"/>
      <c r="F1814"/>
      <c r="G1814"/>
    </row>
    <row r="1815" spans="1:7" x14ac:dyDescent="0.35">
      <c r="A1815"/>
      <c r="B1815"/>
      <c r="C1815"/>
      <c r="D1815"/>
      <c r="E1815"/>
      <c r="F1815"/>
      <c r="G1815"/>
    </row>
    <row r="1816" spans="1:7" x14ac:dyDescent="0.35">
      <c r="A1816"/>
      <c r="B1816"/>
      <c r="C1816"/>
      <c r="D1816"/>
      <c r="E1816"/>
      <c r="F1816"/>
      <c r="G1816"/>
    </row>
    <row r="1817" spans="1:7" x14ac:dyDescent="0.35">
      <c r="A1817"/>
      <c r="B1817"/>
      <c r="C1817"/>
      <c r="D1817"/>
      <c r="E1817"/>
      <c r="F1817"/>
      <c r="G1817"/>
    </row>
    <row r="1818" spans="1:7" x14ac:dyDescent="0.35">
      <c r="A1818"/>
      <c r="B1818"/>
      <c r="C1818"/>
      <c r="D1818"/>
      <c r="E1818"/>
      <c r="F1818"/>
      <c r="G1818"/>
    </row>
    <row r="1819" spans="1:7" x14ac:dyDescent="0.35">
      <c r="A1819"/>
      <c r="B1819"/>
      <c r="C1819"/>
      <c r="D1819"/>
      <c r="E1819"/>
      <c r="F1819"/>
      <c r="G1819"/>
    </row>
    <row r="1820" spans="1:7" x14ac:dyDescent="0.35">
      <c r="A1820"/>
      <c r="B1820"/>
      <c r="C1820"/>
      <c r="D1820"/>
      <c r="E1820"/>
      <c r="F1820"/>
      <c r="G1820"/>
    </row>
    <row r="1821" spans="1:7" x14ac:dyDescent="0.35">
      <c r="A1821"/>
      <c r="B1821"/>
      <c r="C1821"/>
      <c r="D1821"/>
      <c r="E1821"/>
      <c r="F1821"/>
      <c r="G1821"/>
    </row>
    <row r="1822" spans="1:7" x14ac:dyDescent="0.35">
      <c r="A1822"/>
      <c r="B1822"/>
      <c r="C1822"/>
      <c r="D1822"/>
      <c r="E1822"/>
      <c r="F1822"/>
      <c r="G1822"/>
    </row>
    <row r="1823" spans="1:7" x14ac:dyDescent="0.35">
      <c r="A1823"/>
      <c r="B1823"/>
      <c r="C1823"/>
      <c r="D1823"/>
      <c r="E1823"/>
      <c r="F1823"/>
      <c r="G1823"/>
    </row>
    <row r="1824" spans="1:7" x14ac:dyDescent="0.35">
      <c r="A1824"/>
      <c r="B1824"/>
      <c r="C1824"/>
      <c r="D1824"/>
      <c r="E1824"/>
      <c r="F1824"/>
      <c r="G1824"/>
    </row>
    <row r="1825" spans="1:7" x14ac:dyDescent="0.35">
      <c r="A1825"/>
      <c r="B1825"/>
      <c r="C1825"/>
      <c r="D1825"/>
      <c r="E1825"/>
      <c r="F1825"/>
      <c r="G1825"/>
    </row>
    <row r="1826" spans="1:7" x14ac:dyDescent="0.35">
      <c r="A1826"/>
      <c r="B1826"/>
      <c r="C1826"/>
      <c r="D1826"/>
      <c r="E1826"/>
      <c r="F1826"/>
      <c r="G1826"/>
    </row>
    <row r="1827" spans="1:7" x14ac:dyDescent="0.35">
      <c r="A1827"/>
      <c r="B1827"/>
      <c r="C1827"/>
      <c r="D1827"/>
      <c r="E1827"/>
      <c r="F1827"/>
      <c r="G1827"/>
    </row>
    <row r="1828" spans="1:7" x14ac:dyDescent="0.35">
      <c r="A1828"/>
      <c r="B1828"/>
      <c r="C1828"/>
      <c r="D1828"/>
      <c r="E1828"/>
      <c r="F1828"/>
      <c r="G1828"/>
    </row>
    <row r="1829" spans="1:7" x14ac:dyDescent="0.35">
      <c r="A1829"/>
      <c r="B1829"/>
      <c r="C1829"/>
      <c r="D1829"/>
      <c r="E1829"/>
      <c r="F1829"/>
      <c r="G1829"/>
    </row>
    <row r="1830" spans="1:7" x14ac:dyDescent="0.35">
      <c r="A1830"/>
      <c r="B1830"/>
      <c r="C1830"/>
      <c r="D1830"/>
      <c r="E1830"/>
      <c r="F1830"/>
      <c r="G1830"/>
    </row>
    <row r="1831" spans="1:7" x14ac:dyDescent="0.35">
      <c r="A1831"/>
      <c r="B1831"/>
      <c r="C1831"/>
      <c r="D1831"/>
      <c r="E1831"/>
      <c r="F1831"/>
      <c r="G1831"/>
    </row>
    <row r="1832" spans="1:7" x14ac:dyDescent="0.35">
      <c r="A1832"/>
      <c r="B1832"/>
      <c r="C1832"/>
      <c r="D1832"/>
      <c r="E1832"/>
      <c r="F1832"/>
      <c r="G1832"/>
    </row>
    <row r="1833" spans="1:7" x14ac:dyDescent="0.35">
      <c r="A1833"/>
      <c r="B1833"/>
      <c r="C1833"/>
      <c r="D1833"/>
      <c r="E1833"/>
      <c r="F1833"/>
      <c r="G1833"/>
    </row>
    <row r="1834" spans="1:7" x14ac:dyDescent="0.35">
      <c r="A1834"/>
      <c r="B1834"/>
      <c r="C1834"/>
      <c r="D1834"/>
      <c r="E1834"/>
      <c r="F1834"/>
      <c r="G1834"/>
    </row>
    <row r="1835" spans="1:7" x14ac:dyDescent="0.35">
      <c r="A1835"/>
      <c r="B1835"/>
      <c r="C1835"/>
      <c r="D1835"/>
      <c r="E1835"/>
      <c r="F1835"/>
      <c r="G1835"/>
    </row>
    <row r="1836" spans="1:7" x14ac:dyDescent="0.35">
      <c r="A1836"/>
      <c r="B1836"/>
      <c r="C1836"/>
      <c r="D1836"/>
      <c r="E1836"/>
      <c r="F1836"/>
      <c r="G1836"/>
    </row>
    <row r="1837" spans="1:7" x14ac:dyDescent="0.35">
      <c r="A1837"/>
      <c r="B1837"/>
      <c r="C1837"/>
      <c r="D1837"/>
      <c r="E1837"/>
      <c r="F1837"/>
      <c r="G1837"/>
    </row>
    <row r="1838" spans="1:7" x14ac:dyDescent="0.35">
      <c r="A1838"/>
      <c r="B1838"/>
      <c r="C1838"/>
      <c r="D1838"/>
      <c r="E1838"/>
      <c r="F1838"/>
      <c r="G1838"/>
    </row>
    <row r="1839" spans="1:7" x14ac:dyDescent="0.35">
      <c r="A1839"/>
      <c r="B1839"/>
      <c r="C1839"/>
      <c r="D1839"/>
      <c r="E1839"/>
      <c r="F1839"/>
      <c r="G1839"/>
    </row>
    <row r="1840" spans="1:7" x14ac:dyDescent="0.35">
      <c r="A1840"/>
      <c r="B1840"/>
      <c r="C1840"/>
      <c r="D1840"/>
      <c r="E1840"/>
      <c r="F1840"/>
      <c r="G1840"/>
    </row>
    <row r="1841" spans="1:7" x14ac:dyDescent="0.35">
      <c r="A1841"/>
      <c r="B1841"/>
      <c r="C1841"/>
      <c r="D1841"/>
      <c r="E1841"/>
      <c r="F1841"/>
      <c r="G1841"/>
    </row>
    <row r="1842" spans="1:7" x14ac:dyDescent="0.35">
      <c r="A1842"/>
      <c r="B1842"/>
      <c r="C1842"/>
      <c r="D1842"/>
      <c r="E1842"/>
      <c r="F1842"/>
      <c r="G1842"/>
    </row>
    <row r="1843" spans="1:7" x14ac:dyDescent="0.35">
      <c r="A1843"/>
      <c r="B1843"/>
      <c r="C1843"/>
      <c r="D1843"/>
      <c r="E1843"/>
      <c r="F1843"/>
      <c r="G1843"/>
    </row>
    <row r="1844" spans="1:7" x14ac:dyDescent="0.35">
      <c r="A1844"/>
      <c r="B1844"/>
      <c r="C1844"/>
      <c r="D1844"/>
      <c r="E1844"/>
      <c r="F1844"/>
      <c r="G1844"/>
    </row>
    <row r="1845" spans="1:7" x14ac:dyDescent="0.35">
      <c r="A1845"/>
      <c r="B1845"/>
      <c r="C1845"/>
      <c r="D1845"/>
      <c r="E1845"/>
      <c r="F1845"/>
      <c r="G1845"/>
    </row>
    <row r="1846" spans="1:7" x14ac:dyDescent="0.35">
      <c r="A1846"/>
      <c r="B1846"/>
      <c r="C1846"/>
      <c r="D1846"/>
      <c r="E1846"/>
      <c r="F1846"/>
      <c r="G1846"/>
    </row>
    <row r="1847" spans="1:7" x14ac:dyDescent="0.35">
      <c r="A1847"/>
      <c r="B1847"/>
      <c r="C1847"/>
      <c r="D1847"/>
      <c r="E1847"/>
      <c r="F1847"/>
      <c r="G1847"/>
    </row>
    <row r="1848" spans="1:7" x14ac:dyDescent="0.35">
      <c r="A1848"/>
      <c r="B1848"/>
      <c r="C1848"/>
      <c r="D1848"/>
      <c r="E1848"/>
      <c r="F1848"/>
      <c r="G1848"/>
    </row>
    <row r="1849" spans="1:7" x14ac:dyDescent="0.35">
      <c r="A1849"/>
      <c r="B1849"/>
      <c r="C1849"/>
      <c r="D1849"/>
      <c r="E1849"/>
      <c r="F1849"/>
      <c r="G1849"/>
    </row>
    <row r="1850" spans="1:7" x14ac:dyDescent="0.35">
      <c r="A1850"/>
      <c r="B1850"/>
      <c r="C1850"/>
      <c r="D1850"/>
      <c r="E1850"/>
      <c r="F1850"/>
      <c r="G1850"/>
    </row>
    <row r="1851" spans="1:7" x14ac:dyDescent="0.35">
      <c r="A1851"/>
      <c r="B1851"/>
      <c r="C1851"/>
      <c r="D1851"/>
      <c r="E1851"/>
      <c r="F1851"/>
      <c r="G1851"/>
    </row>
    <row r="1852" spans="1:7" x14ac:dyDescent="0.35">
      <c r="A1852"/>
      <c r="B1852"/>
      <c r="C1852"/>
      <c r="D1852"/>
      <c r="E1852"/>
      <c r="F1852"/>
      <c r="G1852"/>
    </row>
    <row r="1853" spans="1:7" x14ac:dyDescent="0.35">
      <c r="A1853"/>
      <c r="B1853"/>
      <c r="C1853"/>
      <c r="D1853"/>
      <c r="E1853"/>
      <c r="F1853"/>
      <c r="G1853"/>
    </row>
    <row r="1854" spans="1:7" x14ac:dyDescent="0.35">
      <c r="A1854"/>
      <c r="B1854"/>
      <c r="C1854"/>
      <c r="D1854"/>
      <c r="E1854"/>
      <c r="F1854"/>
      <c r="G1854"/>
    </row>
    <row r="1855" spans="1:7" x14ac:dyDescent="0.35">
      <c r="A1855"/>
      <c r="B1855"/>
      <c r="C1855"/>
      <c r="D1855"/>
      <c r="E1855"/>
      <c r="F1855"/>
      <c r="G1855"/>
    </row>
    <row r="1856" spans="1:7" x14ac:dyDescent="0.35">
      <c r="A1856"/>
      <c r="B1856"/>
      <c r="C1856"/>
      <c r="D1856"/>
      <c r="E1856"/>
      <c r="F1856"/>
      <c r="G1856"/>
    </row>
    <row r="1857" spans="1:7" x14ac:dyDescent="0.35">
      <c r="A1857"/>
      <c r="B1857"/>
      <c r="C1857"/>
      <c r="D1857"/>
      <c r="E1857"/>
      <c r="F1857"/>
      <c r="G1857"/>
    </row>
    <row r="1858" spans="1:7" x14ac:dyDescent="0.35">
      <c r="A1858"/>
      <c r="B1858"/>
      <c r="C1858"/>
      <c r="D1858"/>
      <c r="E1858"/>
      <c r="F1858"/>
      <c r="G1858"/>
    </row>
    <row r="1859" spans="1:7" x14ac:dyDescent="0.35">
      <c r="A1859"/>
      <c r="B1859"/>
      <c r="C1859"/>
      <c r="D1859"/>
      <c r="E1859"/>
      <c r="F1859"/>
      <c r="G1859"/>
    </row>
    <row r="1860" spans="1:7" x14ac:dyDescent="0.35">
      <c r="A1860"/>
      <c r="B1860"/>
      <c r="C1860"/>
      <c r="D1860"/>
      <c r="E1860"/>
      <c r="F1860"/>
      <c r="G1860"/>
    </row>
    <row r="1861" spans="1:7" x14ac:dyDescent="0.35">
      <c r="A1861"/>
      <c r="B1861"/>
      <c r="C1861"/>
      <c r="D1861"/>
      <c r="E1861"/>
      <c r="F1861"/>
      <c r="G1861"/>
    </row>
    <row r="1862" spans="1:7" x14ac:dyDescent="0.35">
      <c r="A1862"/>
      <c r="B1862"/>
      <c r="C1862"/>
      <c r="D1862"/>
      <c r="E1862"/>
      <c r="F1862"/>
      <c r="G1862"/>
    </row>
    <row r="1863" spans="1:7" x14ac:dyDescent="0.35">
      <c r="A1863"/>
      <c r="B1863"/>
      <c r="C1863"/>
      <c r="D1863"/>
      <c r="E1863"/>
      <c r="F1863"/>
      <c r="G1863"/>
    </row>
    <row r="1864" spans="1:7" x14ac:dyDescent="0.35">
      <c r="A1864"/>
      <c r="B1864"/>
      <c r="C1864"/>
      <c r="D1864"/>
      <c r="E1864"/>
      <c r="F1864"/>
      <c r="G1864"/>
    </row>
    <row r="1865" spans="1:7" x14ac:dyDescent="0.35">
      <c r="A1865"/>
      <c r="B1865"/>
      <c r="C1865"/>
      <c r="D1865"/>
      <c r="E1865"/>
      <c r="F1865"/>
      <c r="G1865"/>
    </row>
    <row r="1866" spans="1:7" x14ac:dyDescent="0.35">
      <c r="A1866"/>
      <c r="B1866"/>
      <c r="C1866"/>
      <c r="D1866"/>
      <c r="E1866"/>
      <c r="F1866"/>
      <c r="G1866"/>
    </row>
    <row r="1867" spans="1:7" x14ac:dyDescent="0.35">
      <c r="A1867"/>
      <c r="B1867"/>
      <c r="C1867"/>
      <c r="D1867"/>
      <c r="E1867"/>
      <c r="F1867"/>
      <c r="G1867"/>
    </row>
    <row r="1868" spans="1:7" x14ac:dyDescent="0.35">
      <c r="A1868"/>
      <c r="B1868"/>
      <c r="C1868"/>
      <c r="D1868"/>
      <c r="E1868"/>
      <c r="F1868"/>
      <c r="G1868"/>
    </row>
    <row r="1869" spans="1:7" x14ac:dyDescent="0.35">
      <c r="A1869"/>
      <c r="B1869"/>
      <c r="C1869"/>
      <c r="D1869"/>
      <c r="E1869"/>
      <c r="F1869"/>
      <c r="G1869"/>
    </row>
    <row r="1870" spans="1:7" x14ac:dyDescent="0.35">
      <c r="A1870"/>
      <c r="B1870"/>
      <c r="C1870"/>
      <c r="D1870"/>
      <c r="E1870"/>
      <c r="F1870"/>
      <c r="G1870"/>
    </row>
    <row r="1871" spans="1:7" x14ac:dyDescent="0.35">
      <c r="A1871"/>
      <c r="B1871"/>
      <c r="C1871"/>
      <c r="D1871"/>
      <c r="E1871"/>
      <c r="F1871"/>
      <c r="G1871"/>
    </row>
    <row r="1872" spans="1:7" x14ac:dyDescent="0.35">
      <c r="A1872"/>
      <c r="B1872"/>
      <c r="C1872"/>
      <c r="D1872"/>
      <c r="E1872"/>
      <c r="F1872"/>
      <c r="G1872"/>
    </row>
    <row r="1873" spans="1:7" x14ac:dyDescent="0.35">
      <c r="A1873"/>
      <c r="B1873"/>
      <c r="C1873"/>
      <c r="D1873"/>
      <c r="E1873"/>
      <c r="F1873"/>
      <c r="G1873"/>
    </row>
    <row r="1874" spans="1:7" x14ac:dyDescent="0.35">
      <c r="A1874"/>
      <c r="B1874"/>
      <c r="C1874"/>
      <c r="D1874"/>
      <c r="E1874"/>
      <c r="F1874"/>
      <c r="G1874"/>
    </row>
    <row r="1875" spans="1:7" x14ac:dyDescent="0.35">
      <c r="A1875"/>
      <c r="B1875"/>
      <c r="C1875"/>
      <c r="D1875"/>
      <c r="E1875"/>
      <c r="F1875"/>
      <c r="G1875"/>
    </row>
    <row r="1876" spans="1:7" x14ac:dyDescent="0.35">
      <c r="A1876"/>
      <c r="B1876"/>
      <c r="C1876"/>
      <c r="D1876"/>
      <c r="E1876"/>
      <c r="F1876"/>
      <c r="G1876"/>
    </row>
    <row r="1877" spans="1:7" x14ac:dyDescent="0.35">
      <c r="A1877"/>
      <c r="B1877"/>
      <c r="C1877"/>
      <c r="D1877"/>
      <c r="E1877"/>
      <c r="F1877"/>
      <c r="G1877"/>
    </row>
    <row r="1878" spans="1:7" x14ac:dyDescent="0.35">
      <c r="A1878"/>
      <c r="B1878"/>
      <c r="C1878"/>
      <c r="D1878"/>
      <c r="E1878"/>
      <c r="F1878"/>
      <c r="G1878"/>
    </row>
    <row r="1879" spans="1:7" x14ac:dyDescent="0.35">
      <c r="A1879"/>
      <c r="B1879"/>
      <c r="C1879"/>
      <c r="D1879"/>
      <c r="E1879"/>
      <c r="F1879"/>
      <c r="G1879"/>
    </row>
    <row r="1880" spans="1:7" x14ac:dyDescent="0.35">
      <c r="A1880"/>
      <c r="B1880"/>
      <c r="C1880"/>
      <c r="D1880"/>
      <c r="E1880"/>
      <c r="F1880"/>
      <c r="G1880"/>
    </row>
    <row r="1881" spans="1:7" x14ac:dyDescent="0.35">
      <c r="A1881"/>
      <c r="B1881"/>
      <c r="C1881"/>
      <c r="D1881"/>
      <c r="E1881"/>
      <c r="F1881"/>
      <c r="G1881"/>
    </row>
    <row r="1882" spans="1:7" x14ac:dyDescent="0.35">
      <c r="A1882"/>
      <c r="B1882"/>
      <c r="C1882"/>
      <c r="D1882"/>
      <c r="E1882"/>
      <c r="F1882"/>
      <c r="G1882"/>
    </row>
    <row r="1883" spans="1:7" x14ac:dyDescent="0.35">
      <c r="A1883"/>
      <c r="B1883"/>
      <c r="C1883"/>
      <c r="D1883"/>
      <c r="E1883"/>
      <c r="F1883"/>
      <c r="G1883"/>
    </row>
    <row r="1884" spans="1:7" x14ac:dyDescent="0.35">
      <c r="A1884"/>
      <c r="B1884"/>
      <c r="C1884"/>
      <c r="D1884"/>
      <c r="E1884"/>
      <c r="F1884"/>
      <c r="G1884"/>
    </row>
    <row r="1885" spans="1:7" x14ac:dyDescent="0.35">
      <c r="A1885"/>
      <c r="B1885"/>
      <c r="C1885"/>
      <c r="D1885"/>
      <c r="E1885"/>
      <c r="F1885"/>
      <c r="G1885"/>
    </row>
    <row r="1886" spans="1:7" x14ac:dyDescent="0.35">
      <c r="A1886"/>
      <c r="B1886"/>
      <c r="C1886"/>
      <c r="D1886"/>
      <c r="E1886"/>
      <c r="F1886"/>
      <c r="G1886"/>
    </row>
    <row r="1887" spans="1:7" x14ac:dyDescent="0.35">
      <c r="A1887"/>
      <c r="B1887"/>
      <c r="C1887"/>
      <c r="D1887"/>
      <c r="E1887"/>
      <c r="F1887"/>
      <c r="G1887"/>
    </row>
    <row r="1888" spans="1:7" x14ac:dyDescent="0.35">
      <c r="A1888"/>
      <c r="B1888"/>
      <c r="C1888"/>
      <c r="D1888"/>
      <c r="E1888"/>
      <c r="F1888"/>
      <c r="G1888"/>
    </row>
    <row r="1889" spans="1:7" x14ac:dyDescent="0.35">
      <c r="A1889"/>
      <c r="B1889"/>
      <c r="C1889"/>
      <c r="D1889"/>
      <c r="E1889"/>
      <c r="F1889"/>
      <c r="G1889"/>
    </row>
    <row r="1890" spans="1:7" x14ac:dyDescent="0.35">
      <c r="A1890"/>
      <c r="B1890"/>
      <c r="C1890"/>
      <c r="D1890"/>
      <c r="E1890"/>
      <c r="F1890"/>
      <c r="G1890"/>
    </row>
    <row r="1891" spans="1:7" x14ac:dyDescent="0.35">
      <c r="A1891"/>
      <c r="B1891"/>
      <c r="C1891"/>
      <c r="D1891"/>
      <c r="E1891"/>
      <c r="F1891"/>
      <c r="G1891"/>
    </row>
    <row r="1892" spans="1:7" x14ac:dyDescent="0.35">
      <c r="A1892"/>
      <c r="B1892"/>
      <c r="C1892"/>
      <c r="D1892"/>
      <c r="E1892"/>
      <c r="F1892"/>
      <c r="G1892"/>
    </row>
    <row r="1893" spans="1:7" x14ac:dyDescent="0.35">
      <c r="A1893"/>
      <c r="B1893"/>
      <c r="C1893"/>
      <c r="D1893"/>
      <c r="E1893"/>
      <c r="F1893"/>
      <c r="G1893"/>
    </row>
    <row r="1894" spans="1:7" x14ac:dyDescent="0.35">
      <c r="A1894"/>
      <c r="B1894"/>
      <c r="C1894"/>
      <c r="D1894"/>
      <c r="E1894"/>
      <c r="F1894"/>
      <c r="G1894"/>
    </row>
    <row r="1895" spans="1:7" x14ac:dyDescent="0.35">
      <c r="A1895"/>
      <c r="B1895"/>
      <c r="C1895"/>
      <c r="D1895"/>
      <c r="E1895"/>
      <c r="F1895"/>
      <c r="G1895"/>
    </row>
    <row r="1896" spans="1:7" x14ac:dyDescent="0.35">
      <c r="A1896"/>
      <c r="B1896"/>
      <c r="C1896"/>
      <c r="D1896"/>
      <c r="E1896"/>
      <c r="F1896"/>
      <c r="G1896"/>
    </row>
    <row r="1897" spans="1:7" x14ac:dyDescent="0.35">
      <c r="A1897"/>
      <c r="B1897"/>
      <c r="C1897"/>
      <c r="D1897"/>
      <c r="E1897"/>
      <c r="F1897"/>
      <c r="G1897"/>
    </row>
    <row r="1898" spans="1:7" x14ac:dyDescent="0.35">
      <c r="A1898"/>
      <c r="B1898"/>
      <c r="C1898"/>
      <c r="D1898"/>
      <c r="E1898"/>
      <c r="F1898"/>
      <c r="G1898"/>
    </row>
    <row r="1899" spans="1:7" x14ac:dyDescent="0.35">
      <c r="A1899"/>
      <c r="B1899"/>
      <c r="C1899"/>
      <c r="D1899"/>
      <c r="E1899"/>
      <c r="F1899"/>
      <c r="G1899"/>
    </row>
    <row r="1900" spans="1:7" x14ac:dyDescent="0.35">
      <c r="A1900"/>
      <c r="B1900"/>
      <c r="C1900"/>
      <c r="D1900"/>
      <c r="E1900"/>
      <c r="F1900"/>
      <c r="G1900"/>
    </row>
    <row r="1901" spans="1:7" x14ac:dyDescent="0.35">
      <c r="A1901"/>
      <c r="B1901"/>
      <c r="C1901"/>
      <c r="D1901"/>
      <c r="E1901"/>
      <c r="F1901"/>
      <c r="G1901"/>
    </row>
    <row r="1902" spans="1:7" x14ac:dyDescent="0.35">
      <c r="A1902"/>
      <c r="B1902"/>
      <c r="C1902"/>
      <c r="D1902"/>
      <c r="E1902"/>
      <c r="F1902"/>
      <c r="G1902"/>
    </row>
    <row r="1903" spans="1:7" x14ac:dyDescent="0.35">
      <c r="A1903"/>
      <c r="B1903"/>
      <c r="C1903"/>
      <c r="D1903"/>
      <c r="E1903"/>
      <c r="F1903"/>
      <c r="G1903"/>
    </row>
    <row r="1904" spans="1:7" x14ac:dyDescent="0.35">
      <c r="A1904"/>
      <c r="B1904"/>
      <c r="C1904"/>
      <c r="D1904"/>
      <c r="E1904"/>
      <c r="F1904"/>
      <c r="G1904"/>
    </row>
    <row r="1905" spans="1:7" x14ac:dyDescent="0.35">
      <c r="A1905"/>
      <c r="B1905"/>
      <c r="C1905"/>
      <c r="D1905"/>
      <c r="E1905"/>
      <c r="F1905"/>
      <c r="G1905"/>
    </row>
    <row r="1906" spans="1:7" x14ac:dyDescent="0.35">
      <c r="A1906"/>
      <c r="B1906"/>
      <c r="C1906"/>
      <c r="D1906"/>
      <c r="E1906"/>
      <c r="F1906"/>
      <c r="G1906"/>
    </row>
    <row r="1907" spans="1:7" x14ac:dyDescent="0.35">
      <c r="A1907"/>
      <c r="B1907"/>
      <c r="C1907"/>
      <c r="D1907"/>
      <c r="E1907"/>
      <c r="F1907"/>
      <c r="G1907"/>
    </row>
    <row r="1908" spans="1:7" x14ac:dyDescent="0.35">
      <c r="A1908"/>
      <c r="B1908"/>
      <c r="C1908"/>
      <c r="D1908"/>
      <c r="E1908"/>
      <c r="F1908"/>
      <c r="G1908"/>
    </row>
    <row r="1909" spans="1:7" x14ac:dyDescent="0.35">
      <c r="A1909"/>
      <c r="B1909"/>
      <c r="C1909"/>
      <c r="D1909"/>
      <c r="E1909"/>
      <c r="F1909"/>
      <c r="G1909"/>
    </row>
    <row r="1910" spans="1:7" x14ac:dyDescent="0.35">
      <c r="A1910"/>
      <c r="B1910"/>
      <c r="C1910"/>
      <c r="D1910"/>
      <c r="E1910"/>
      <c r="F1910"/>
      <c r="G1910"/>
    </row>
    <row r="1911" spans="1:7" x14ac:dyDescent="0.35">
      <c r="A1911"/>
      <c r="B1911"/>
      <c r="C1911"/>
      <c r="D1911"/>
      <c r="E1911"/>
      <c r="F1911"/>
      <c r="G1911"/>
    </row>
    <row r="1912" spans="1:7" x14ac:dyDescent="0.35">
      <c r="A1912"/>
      <c r="B1912"/>
      <c r="C1912"/>
      <c r="D1912"/>
      <c r="E1912"/>
      <c r="F1912"/>
      <c r="G1912"/>
    </row>
    <row r="1913" spans="1:7" x14ac:dyDescent="0.35">
      <c r="A1913"/>
      <c r="B1913"/>
      <c r="C1913"/>
      <c r="D1913"/>
      <c r="E1913"/>
      <c r="F1913"/>
      <c r="G1913"/>
    </row>
    <row r="1914" spans="1:7" x14ac:dyDescent="0.35">
      <c r="A1914"/>
      <c r="B1914"/>
      <c r="C1914"/>
      <c r="D1914"/>
      <c r="E1914"/>
      <c r="F1914"/>
      <c r="G1914"/>
    </row>
    <row r="1915" spans="1:7" x14ac:dyDescent="0.35">
      <c r="A1915"/>
      <c r="B1915"/>
      <c r="C1915"/>
      <c r="D1915"/>
      <c r="E1915"/>
      <c r="F1915"/>
      <c r="G1915"/>
    </row>
    <row r="1916" spans="1:7" x14ac:dyDescent="0.35">
      <c r="A1916"/>
      <c r="B1916"/>
      <c r="C1916"/>
      <c r="D1916"/>
      <c r="E1916"/>
      <c r="F1916"/>
      <c r="G1916"/>
    </row>
    <row r="1917" spans="1:7" x14ac:dyDescent="0.35">
      <c r="A1917"/>
      <c r="B1917"/>
      <c r="C1917"/>
      <c r="D1917"/>
      <c r="E1917"/>
      <c r="F1917"/>
      <c r="G1917"/>
    </row>
    <row r="1918" spans="1:7" x14ac:dyDescent="0.35">
      <c r="A1918"/>
      <c r="B1918"/>
      <c r="C1918"/>
      <c r="D1918"/>
      <c r="E1918"/>
      <c r="F1918"/>
      <c r="G1918"/>
    </row>
    <row r="1919" spans="1:7" x14ac:dyDescent="0.35">
      <c r="A1919"/>
      <c r="B1919"/>
      <c r="C1919"/>
      <c r="D1919"/>
      <c r="E1919"/>
      <c r="F1919"/>
      <c r="G1919"/>
    </row>
    <row r="1920" spans="1:7" x14ac:dyDescent="0.35">
      <c r="A1920"/>
      <c r="B1920"/>
      <c r="C1920"/>
      <c r="D1920"/>
      <c r="E1920"/>
      <c r="F1920"/>
      <c r="G1920"/>
    </row>
    <row r="1921" spans="1:9" x14ac:dyDescent="0.35">
      <c r="A1921"/>
      <c r="B1921"/>
      <c r="C1921"/>
      <c r="D1921"/>
      <c r="E1921"/>
      <c r="F1921"/>
      <c r="G1921"/>
    </row>
    <row r="1922" spans="1:9" x14ac:dyDescent="0.35">
      <c r="A1922"/>
      <c r="B1922"/>
      <c r="C1922"/>
      <c r="D1922"/>
      <c r="E1922"/>
      <c r="F1922"/>
      <c r="G1922"/>
    </row>
    <row r="1923" spans="1:9" x14ac:dyDescent="0.35">
      <c r="A1923"/>
      <c r="B1923"/>
      <c r="C1923"/>
      <c r="D1923"/>
      <c r="E1923"/>
      <c r="F1923"/>
      <c r="G1923"/>
    </row>
    <row r="1924" spans="1:9" x14ac:dyDescent="0.35">
      <c r="A1924"/>
      <c r="B1924"/>
      <c r="C1924"/>
      <c r="D1924"/>
      <c r="E1924"/>
      <c r="F1924"/>
      <c r="G1924"/>
    </row>
    <row r="1925" spans="1:9" x14ac:dyDescent="0.35">
      <c r="A1925"/>
      <c r="B1925"/>
      <c r="C1925"/>
      <c r="D1925"/>
      <c r="E1925"/>
      <c r="F1925"/>
      <c r="G1925"/>
    </row>
    <row r="1926" spans="1:9" x14ac:dyDescent="0.35">
      <c r="A1926"/>
      <c r="B1926"/>
      <c r="C1926"/>
      <c r="D1926"/>
      <c r="E1926"/>
      <c r="F1926"/>
      <c r="G1926"/>
    </row>
    <row r="1927" spans="1:9" x14ac:dyDescent="0.35">
      <c r="A1927"/>
      <c r="B1927"/>
      <c r="C1927"/>
      <c r="D1927"/>
      <c r="E1927"/>
      <c r="F1927"/>
      <c r="G1927"/>
    </row>
    <row r="1928" spans="1:9" x14ac:dyDescent="0.35">
      <c r="A1928"/>
      <c r="B1928"/>
      <c r="C1928"/>
      <c r="D1928"/>
      <c r="E1928"/>
      <c r="F1928"/>
      <c r="G1928"/>
    </row>
    <row r="1929" spans="1:9" x14ac:dyDescent="0.35">
      <c r="A1929"/>
      <c r="B1929"/>
      <c r="C1929"/>
      <c r="D1929"/>
      <c r="E1929"/>
      <c r="F1929"/>
      <c r="G1929"/>
    </row>
    <row r="1930" spans="1:9" x14ac:dyDescent="0.35">
      <c r="A1930"/>
      <c r="B1930"/>
      <c r="C1930"/>
      <c r="D1930"/>
      <c r="E1930"/>
      <c r="F1930"/>
      <c r="G1930"/>
    </row>
    <row r="1931" spans="1:9" x14ac:dyDescent="0.35">
      <c r="A1931"/>
      <c r="B1931"/>
      <c r="C1931"/>
      <c r="D1931"/>
      <c r="E1931"/>
      <c r="F1931"/>
      <c r="G1931"/>
      <c r="I1931" s="274"/>
    </row>
    <row r="1932" spans="1:9" x14ac:dyDescent="0.35">
      <c r="A1932"/>
      <c r="B1932"/>
      <c r="C1932"/>
      <c r="D1932"/>
      <c r="E1932"/>
      <c r="F1932"/>
      <c r="G1932"/>
    </row>
    <row r="1933" spans="1:9" x14ac:dyDescent="0.35">
      <c r="A1933"/>
      <c r="B1933"/>
      <c r="C1933"/>
      <c r="D1933"/>
      <c r="E1933"/>
      <c r="F1933"/>
      <c r="G1933"/>
    </row>
    <row r="1934" spans="1:9" x14ac:dyDescent="0.35">
      <c r="A1934"/>
      <c r="B1934"/>
      <c r="C1934"/>
      <c r="D1934"/>
      <c r="E1934"/>
      <c r="F1934"/>
      <c r="G1934"/>
    </row>
    <row r="1935" spans="1:9" x14ac:dyDescent="0.35">
      <c r="A1935"/>
      <c r="B1935"/>
      <c r="C1935"/>
      <c r="D1935"/>
      <c r="E1935"/>
      <c r="F1935"/>
      <c r="G1935"/>
    </row>
    <row r="1936" spans="1:9" x14ac:dyDescent="0.35">
      <c r="A1936"/>
      <c r="B1936"/>
      <c r="C1936"/>
      <c r="D1936"/>
      <c r="E1936"/>
      <c r="F1936"/>
      <c r="G1936"/>
    </row>
    <row r="1937" spans="1:7" x14ac:dyDescent="0.35">
      <c r="A1937"/>
      <c r="B1937"/>
      <c r="C1937"/>
      <c r="D1937"/>
      <c r="E1937"/>
      <c r="F1937"/>
      <c r="G1937"/>
    </row>
    <row r="1938" spans="1:7" x14ac:dyDescent="0.35">
      <c r="A1938"/>
      <c r="B1938"/>
      <c r="C1938"/>
      <c r="D1938"/>
      <c r="E1938"/>
      <c r="F1938"/>
      <c r="G1938"/>
    </row>
    <row r="1939" spans="1:7" x14ac:dyDescent="0.35">
      <c r="A1939"/>
      <c r="B1939"/>
      <c r="C1939"/>
      <c r="D1939"/>
      <c r="E1939"/>
      <c r="F1939"/>
      <c r="G1939"/>
    </row>
    <row r="1940" spans="1:7" x14ac:dyDescent="0.35">
      <c r="A1940"/>
      <c r="B1940"/>
      <c r="C1940"/>
      <c r="D1940"/>
      <c r="E1940"/>
      <c r="F1940"/>
      <c r="G1940"/>
    </row>
    <row r="1941" spans="1:7" x14ac:dyDescent="0.35">
      <c r="A1941"/>
      <c r="B1941"/>
      <c r="C1941"/>
      <c r="D1941"/>
      <c r="E1941"/>
      <c r="F1941"/>
      <c r="G1941"/>
    </row>
    <row r="1942" spans="1:7" x14ac:dyDescent="0.35">
      <c r="A1942"/>
      <c r="B1942"/>
      <c r="C1942"/>
      <c r="D1942"/>
      <c r="E1942"/>
      <c r="F1942"/>
      <c r="G1942"/>
    </row>
    <row r="1943" spans="1:7" x14ac:dyDescent="0.35">
      <c r="A1943"/>
      <c r="B1943"/>
      <c r="C1943"/>
      <c r="D1943"/>
      <c r="E1943"/>
      <c r="F1943"/>
      <c r="G1943"/>
    </row>
    <row r="1944" spans="1:7" x14ac:dyDescent="0.35">
      <c r="A1944"/>
      <c r="B1944"/>
      <c r="C1944"/>
      <c r="D1944"/>
      <c r="E1944"/>
      <c r="F1944"/>
      <c r="G1944"/>
    </row>
    <row r="1945" spans="1:7" x14ac:dyDescent="0.35">
      <c r="A1945"/>
      <c r="B1945"/>
      <c r="C1945"/>
      <c r="D1945"/>
      <c r="E1945"/>
      <c r="F1945"/>
      <c r="G1945"/>
    </row>
    <row r="1946" spans="1:7" x14ac:dyDescent="0.35">
      <c r="A1946"/>
      <c r="B1946"/>
      <c r="C1946"/>
      <c r="D1946"/>
      <c r="E1946"/>
      <c r="F1946"/>
      <c r="G1946"/>
    </row>
    <row r="1947" spans="1:7" x14ac:dyDescent="0.35">
      <c r="A1947"/>
      <c r="B1947"/>
      <c r="C1947"/>
      <c r="D1947"/>
      <c r="E1947"/>
      <c r="F1947"/>
      <c r="G1947"/>
    </row>
    <row r="1948" spans="1:7" x14ac:dyDescent="0.35">
      <c r="A1948"/>
      <c r="B1948"/>
      <c r="C1948"/>
      <c r="D1948"/>
      <c r="E1948"/>
      <c r="F1948"/>
      <c r="G1948"/>
    </row>
    <row r="1949" spans="1:7" x14ac:dyDescent="0.35">
      <c r="A1949"/>
      <c r="B1949"/>
      <c r="C1949"/>
      <c r="D1949"/>
      <c r="E1949"/>
      <c r="F1949"/>
      <c r="G1949"/>
    </row>
    <row r="1950" spans="1:7" x14ac:dyDescent="0.35">
      <c r="A1950"/>
      <c r="B1950"/>
      <c r="C1950"/>
      <c r="D1950"/>
      <c r="E1950"/>
      <c r="F1950"/>
      <c r="G1950"/>
    </row>
    <row r="1951" spans="1:7" x14ac:dyDescent="0.35">
      <c r="A1951"/>
      <c r="B1951"/>
      <c r="C1951"/>
      <c r="D1951"/>
      <c r="E1951"/>
      <c r="F1951"/>
      <c r="G1951"/>
    </row>
    <row r="1952" spans="1:7" x14ac:dyDescent="0.35">
      <c r="A1952"/>
      <c r="B1952"/>
      <c r="C1952"/>
      <c r="D1952"/>
      <c r="E1952"/>
      <c r="F1952"/>
      <c r="G1952"/>
    </row>
    <row r="1953" spans="1:7" x14ac:dyDescent="0.35">
      <c r="A1953"/>
      <c r="B1953"/>
      <c r="C1953"/>
      <c r="D1953"/>
      <c r="E1953"/>
      <c r="F1953"/>
      <c r="G1953"/>
    </row>
    <row r="1954" spans="1:7" x14ac:dyDescent="0.35">
      <c r="A1954"/>
      <c r="B1954"/>
      <c r="C1954"/>
      <c r="D1954"/>
      <c r="E1954"/>
      <c r="F1954"/>
      <c r="G1954"/>
    </row>
    <row r="1955" spans="1:7" x14ac:dyDescent="0.35">
      <c r="A1955"/>
      <c r="B1955"/>
      <c r="C1955"/>
      <c r="D1955"/>
      <c r="E1955"/>
      <c r="F1955"/>
      <c r="G1955"/>
    </row>
    <row r="1956" spans="1:7" x14ac:dyDescent="0.35">
      <c r="A1956"/>
      <c r="B1956"/>
      <c r="C1956"/>
      <c r="D1956"/>
      <c r="E1956"/>
      <c r="F1956"/>
      <c r="G1956"/>
    </row>
    <row r="1957" spans="1:7" x14ac:dyDescent="0.35">
      <c r="A1957"/>
      <c r="B1957"/>
      <c r="C1957"/>
      <c r="D1957"/>
      <c r="E1957"/>
      <c r="F1957"/>
      <c r="G1957"/>
    </row>
    <row r="1958" spans="1:7" x14ac:dyDescent="0.35">
      <c r="A1958"/>
      <c r="B1958"/>
      <c r="C1958"/>
      <c r="D1958"/>
      <c r="E1958"/>
      <c r="F1958"/>
      <c r="G1958"/>
    </row>
    <row r="1959" spans="1:7" x14ac:dyDescent="0.35">
      <c r="A1959"/>
      <c r="B1959"/>
      <c r="C1959"/>
      <c r="D1959"/>
      <c r="E1959"/>
      <c r="F1959"/>
      <c r="G1959"/>
    </row>
    <row r="1960" spans="1:7" x14ac:dyDescent="0.35">
      <c r="A1960"/>
      <c r="B1960"/>
      <c r="C1960"/>
      <c r="D1960"/>
      <c r="E1960"/>
      <c r="F1960"/>
      <c r="G1960"/>
    </row>
    <row r="1961" spans="1:7" x14ac:dyDescent="0.35">
      <c r="A1961"/>
      <c r="B1961"/>
      <c r="C1961"/>
      <c r="D1961"/>
      <c r="E1961"/>
      <c r="F1961"/>
      <c r="G1961"/>
    </row>
    <row r="1962" spans="1:7" x14ac:dyDescent="0.35">
      <c r="A1962"/>
      <c r="B1962"/>
      <c r="C1962"/>
      <c r="D1962"/>
      <c r="E1962"/>
      <c r="F1962"/>
      <c r="G1962"/>
    </row>
    <row r="1963" spans="1:7" x14ac:dyDescent="0.35">
      <c r="A1963"/>
      <c r="B1963"/>
      <c r="C1963"/>
      <c r="D1963"/>
      <c r="E1963"/>
      <c r="F1963"/>
      <c r="G1963"/>
    </row>
    <row r="1964" spans="1:7" x14ac:dyDescent="0.35">
      <c r="A1964"/>
      <c r="B1964"/>
      <c r="C1964"/>
      <c r="D1964"/>
      <c r="E1964"/>
      <c r="F1964"/>
      <c r="G1964"/>
    </row>
    <row r="1965" spans="1:7" x14ac:dyDescent="0.35">
      <c r="A1965"/>
      <c r="B1965"/>
      <c r="C1965"/>
      <c r="D1965"/>
      <c r="E1965"/>
      <c r="F1965"/>
      <c r="G1965"/>
    </row>
    <row r="1966" spans="1:7" x14ac:dyDescent="0.35">
      <c r="A1966"/>
      <c r="B1966"/>
      <c r="C1966"/>
      <c r="D1966"/>
      <c r="E1966"/>
      <c r="F1966"/>
      <c r="G1966"/>
    </row>
    <row r="1967" spans="1:7" x14ac:dyDescent="0.35">
      <c r="A1967"/>
      <c r="B1967"/>
      <c r="C1967"/>
      <c r="D1967"/>
      <c r="E1967"/>
      <c r="F1967"/>
      <c r="G1967"/>
    </row>
    <row r="1968" spans="1:7" x14ac:dyDescent="0.35">
      <c r="A1968"/>
      <c r="B1968"/>
      <c r="C1968"/>
      <c r="D1968"/>
      <c r="E1968"/>
      <c r="F1968"/>
      <c r="G1968"/>
    </row>
    <row r="1969" spans="1:7" x14ac:dyDescent="0.35">
      <c r="A1969"/>
      <c r="B1969"/>
      <c r="C1969"/>
      <c r="D1969"/>
      <c r="E1969"/>
      <c r="F1969"/>
      <c r="G1969"/>
    </row>
    <row r="1970" spans="1:7" x14ac:dyDescent="0.35">
      <c r="A1970"/>
      <c r="B1970"/>
      <c r="C1970"/>
      <c r="D1970"/>
      <c r="E1970"/>
      <c r="F1970"/>
      <c r="G1970"/>
    </row>
    <row r="1971" spans="1:7" x14ac:dyDescent="0.35">
      <c r="A1971"/>
      <c r="B1971"/>
      <c r="C1971"/>
      <c r="D1971"/>
      <c r="E1971"/>
      <c r="F1971"/>
      <c r="G1971"/>
    </row>
    <row r="1972" spans="1:7" x14ac:dyDescent="0.35">
      <c r="A1972"/>
      <c r="B1972"/>
      <c r="C1972"/>
      <c r="D1972"/>
      <c r="E1972"/>
      <c r="F1972"/>
      <c r="G1972"/>
    </row>
    <row r="1973" spans="1:7" x14ac:dyDescent="0.35">
      <c r="A1973"/>
      <c r="B1973"/>
      <c r="C1973"/>
      <c r="D1973"/>
      <c r="E1973"/>
      <c r="F1973"/>
      <c r="G1973"/>
    </row>
    <row r="1974" spans="1:7" x14ac:dyDescent="0.35">
      <c r="A1974"/>
      <c r="B1974"/>
      <c r="C1974"/>
      <c r="D1974"/>
      <c r="E1974"/>
      <c r="F1974"/>
      <c r="G1974"/>
    </row>
    <row r="1975" spans="1:7" x14ac:dyDescent="0.35">
      <c r="A1975"/>
      <c r="B1975"/>
      <c r="C1975"/>
      <c r="D1975"/>
      <c r="E1975"/>
      <c r="F1975"/>
      <c r="G1975"/>
    </row>
    <row r="1976" spans="1:7" x14ac:dyDescent="0.35">
      <c r="A1976"/>
      <c r="B1976"/>
      <c r="C1976"/>
      <c r="D1976"/>
      <c r="E1976"/>
      <c r="F1976"/>
      <c r="G1976"/>
    </row>
    <row r="1977" spans="1:7" x14ac:dyDescent="0.35">
      <c r="A1977"/>
      <c r="B1977"/>
      <c r="C1977"/>
      <c r="D1977"/>
      <c r="E1977"/>
      <c r="F1977"/>
      <c r="G1977"/>
    </row>
    <row r="1978" spans="1:7" x14ac:dyDescent="0.35">
      <c r="A1978"/>
      <c r="B1978"/>
      <c r="C1978"/>
      <c r="D1978"/>
      <c r="E1978"/>
      <c r="F1978"/>
      <c r="G1978"/>
    </row>
    <row r="1979" spans="1:7" x14ac:dyDescent="0.35">
      <c r="A1979"/>
      <c r="B1979"/>
      <c r="C1979"/>
      <c r="D1979"/>
      <c r="E1979"/>
      <c r="F1979"/>
      <c r="G1979"/>
    </row>
    <row r="1980" spans="1:7" x14ac:dyDescent="0.35">
      <c r="A1980"/>
      <c r="B1980"/>
      <c r="C1980"/>
      <c r="D1980"/>
      <c r="E1980"/>
      <c r="F1980"/>
      <c r="G1980"/>
    </row>
    <row r="1981" spans="1:7" x14ac:dyDescent="0.35">
      <c r="A1981"/>
      <c r="B1981"/>
      <c r="C1981"/>
      <c r="D1981"/>
      <c r="E1981"/>
      <c r="F1981"/>
      <c r="G1981"/>
    </row>
    <row r="1982" spans="1:7" x14ac:dyDescent="0.35">
      <c r="A1982"/>
      <c r="B1982"/>
      <c r="C1982"/>
      <c r="D1982"/>
      <c r="E1982"/>
      <c r="F1982"/>
      <c r="G1982"/>
    </row>
    <row r="1983" spans="1:7" x14ac:dyDescent="0.35">
      <c r="A1983"/>
      <c r="B1983"/>
      <c r="C1983"/>
      <c r="D1983"/>
      <c r="E1983"/>
      <c r="F1983"/>
      <c r="G1983"/>
    </row>
    <row r="1984" spans="1:7" x14ac:dyDescent="0.35">
      <c r="A1984"/>
      <c r="B1984"/>
      <c r="C1984"/>
      <c r="D1984"/>
      <c r="E1984"/>
      <c r="F1984"/>
      <c r="G1984"/>
    </row>
    <row r="1985" spans="1:7" x14ac:dyDescent="0.35">
      <c r="A1985"/>
      <c r="B1985"/>
      <c r="C1985"/>
      <c r="D1985"/>
      <c r="E1985"/>
      <c r="F1985"/>
      <c r="G1985"/>
    </row>
    <row r="1986" spans="1:7" x14ac:dyDescent="0.35">
      <c r="A1986"/>
      <c r="B1986"/>
      <c r="C1986"/>
      <c r="D1986"/>
      <c r="E1986"/>
      <c r="F1986"/>
      <c r="G1986"/>
    </row>
    <row r="1987" spans="1:7" x14ac:dyDescent="0.35">
      <c r="A1987"/>
      <c r="B1987"/>
      <c r="C1987"/>
      <c r="D1987"/>
      <c r="E1987"/>
      <c r="F1987"/>
      <c r="G1987"/>
    </row>
    <row r="1988" spans="1:7" x14ac:dyDescent="0.35">
      <c r="A1988"/>
      <c r="B1988"/>
      <c r="C1988"/>
      <c r="D1988"/>
      <c r="E1988"/>
      <c r="F1988"/>
      <c r="G1988"/>
    </row>
    <row r="1989" spans="1:7" x14ac:dyDescent="0.35">
      <c r="A1989"/>
      <c r="B1989"/>
      <c r="C1989"/>
      <c r="D1989"/>
      <c r="E1989"/>
      <c r="F1989"/>
      <c r="G1989"/>
    </row>
    <row r="1990" spans="1:7" x14ac:dyDescent="0.35">
      <c r="A1990"/>
      <c r="B1990"/>
      <c r="C1990"/>
      <c r="D1990"/>
      <c r="E1990"/>
      <c r="F1990"/>
      <c r="G1990"/>
    </row>
    <row r="1991" spans="1:7" x14ac:dyDescent="0.35">
      <c r="A1991"/>
      <c r="B1991"/>
      <c r="C1991"/>
      <c r="D1991"/>
      <c r="E1991"/>
      <c r="F1991"/>
      <c r="G1991"/>
    </row>
    <row r="1992" spans="1:7" x14ac:dyDescent="0.35">
      <c r="A1992"/>
      <c r="B1992"/>
      <c r="C1992"/>
      <c r="D1992"/>
      <c r="E1992"/>
      <c r="F1992"/>
      <c r="G1992"/>
    </row>
    <row r="1993" spans="1:7" x14ac:dyDescent="0.35">
      <c r="A1993"/>
      <c r="B1993"/>
      <c r="C1993"/>
      <c r="D1993"/>
      <c r="E1993"/>
      <c r="F1993"/>
      <c r="G1993"/>
    </row>
    <row r="1994" spans="1:7" x14ac:dyDescent="0.35">
      <c r="A1994"/>
      <c r="B1994"/>
      <c r="C1994"/>
      <c r="D1994"/>
      <c r="E1994"/>
      <c r="F1994"/>
      <c r="G1994"/>
    </row>
    <row r="1995" spans="1:7" x14ac:dyDescent="0.35">
      <c r="A1995"/>
      <c r="B1995"/>
      <c r="C1995"/>
      <c r="D1995"/>
      <c r="E1995"/>
      <c r="F1995"/>
      <c r="G1995"/>
    </row>
    <row r="1996" spans="1:7" x14ac:dyDescent="0.35">
      <c r="A1996"/>
      <c r="B1996"/>
      <c r="C1996"/>
      <c r="D1996"/>
      <c r="E1996"/>
      <c r="F1996"/>
      <c r="G1996"/>
    </row>
    <row r="1997" spans="1:7" x14ac:dyDescent="0.35">
      <c r="A1997"/>
      <c r="B1997"/>
      <c r="C1997"/>
      <c r="D1997"/>
      <c r="E1997"/>
      <c r="F1997"/>
      <c r="G1997"/>
    </row>
    <row r="1998" spans="1:7" x14ac:dyDescent="0.35">
      <c r="A1998"/>
      <c r="B1998"/>
      <c r="C1998"/>
      <c r="D1998"/>
      <c r="E1998"/>
      <c r="F1998"/>
      <c r="G1998"/>
    </row>
    <row r="1999" spans="1:7" x14ac:dyDescent="0.35">
      <c r="A1999"/>
      <c r="B1999"/>
      <c r="C1999"/>
      <c r="D1999"/>
      <c r="E1999"/>
      <c r="F1999"/>
      <c r="G1999"/>
    </row>
    <row r="2000" spans="1:7" x14ac:dyDescent="0.35">
      <c r="A2000"/>
      <c r="B2000"/>
      <c r="C2000"/>
      <c r="D2000"/>
      <c r="E2000"/>
      <c r="F2000"/>
      <c r="G2000"/>
    </row>
    <row r="2001" spans="1:7" x14ac:dyDescent="0.35">
      <c r="A2001"/>
      <c r="B2001"/>
      <c r="C2001"/>
      <c r="D2001"/>
      <c r="E2001"/>
      <c r="F2001"/>
      <c r="G2001"/>
    </row>
    <row r="2002" spans="1:7" x14ac:dyDescent="0.35">
      <c r="A2002"/>
      <c r="B2002"/>
      <c r="C2002"/>
      <c r="D2002"/>
      <c r="E2002"/>
      <c r="F2002"/>
      <c r="G2002"/>
    </row>
    <row r="2003" spans="1:7" x14ac:dyDescent="0.35">
      <c r="A2003"/>
      <c r="B2003"/>
      <c r="C2003"/>
      <c r="D2003"/>
      <c r="E2003"/>
      <c r="F2003"/>
      <c r="G2003"/>
    </row>
    <row r="2004" spans="1:7" x14ac:dyDescent="0.35">
      <c r="A2004"/>
      <c r="B2004"/>
      <c r="C2004"/>
      <c r="D2004"/>
      <c r="E2004"/>
      <c r="F2004"/>
      <c r="G2004"/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048576"/>
    </sheetView>
  </sheetViews>
  <sheetFormatPr baseColWidth="10" defaultColWidth="8.7265625" defaultRowHeight="14.5" x14ac:dyDescent="0.35"/>
  <cols>
    <col min="1" max="2" width="8.7265625" style="178"/>
    <col min="3" max="3" width="10.81640625" style="178" bestFit="1" customWidth="1"/>
    <col min="4" max="16384" width="8.7265625" style="178"/>
  </cols>
  <sheetData>
    <row r="1" spans="1:15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</row>
    <row r="4" spans="1:15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</row>
    <row r="5" spans="1:15" x14ac:dyDescent="0.35">
      <c r="A5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15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</row>
    <row r="7" spans="1:15" x14ac:dyDescent="0.35">
      <c r="A7"/>
      <c r="B7"/>
      <c r="C7"/>
      <c r="D7"/>
      <c r="E7"/>
      <c r="F7"/>
      <c r="G7"/>
      <c r="H7"/>
      <c r="I7"/>
      <c r="J7"/>
      <c r="K7"/>
      <c r="L7"/>
      <c r="M7"/>
      <c r="N7"/>
      <c r="O7"/>
    </row>
    <row r="8" spans="1:15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</row>
    <row r="9" spans="1:15" x14ac:dyDescent="0.35">
      <c r="A9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15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6328125" bestFit="1" customWidth="1"/>
    <col min="5" max="5" width="15" customWidth="1"/>
  </cols>
  <sheetData>
    <row r="11" spans="5:5" ht="20" x14ac:dyDescent="0.4">
      <c r="E11" s="284" t="s">
        <v>336</v>
      </c>
    </row>
    <row r="28" spans="1:30" x14ac:dyDescent="0.35">
      <c r="A28" s="26" t="s">
        <v>106</v>
      </c>
      <c r="B28" s="2" t="s">
        <v>137</v>
      </c>
      <c r="C28" s="2" t="s">
        <v>138</v>
      </c>
      <c r="D28" s="2" t="s">
        <v>139</v>
      </c>
      <c r="E28" s="2" t="s">
        <v>140</v>
      </c>
      <c r="F28" s="2" t="s">
        <v>145</v>
      </c>
      <c r="G28" s="2" t="s">
        <v>146</v>
      </c>
      <c r="H28" s="2" t="s">
        <v>147</v>
      </c>
      <c r="I28" s="2" t="s">
        <v>148</v>
      </c>
      <c r="J28" s="2" t="s">
        <v>149</v>
      </c>
      <c r="K28" s="2" t="s">
        <v>150</v>
      </c>
      <c r="L28" s="2" t="s">
        <v>153</v>
      </c>
      <c r="M28" s="2" t="s">
        <v>154</v>
      </c>
      <c r="N28" s="2" t="s">
        <v>155</v>
      </c>
      <c r="O28" s="2" t="s">
        <v>156</v>
      </c>
      <c r="P28" s="2" t="s">
        <v>157</v>
      </c>
      <c r="Q28" s="2" t="s">
        <v>158</v>
      </c>
      <c r="R28" s="2" t="s">
        <v>159</v>
      </c>
      <c r="S28" s="2" t="s">
        <v>161</v>
      </c>
      <c r="T28" s="2" t="s">
        <v>162</v>
      </c>
      <c r="U28" s="2" t="s">
        <v>180</v>
      </c>
      <c r="V28" s="2" t="s">
        <v>181</v>
      </c>
      <c r="W28" s="2" t="s">
        <v>182</v>
      </c>
      <c r="X28" s="2" t="s">
        <v>183</v>
      </c>
      <c r="Y28" s="2" t="s">
        <v>184</v>
      </c>
      <c r="Z28" s="2" t="s">
        <v>187</v>
      </c>
      <c r="AA28" s="2" t="s">
        <v>188</v>
      </c>
      <c r="AB28" s="2" t="s">
        <v>189</v>
      </c>
      <c r="AC28" s="2" t="s">
        <v>190</v>
      </c>
      <c r="AD28" s="2" t="s">
        <v>191</v>
      </c>
    </row>
    <row r="29" spans="1:30" x14ac:dyDescent="0.35">
      <c r="A29" s="7" t="s">
        <v>371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144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371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144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250</vt:i4>
      </vt:variant>
    </vt:vector>
  </HeadingPairs>
  <TitlesOfParts>
    <vt:vector size="268" baseType="lpstr">
      <vt:lpstr>Inicio</vt:lpstr>
      <vt:lpstr>TablasER</vt:lpstr>
      <vt:lpstr>TablasERxDiv</vt:lpstr>
      <vt:lpstr>variacion</vt:lpstr>
      <vt:lpstr>division</vt:lpstr>
      <vt:lpstr>ajustes</vt:lpstr>
      <vt:lpstr>proyeccion</vt:lpstr>
      <vt:lpstr>mxn-dll</vt:lpstr>
      <vt:lpstr>Costos_Gastos</vt:lpstr>
      <vt:lpstr>Tendencias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TC_MES</vt:lpstr>
      <vt:lpstr>TC_PROM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2019-10-01T15:17:12Z</dcterms:created>
  <dcterms:modified xsi:type="dcterms:W3CDTF">2020-02-20T16:34:22Z</dcterms:modified>
</cp:coreProperties>
</file>